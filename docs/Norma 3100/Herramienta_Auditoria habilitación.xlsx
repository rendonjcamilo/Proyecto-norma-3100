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c14d6ad31308235/FORMATOS AUDITORIA 3100/res. 3100/"/>
    </mc:Choice>
  </mc:AlternateContent>
  <xr:revisionPtr revIDLastSave="0" documentId="8_{5E68A506-D145-4C66-915B-E78BCF204D59}" xr6:coauthVersionLast="47" xr6:coauthVersionMax="47" xr10:uidLastSave="{00000000-0000-0000-0000-000000000000}"/>
  <bookViews>
    <workbookView xWindow="-108" yWindow="-108" windowWidth="23256" windowHeight="12576" tabRatio="500" firstSheet="2" activeTab="2" xr2:uid="{00000000-000D-0000-FFFF-FFFF00000000}"/>
  </bookViews>
  <sheets>
    <sheet name="🏠 PORTADA" sheetId="1" r:id="rId1"/>
    <sheet name="📖 INSTRUCTIVO" sheetId="2" r:id="rId2"/>
    <sheet name="📄 MATRIZ DOCUMENTAL" sheetId="3" r:id="rId3"/>
    <sheet name="⚕ REPS – Servicios" sheetId="4" r:id="rId4"/>
    <sheet name="🏗 REPS – Capacidad" sheetId="5" r:id="rId5"/>
    <sheet name="⚠ REPS – Sanciones" sheetId="6" r:id="rId6"/>
    <sheet name="📊 DASHBOARD" sheetId="7" r:id="rId7"/>
    <sheet name="📑 REPORTE EJECUTIVO" sheetId="8" r:id="rId8"/>
    <sheet name="📋 Catálogo REPS" sheetId="9" r:id="rId9"/>
    <sheet name="_SVC_" sheetId="10" state="hidden" r:id="rId10"/>
    <sheet name="_COD_" sheetId="11" state="hidden" r:id="rId11"/>
    <sheet name="_LK_" sheetId="12" state="hidden" r:id="rId12"/>
  </sheets>
  <definedNames>
    <definedName name="GRP_Apoyo_Dx_y_Complementacion_Terapeutica">_SVC_!$D$2:$D$23</definedName>
    <definedName name="GRP_Atencion_Inmediata">_SVC_!$E$2:$E$6</definedName>
    <definedName name="GRP_Consulta_Externa">_SVC_!$C$2:$C$92</definedName>
    <definedName name="GRP_Internacion">_SVC_!$A$2:$A$16</definedName>
    <definedName name="GRP_Quirurgicos">_SVC_!$B$2:$B$25</definedName>
    <definedName name="LISTA_GRUPOS">_SVC_!$A$1:$E$1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5" i="8" l="1"/>
  <c r="G24" i="8"/>
  <c r="G23" i="8"/>
  <c r="G22" i="8"/>
  <c r="G21" i="8"/>
  <c r="G19" i="8"/>
  <c r="G18" i="8"/>
  <c r="G13" i="8"/>
  <c r="D10" i="8"/>
  <c r="D9" i="8"/>
  <c r="D8" i="8"/>
  <c r="D7" i="8"/>
  <c r="D6" i="8"/>
  <c r="D5" i="8"/>
  <c r="L15" i="7"/>
  <c r="I15" i="7"/>
  <c r="L13" i="7"/>
  <c r="I13" i="7"/>
  <c r="L12" i="7"/>
  <c r="I12" i="7"/>
  <c r="M5" i="7"/>
  <c r="A5" i="7"/>
  <c r="G4" i="6"/>
  <c r="E4" i="6"/>
  <c r="C4" i="6"/>
  <c r="A4" i="6"/>
  <c r="G41" i="5"/>
  <c r="F41" i="5"/>
  <c r="G40" i="5"/>
  <c r="F40" i="5"/>
  <c r="G39" i="5"/>
  <c r="F39" i="5"/>
  <c r="G38" i="5"/>
  <c r="F38" i="5"/>
  <c r="G37" i="5"/>
  <c r="F37" i="5"/>
  <c r="G36" i="5"/>
  <c r="F36" i="5"/>
  <c r="G35" i="5"/>
  <c r="F35" i="5"/>
  <c r="G34" i="5"/>
  <c r="F34" i="5"/>
  <c r="G33" i="5"/>
  <c r="F33" i="5"/>
  <c r="G32" i="5"/>
  <c r="F32" i="5"/>
  <c r="G31" i="5"/>
  <c r="F31" i="5"/>
  <c r="G30" i="5"/>
  <c r="F30" i="5"/>
  <c r="G29" i="5"/>
  <c r="F29" i="5"/>
  <c r="G28" i="5"/>
  <c r="F28" i="5"/>
  <c r="G27" i="5"/>
  <c r="F27" i="5"/>
  <c r="G26" i="5"/>
  <c r="F26" i="5"/>
  <c r="G25" i="5"/>
  <c r="F25" i="5"/>
  <c r="G24" i="5"/>
  <c r="F24" i="5"/>
  <c r="G23" i="5"/>
  <c r="F23" i="5"/>
  <c r="G22" i="5"/>
  <c r="F22" i="5"/>
  <c r="G21" i="5"/>
  <c r="F21" i="5"/>
  <c r="G20" i="5"/>
  <c r="F20" i="5"/>
  <c r="G19" i="5"/>
  <c r="F19" i="5"/>
  <c r="G18" i="5"/>
  <c r="F18" i="5"/>
  <c r="G17" i="5"/>
  <c r="F17" i="5"/>
  <c r="G16" i="5"/>
  <c r="F16" i="5"/>
  <c r="G15" i="5"/>
  <c r="F15" i="5"/>
  <c r="G14" i="5"/>
  <c r="F14" i="5"/>
  <c r="G13" i="5"/>
  <c r="F13" i="5"/>
  <c r="G12" i="5"/>
  <c r="F12" i="5"/>
  <c r="G11" i="5"/>
  <c r="F11" i="5"/>
  <c r="G10" i="5"/>
  <c r="F10" i="5"/>
  <c r="G9" i="5"/>
  <c r="F9" i="5"/>
  <c r="G8" i="5"/>
  <c r="C4" i="5" s="1"/>
  <c r="F8" i="5"/>
  <c r="G7" i="5"/>
  <c r="G20" i="8" s="1"/>
  <c r="F7" i="5"/>
  <c r="G4" i="5"/>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K5" i="4"/>
  <c r="I5" i="4"/>
  <c r="G5" i="4"/>
  <c r="E5" i="4"/>
  <c r="C5" i="4"/>
  <c r="A5" i="4"/>
  <c r="J128" i="3"/>
  <c r="I11" i="7" s="1"/>
  <c r="H128" i="3"/>
  <c r="G128" i="3"/>
  <c r="F128" i="3"/>
  <c r="J5" i="3" s="1"/>
  <c r="E128" i="3"/>
  <c r="G17" i="8" s="1"/>
  <c r="H5" i="3"/>
  <c r="F5" i="3"/>
  <c r="E5" i="3"/>
  <c r="D5" i="3"/>
  <c r="C5" i="3"/>
  <c r="A5" i="3"/>
  <c r="A4" i="5" l="1"/>
  <c r="E5" i="7"/>
  <c r="L9" i="7"/>
  <c r="L11" i="7"/>
  <c r="G14" i="8"/>
  <c r="G5" i="7"/>
  <c r="I8" i="7"/>
  <c r="I10" i="7"/>
  <c r="I14" i="7"/>
  <c r="G15" i="8"/>
  <c r="E4" i="5"/>
  <c r="I5" i="7"/>
  <c r="L8" i="7"/>
  <c r="L10" i="7"/>
  <c r="L14" i="7"/>
  <c r="G16" i="8"/>
  <c r="C5" i="7"/>
  <c r="K5" i="7"/>
  <c r="I9" i="7"/>
</calcChain>
</file>

<file path=xl/sharedStrings.xml><?xml version="1.0" encoding="utf-8"?>
<sst xmlns="http://schemas.openxmlformats.org/spreadsheetml/2006/main" count="1349" uniqueCount="517">
  <si>
    <t>HERRAMIENTA INTEGRAL DE AUDITORÍA DOCUMENTAL Y VERIFICACIÓN REPS</t>
  </si>
  <si>
    <t>Resolución 3100 de 2019  ·  Ministerio de Salud y Protección Social  ·  Colombia</t>
  </si>
  <si>
    <t xml:space="preserve">  🖼  LOGO CORPORATIVO</t>
  </si>
  <si>
    <t xml:space="preserve">  📋  DATOS DEL PRESTADOR AUDITADO</t>
  </si>
  <si>
    <t>[ LOGO DE LA EMPRESA ]
Para insertar:
Insertar  →  Imagen
→  Este dispositivo...
Tamaño recomendado:
300 × 100 px  ·  PNG</t>
  </si>
  <si>
    <t>Nombre / Razón Social</t>
  </si>
  <si>
    <t>NIT</t>
  </si>
  <si>
    <t>Código REPS</t>
  </si>
  <si>
    <t>Dirección Sede Principal</t>
  </si>
  <si>
    <t>Ciudad / Departamento</t>
  </si>
  <si>
    <t>Representante Legal</t>
  </si>
  <si>
    <t>Teléfono de Contacto</t>
  </si>
  <si>
    <t>Correo Electrónico Institucional</t>
  </si>
  <si>
    <t xml:space="preserve">  👤  DATOS DEL AUDITOR / VERIFICADOR</t>
  </si>
  <si>
    <t>Nombre del Auditor</t>
  </si>
  <si>
    <t>Empresa Auditora</t>
  </si>
  <si>
    <t>Fecha de la Auditoría</t>
  </si>
  <si>
    <t>No. Contrato / Expediente</t>
  </si>
  <si>
    <t xml:space="preserve">  🚦  SEMÁFORO</t>
  </si>
  <si>
    <t>✅ CARGADO</t>
  </si>
  <si>
    <t xml:space="preserve">  🔗  CONSULTE EL REPS EN LÍNEA:</t>
  </si>
  <si>
    <t>⏳ EN PROCESO</t>
  </si>
  <si>
    <t>https://prestadores.minsalud.gov.co/habilitacion/</t>
  </si>
  <si>
    <t>❌ NO REALIZADO</t>
  </si>
  <si>
    <t>⚪ NO APLICA</t>
  </si>
  <si>
    <t>© 2025  AUDISALUD COLOMBIA SAS  ·  USO INSTITUCIONAL EXCLUSIVO  ·  Prohibida su venta, reproducción, distribución o cesión a terceros sin autorización escrita.</t>
  </si>
  <si>
    <t>📖  INSTRUCTIVO DE MANEJO – HERRAMIENTA DE AUDITORÍA DOCUMENTAL Y VERIFICACIÓN REPS</t>
  </si>
  <si>
    <t>Audisalud Colombia SAS  ·  Versión 2025  ·  Resolución 3100 de 2019</t>
  </si>
  <si>
    <t xml:space="preserve">  ▶  DESCRIPCIÓN GENERAL DE LA HERRAMIENTA</t>
  </si>
  <si>
    <t>Esta herramienta está diseñada para que auditores y prestadores de salud verifiquen el cumplimiento de los requisitos de habilitación establecidos en la Resolución 3100 de 2019 y el Registro Especial de Prestadores (REPS). Contiene 8 módulos interconectados con cálculo automático de indicadores.</t>
  </si>
  <si>
    <t xml:space="preserve">  ▶  ESTRUCTURA DEL ARCHIVO – HOJAS Y SU FUNCIÓN</t>
  </si>
  <si>
    <t>🏠 PORTADA</t>
  </si>
  <si>
    <t>Datos de identificación del prestador y auditor. Zona para insertar logo corporativo.</t>
  </si>
  <si>
    <t>📖 INSTRUCTIVO</t>
  </si>
  <si>
    <t>Esta hoja. Guía completa de uso de la herramienta.</t>
  </si>
  <si>
    <t>📄 MATRIZ DOCUMENTAL</t>
  </si>
  <si>
    <t>Listado de los 108 documentos exigidos por la Res. 3100. Registre el estado de cada documento.</t>
  </si>
  <si>
    <t>⚕ REPS – Servicios</t>
  </si>
  <si>
    <t>Verificación de servicios habilitados en el REPS. Desplegable en cascada Grupo → Servicio → Código.</t>
  </si>
  <si>
    <t>🏗 REPS – Capacidad</t>
  </si>
  <si>
    <t>Comparación de capacidad instalada registrada en REPS vs la real verificada en visita.</t>
  </si>
  <si>
    <t>⚠ REPS – Sanciones</t>
  </si>
  <si>
    <t>Registro de medidas de seguridad y sanciones vigentes en el REPS.</t>
  </si>
  <si>
    <t>📊 DASHBOARD</t>
  </si>
  <si>
    <t>Resumen ejecutivo con KPIs, indicadores porcentuales, semáforo automático y hallazgos.</t>
  </si>
  <si>
    <t>📑 REPORTE EJECUTIVO</t>
  </si>
  <si>
    <t>Informe consolidado listo para imprimir o compartir. Se llena automáticamente.</t>
  </si>
  <si>
    <t>📋 Catálogo REPS</t>
  </si>
  <si>
    <t>Referencia oficial de los 157 servicios habilitables. Protegido (solo lectura).</t>
  </si>
  <si>
    <t xml:space="preserve">  ▶  PASO A PASO – CÓMO USAR LA HERRAMIENTA</t>
  </si>
  <si>
    <t>PASO 1</t>
  </si>
  <si>
    <t>CONFIGURE LA PORTADA</t>
  </si>
  <si>
    <t>Abra la hoja 🏠 PORTADA. Complete los campos amarillos con los datos del prestador: nombre, NIT, dirección, representante legal, correo y teléfono. Luego complete los datos del auditor. Para insertar su logo: vaya a Insertar → Imagen → Este dispositivo, seleccione el archivo PNG o JPG y ubíquelo en el recuadro punteado.</t>
  </si>
  <si>
    <t>PASO 2</t>
  </si>
  <si>
    <t>DILIGENCIE LA MATRIZ DOCUMENTAL</t>
  </si>
  <si>
    <t>Abra la hoja 📄 MATRIZ DOCUMENTAL. Para cada documento de la lista, haga clic en la columna ESTADO y seleccione una opción del menú desplegable: ✅ CARGADO (verde), ⏳ EN PROCESO (naranja), ❌ NO REALIZADO (rojo) o ⚪ NO APLICA (gris). El color cambia automáticamente. En la columna URL/NUBE pegue el enlace directo al documento en Google Drive, OneDrive o SharePoint.</t>
  </si>
  <si>
    <t>PASO 3</t>
  </si>
  <si>
    <t>VERIFIQUE LOS SERVICIOS REPS</t>
  </si>
  <si>
    <t>Abra la hoja ⚕ REPS – Servicios. En la columna GRUPO seleccione el grupo del servicio (Internación, Quirúrgicos, Consulta Externa, etc.). La columna SERVICIO filtrará automáticamente los servicios de ese grupo. El CÓDIGO REPS aparece solo al seleccionar el servicio. Complete las columnas de coincidencia y cumplimiento Res. 3100.</t>
  </si>
  <si>
    <t>PASO 4</t>
  </si>
  <si>
    <t>REGISTRE LA CAPACIDAD INSTALADA</t>
  </si>
  <si>
    <t>Abra la hoja 🏗 REPS – Capacidad. Ingrese en CANTIDAD REPS el dato que aparece en el sistema REPS, y en CANTIDAD REAL lo que verificó en la visita. La columna DIFERENCIA y la columna ¿COINCIDE? se calculan automáticamente.</t>
  </si>
  <si>
    <t>PASO 5</t>
  </si>
  <si>
    <t>REGISTRE MEDIDAS Y SANCIONES</t>
  </si>
  <si>
    <t>Abra la hoja ⚠ REPS – Sanciones. Registre todas las medidas de seguridad o sanciones que aparezcan en el REPS para el prestador. Seleccione el tipo y el estado con el menú desplegable.</t>
  </si>
  <si>
    <t>PASO 6</t>
  </si>
  <si>
    <t>REVISE EL DASHBOARD</t>
  </si>
  <si>
    <t>La hoja 📊 DASHBOARD se actualiza automáticamente con todos los indicadores. Revise los KPIs en la parte superior y la tabla de indicadores con semáforo: verde ≥80%, naranja entre 50-79%, rojo &lt;50%. Registre los hallazgos en la tabla inferior con su clasificación y responsable.</t>
  </si>
  <si>
    <t>PASO 7</t>
  </si>
  <si>
    <t>EXPORTE EL REPORTE EJECUTIVO</t>
  </si>
  <si>
    <t>La hoja 📑 REPORTE EJECUTIVO consolida automáticamente todos los resultados. Agregue sus conclusiones en el espacio de texto y obtenga las firmas del auditor y representante legal. Para imprimir: Archivo → Imprimir, o guarde como PDF: Archivo → Guardar como → PDF.</t>
  </si>
  <si>
    <t>PASO 8</t>
  </si>
  <si>
    <t>COMPARTA Y ARCHIVE</t>
  </si>
  <si>
    <t>Guarde el archivo con el nombre del prestador y la fecha. Puede subir el archivo a Google Drive o OneDrive y compartir el enlace por correo electrónico. No se recomienda compartir por WhatsApp por temas de confidencialidad del documento.</t>
  </si>
  <si>
    <t xml:space="preserve">  ▶  SIGNIFICADO DEL SEMÁFORO DE ESTADOS</t>
  </si>
  <si>
    <t>El documento existe, está vigente y su URL está registrada en la herramienta.</t>
  </si>
  <si>
    <t>El documento está en elaboración, trámite o pendiente de carga en la nube.</t>
  </si>
  <si>
    <t>El documento no existe ni está en proceso. Constituye un hallazgo de no conformidad.</t>
  </si>
  <si>
    <t>El documento no es exigible para este tipo de servicio o clase de prestador.</t>
  </si>
  <si>
    <t>✅ SÍ (coincide/cumple)</t>
  </si>
  <si>
    <t>El servicio o dato registrado en REPS coincide con la realidad verificada.</t>
  </si>
  <si>
    <t>❌ NO (no coincide/cumple)</t>
  </si>
  <si>
    <t>Existe discrepancia entre el REPS y la realidad. Genera hallazgo.</t>
  </si>
  <si>
    <t xml:space="preserve">  ▶  PREGUNTAS FRECUENTES</t>
  </si>
  <si>
    <t xml:space="preserve">  ❓  ¿Puedo editar este archivo desde el celular?</t>
  </si>
  <si>
    <t xml:space="preserve">     Se recomienda usar Excel o Google Sheets en computador para aprovechar todas las funciones. En el celular puede consultar pero la edición de desplegables y fórmulas puede ser limitada.</t>
  </si>
  <si>
    <t xml:space="preserve">  ❓  ¿Cómo comparto el archivo sin usar WhatsApp?</t>
  </si>
  <si>
    <t xml:space="preserve">     Suba el archivo a Google Drive o OneDrive y copie el enlace de compartir. Envíe el enlace por correo electrónico, Teams o cualquier plataforma corporativa.</t>
  </si>
  <si>
    <t xml:space="preserve">  ❓  ¿Qué pasa si el desplegable de Servicio no filtra?</t>
  </si>
  <si>
    <t xml:space="preserve">     Esta función (cascada) requiere Excel Desktop. En Google Sheets o Excel Online los servicios se muestran pero sin el filtro por grupo. Descargue el archivo y ábralo con Excel instalado en su computador.</t>
  </si>
  <si>
    <t xml:space="preserve">  ❓  ¿Cómo inserto el logo de mi empresa?</t>
  </si>
  <si>
    <t xml:space="preserve">     En la hoja PORTADA, vaya a Insertar → Imagen → Este dispositivo, seleccione el archivo PNG o JPG y arrástrelo al recuadro punteado azul.</t>
  </si>
  <si>
    <t xml:space="preserve">  ❓  ¿El Dashboard se actualiza automáticamente?</t>
  </si>
  <si>
    <t xml:space="preserve">     Sí. Todas las fórmulas del Dashboard leen en tiempo real de las demás hojas. Al guardar el archivo los indicadores quedan registrados con los datos actuales.</t>
  </si>
  <si>
    <t xml:space="preserve">  ❓  ¿Puedo agregar más documentos a la matriz?</t>
  </si>
  <si>
    <t xml:space="preserve">     Sí. Ubíquese al final de la sección correspondiente, inserte una fila y copie el formato de la fila anterior. Los totales se recalcularán automáticamente.</t>
  </si>
  <si>
    <t>MATRIZ DOCUMENTAL 2025 – RESOLUCIÓN 3100 DE 2019</t>
  </si>
  <si>
    <t>Habilitación de Prestadores de Servicios de Salud · Condiciones Técnico-Administrativas y Técnico-Científicas</t>
  </si>
  <si>
    <t>Prestador:</t>
  </si>
  <si>
    <t>Fecha Auditoría:</t>
  </si>
  <si>
    <t>TOTAL DOCS</t>
  </si>
  <si>
    <t>✅ CARGADOS</t>
  </si>
  <si>
    <t>❌ NO REALIZ.</t>
  </si>
  <si>
    <t>🎯 % CUMPL.</t>
  </si>
  <si>
    <t>📋 CON URL</t>
  </si>
  <si>
    <t>#</t>
  </si>
  <si>
    <t>ESTÁNDAR</t>
  </si>
  <si>
    <t>DOCUMENTO / PROCEDIMIENTO</t>
  </si>
  <si>
    <t>APLICA</t>
  </si>
  <si>
    <t>ESTADO</t>
  </si>
  <si>
    <t>URL / UBICACIÓN EN NUBE</t>
  </si>
  <si>
    <t>FECHA CARGA</t>
  </si>
  <si>
    <t>RESPONSABLE</t>
  </si>
  <si>
    <t>OBSERVACIONES / HALLAZGOS</t>
  </si>
  <si>
    <t>CUMPLE Res.3100</t>
  </si>
  <si>
    <t>ACCIÓN REQUERIDA</t>
  </si>
  <si>
    <t xml:space="preserve">  ▶  CONDICIONES TÉCNICO ADMINISTRATIVAS</t>
  </si>
  <si>
    <t>CONDICIONES TÉCNICO ADMINISTRATIVAS</t>
  </si>
  <si>
    <t>Cámara de comercio no mayor a 30 días</t>
  </si>
  <si>
    <t>S</t>
  </si>
  <si>
    <t>Cédula representante legal</t>
  </si>
  <si>
    <t xml:space="preserve">  ▶  CONDICIONES SUFICIENCIA PATRIMONIAL</t>
  </si>
  <si>
    <t>CONDICIONES SUFICIENCIA PATRIMONIAL</t>
  </si>
  <si>
    <t>Cédula y tarjeta profesional del contador - revisor fiscal</t>
  </si>
  <si>
    <t>Certificado de cuenta bancaria a nombre de la IPS</t>
  </si>
  <si>
    <t>Licencia del software contable</t>
  </si>
  <si>
    <t>Registro de los libros acta y socios</t>
  </si>
  <si>
    <t>RUT</t>
  </si>
  <si>
    <t>Estados financieros</t>
  </si>
  <si>
    <t>Certificado condiciones de suficiencia patrimonial</t>
  </si>
  <si>
    <t xml:space="preserve">  ▶  ESTÁNDAR 1 – TALENTO HUMANO</t>
  </si>
  <si>
    <t>ESTÁNDAR 1 – TALENTO HUMANO</t>
  </si>
  <si>
    <t>Relación del personal de la entidad</t>
  </si>
  <si>
    <t>Hojas de vida por servicio que incluya los soportes legales</t>
  </si>
  <si>
    <t>Formato de capacidad instalada</t>
  </si>
  <si>
    <t>Programa de capacitaciones y cronograma</t>
  </si>
  <si>
    <t>Capacitaciones realizadas del año</t>
  </si>
  <si>
    <t>Comités y cronograma</t>
  </si>
  <si>
    <t xml:space="preserve">  ▶  ESTÁNDAR 2 – INFRAESTRUCTURA</t>
  </si>
  <si>
    <t>ESTÁNDAR 2 – INFRAESTRUCTURA</t>
  </si>
  <si>
    <t>Concepto del uso del suelo</t>
  </si>
  <si>
    <t>Licencia de construcción</t>
  </si>
  <si>
    <t>Plan de mantenimiento de infraestructura y cronograma</t>
  </si>
  <si>
    <t>Certificado de bomberos (vigente, no mayor a 1 año)</t>
  </si>
  <si>
    <t>Certificado eléctrico (vigente, no mayor a 5 años)</t>
  </si>
  <si>
    <t>Planillas de limpieza y desinfección</t>
  </si>
  <si>
    <t>Plano de la institución con medidas por servicio</t>
  </si>
  <si>
    <t>Plan hospitalario de emergencias</t>
  </si>
  <si>
    <t>Plano Ruta de evacuación por piso</t>
  </si>
  <si>
    <t>Mantenimiento de ascensor cuando aplica</t>
  </si>
  <si>
    <t>Plano de ruta sanitaria</t>
  </si>
  <si>
    <t xml:space="preserve">  ▶  CONCEPTO SANITARIO</t>
  </si>
  <si>
    <t>CONCEPTO SANITARIO</t>
  </si>
  <si>
    <t>Certificado de fumigación - licencia del proveedor</t>
  </si>
  <si>
    <t>Certificado de lavado de tanques de reserva de agua</t>
  </si>
  <si>
    <t>Timbre de emergencia unidades sanitarias persona movilidad reducida</t>
  </si>
  <si>
    <t>Alarma de emergencia</t>
  </si>
  <si>
    <t>Existencia de Botiquín</t>
  </si>
  <si>
    <t>Extintores</t>
  </si>
  <si>
    <t>Contrato Biosanitarios</t>
  </si>
  <si>
    <t>PGIRASA</t>
  </si>
  <si>
    <t>Acta de disposición final de residuos</t>
  </si>
  <si>
    <t>Auditoría Externa</t>
  </si>
  <si>
    <t>Auditorías internas</t>
  </si>
  <si>
    <t>Capacitaciones de PGIRASA</t>
  </si>
  <si>
    <t>Comité GAGAS</t>
  </si>
  <si>
    <t>Manifiestos de la empresa recolectora</t>
  </si>
  <si>
    <t>Certificado de concepto sanitario</t>
  </si>
  <si>
    <t xml:space="preserve">  ▶  ESTÁNDAR 3 – DOTACIÓN Y MANTENIMIENTO</t>
  </si>
  <si>
    <t>ESTÁNDAR 3 – DOTACIÓN Y MANTENIMIENTO</t>
  </si>
  <si>
    <t>Registro de los equipos por servicio</t>
  </si>
  <si>
    <t>Programa de mantenimiento</t>
  </si>
  <si>
    <t>Hojas de vida de equipos biomédicos (factura, INVIMA, permisos)</t>
  </si>
  <si>
    <t>Registros mantenimientos preventivos, correctivos, calibraciones</t>
  </si>
  <si>
    <t>Programa de capacitación en dispositivos médicos</t>
  </si>
  <si>
    <t>Suficiencia de equipos biomédicos</t>
  </si>
  <si>
    <t>Hoja de vida de biomédico con soportes y contrato</t>
  </si>
  <si>
    <t xml:space="preserve">  ▶  ESTÁNDAR 4 – MEDICAMENTOS, DM E INSUMOS</t>
  </si>
  <si>
    <t>ESTÁNDAR 4 – MEDICAMENTOS, DM E INSUMOS</t>
  </si>
  <si>
    <t>Registro de medicamentos</t>
  </si>
  <si>
    <t>Registro de dispositivos médicos</t>
  </si>
  <si>
    <t>Registro de reactivos</t>
  </si>
  <si>
    <t>Procedimiento de gestión de insumos</t>
  </si>
  <si>
    <t>Programas de farmacovigilancia y reportes</t>
  </si>
  <si>
    <t>Programa de tecnovigilancia y reportes</t>
  </si>
  <si>
    <t>Registro de temperatura y humedad</t>
  </si>
  <si>
    <t>Procedimiento manejo de derrames y rupturas de medicamentos</t>
  </si>
  <si>
    <t>Protocolo de verificación de alertas sanitarias</t>
  </si>
  <si>
    <t xml:space="preserve">  ▶  ESTÁNDAR 5 – PROCESOS PRIORITARIOS</t>
  </si>
  <si>
    <t>ESTÁNDAR 5 – PROCESOS PRIORITARIOS</t>
  </si>
  <si>
    <t>Política de seguridad del paciente</t>
  </si>
  <si>
    <t>Programa de seguridad del paciente</t>
  </si>
  <si>
    <t>Acta conformación comité de seguridad del paciente</t>
  </si>
  <si>
    <t>4 Formatos del ministerio de seguridad del paciente</t>
  </si>
  <si>
    <t>Procedimiento de identificación del paciente</t>
  </si>
  <si>
    <t>Procedimiento de comunicación asistencial</t>
  </si>
  <si>
    <t>Procedimiento de prevención de infecciones</t>
  </si>
  <si>
    <t>Procedimiento de eventos adversos</t>
  </si>
  <si>
    <t>Procedimiento de consentimiento informado</t>
  </si>
  <si>
    <t>Procedimiento de uso seguro de medicamentos</t>
  </si>
  <si>
    <t>Procedimiento de prevención de caídas</t>
  </si>
  <si>
    <t>Procedimiento de rondas de seguridad</t>
  </si>
  <si>
    <t>Registro de análisis de eventos adversos</t>
  </si>
  <si>
    <t>Capacitación en seguridad del paciente</t>
  </si>
  <si>
    <t>Documento de autocuidado del paciente</t>
  </si>
  <si>
    <t>Guías de manejo por servicio</t>
  </si>
  <si>
    <t>Procedimiento de adopción de guías</t>
  </si>
  <si>
    <t>Protocolos de manejo por servicios</t>
  </si>
  <si>
    <t>Procedimiento de aseo, limpieza y desinfección</t>
  </si>
  <si>
    <t>Manual de bioseguridad</t>
  </si>
  <si>
    <t>Procedimiento de descontaminación por derrames</t>
  </si>
  <si>
    <t>Política de no uso y reuso de dispositivos médicos</t>
  </si>
  <si>
    <t>Procedimiento de referencia de pacientes</t>
  </si>
  <si>
    <t>Documento para atención a víctimas de violencia sexual</t>
  </si>
  <si>
    <t>Conformación equipo atención integral víctimas de violencia sexual</t>
  </si>
  <si>
    <t xml:space="preserve">  ▶  ESTÁNDAR 6 – HISTORIA CLÍNICA</t>
  </si>
  <si>
    <t>ESTÁNDAR 6 – HISTORIA CLÍNICA</t>
  </si>
  <si>
    <t>Procedimiento de manejo de historia clínica</t>
  </si>
  <si>
    <t>Registro de entrada y salida de historias clínicas</t>
  </si>
  <si>
    <t>Historia clínica digital</t>
  </si>
  <si>
    <t>Consentimientos informados por servicio</t>
  </si>
  <si>
    <t>Certificado del ingeniero de sistemas</t>
  </si>
  <si>
    <t xml:space="preserve">  ▶  ESTÁNDAR 7 – INTERDEPENDENCIA DE SERVICIOS</t>
  </si>
  <si>
    <t>ESTÁNDAR 7 – INTERDEPENDENCIA DE SERVICIOS</t>
  </si>
  <si>
    <t>Contratos interdependencia de servicios cuando aplique</t>
  </si>
  <si>
    <t xml:space="preserve">  ▶  REPORTES OBLIGATORIOS</t>
  </si>
  <si>
    <t>REPORTES OBLIGATORIOS</t>
  </si>
  <si>
    <t>Resolución 256 – Indicadores de calidad</t>
  </si>
  <si>
    <t>PAMEC</t>
  </si>
  <si>
    <t>Resolución 2063 – Política de Participación Social en Salud</t>
  </si>
  <si>
    <t>RIPS</t>
  </si>
  <si>
    <t>Farmacovigilancia</t>
  </si>
  <si>
    <t>Tecnovigilancia</t>
  </si>
  <si>
    <t>Reactivovigilancia cuando aplique</t>
  </si>
  <si>
    <t>Hemovigilancia cuando aplique</t>
  </si>
  <si>
    <t xml:space="preserve">  ▶  PAMEC – AUDITORÍA PARA EL MEJORAMIENTO CONTINUO</t>
  </si>
  <si>
    <t>PAMEC – AUDITORÍA PARA EL MEJORAMIENTO CONTINUO</t>
  </si>
  <si>
    <t>PAMEC teórico y cronograma</t>
  </si>
  <si>
    <t>Matriz consolidada</t>
  </si>
  <si>
    <t>Autoevaluación</t>
  </si>
  <si>
    <t>Selección de procesos a mejorar</t>
  </si>
  <si>
    <t>Priorización de procesos</t>
  </si>
  <si>
    <t>Definición de calidad esperada</t>
  </si>
  <si>
    <t>Medición inicial del desempeño</t>
  </si>
  <si>
    <t>Formulación del plan de acción</t>
  </si>
  <si>
    <t>Ejecución del plan de acción</t>
  </si>
  <si>
    <t>Evaluación del plan de acción</t>
  </si>
  <si>
    <t>Aprendizaje organizacional</t>
  </si>
  <si>
    <t>TOTALES</t>
  </si>
  <si>
    <t>SERVICIOS HABILITADOS – REGISTRO ESPECIAL DE PRESTADORES (REPS)</t>
  </si>
  <si>
    <t>157 servicios · Seleccione GRUPO → el SERVICIO filtra automáticamente → el CÓDIGO aparece solo</t>
  </si>
  <si>
    <t>Sede:</t>
  </si>
  <si>
    <t>Fecha:</t>
  </si>
  <si>
    <t>SERVICIOS REGISTRADOS</t>
  </si>
  <si>
    <t>✅ COINCIDEN REPS</t>
  </si>
  <si>
    <t>❌ NO COINCIDEN</t>
  </si>
  <si>
    <t>✅ CUMPLEN Res.3100</t>
  </si>
  <si>
    <t>% COINCIDENCIA</t>
  </si>
  <si>
    <t>GRUPOS ACTIVOS</t>
  </si>
  <si>
    <t>ℹ️  PASO 1: Seleccione GRUPO (col B)  ▶  PASO 2: Elija SERVICIO en col C (filtra automáticamente)  ▶  CÓDIGO se completa solo (col D)</t>
  </si>
  <si>
    <t>No.</t>
  </si>
  <si>
    <t>GRUPO</t>
  </si>
  <si>
    <t>SERVICIO (desplegable)</t>
  </si>
  <si>
    <t>CÓDIGO
REPS</t>
  </si>
  <si>
    <t>MODALIDAD</t>
  </si>
  <si>
    <t>COMPLEJIDAD</t>
  </si>
  <si>
    <t>ESPECIFICIDADES</t>
  </si>
  <si>
    <t>HORARIO</t>
  </si>
  <si>
    <t>No. DISTINTIVO
HAB.</t>
  </si>
  <si>
    <t>FECHA
APERTURA</t>
  </si>
  <si>
    <t>¿COINCIDE
REPS?</t>
  </si>
  <si>
    <t>¿CUMPLE
Res.3100?</t>
  </si>
  <si>
    <t>OBSERVACIONES</t>
  </si>
  <si>
    <t>CAPACIDAD INSTALADA – REGISTRO REPS</t>
  </si>
  <si>
    <t>Ingrese Cant. REPS y Cant. Real · Diferencia y ¿Coincide? se calculan automáticamente</t>
  </si>
  <si>
    <t>COINCIDENCIAS</t>
  </si>
  <si>
    <t>NO COINCIDEN</t>
  </si>
  <si>
    <t>DIFERENCIA TOTAL</t>
  </si>
  <si>
    <t>ℹ️  Ingrese CANTIDAD REPS y CANTIDAD REAL — Diferencia y ¿Coincide? se calculan solos</t>
  </si>
  <si>
    <t>CONCEPTO / SERVICIO</t>
  </si>
  <si>
    <t>CANTIDAD
REPS</t>
  </si>
  <si>
    <t>CANTIDAD
REAL</t>
  </si>
  <si>
    <t>DIFERENCIA</t>
  </si>
  <si>
    <t>¿COINCIDE?</t>
  </si>
  <si>
    <t>CONSULTORIOS</t>
  </si>
  <si>
    <t>CAMAS HOSPITALIZACIÓN</t>
  </si>
  <si>
    <t>CAMAS UCI ADULTOS</t>
  </si>
  <si>
    <t>CAMAS UCI PEDIÁTRICA</t>
  </si>
  <si>
    <t>CAMAS UCI NEONATAL</t>
  </si>
  <si>
    <t>SALAS DE CIRUGÍA</t>
  </si>
  <si>
    <t>SALAS DE PARTO</t>
  </si>
  <si>
    <t>UNIDADES ODONTOLÓGICAS</t>
  </si>
  <si>
    <t>AMBULANCIAS BÁSICAS</t>
  </si>
  <si>
    <t>AMBULANCIAS MEDICALIZADAS</t>
  </si>
  <si>
    <t>UNIDADES MÓVILES</t>
  </si>
  <si>
    <t>CAMILLAS</t>
  </si>
  <si>
    <t>SILLAS ODONTOLÓGICAS</t>
  </si>
  <si>
    <t>LABORATORIO CLÍNICO</t>
  </si>
  <si>
    <t>IMÁGENES DIAGNÓSTICAS</t>
  </si>
  <si>
    <t>MEDIDAS DE SEGURIDAD Y SANCIONES – REPS</t>
  </si>
  <si>
    <t>Registre todas las medidas de seguridad y sanciones vigentes del REPS para este prestador</t>
  </si>
  <si>
    <t>TOTAL MEDIDAS</t>
  </si>
  <si>
    <t>MEDIDAS ACTIVAS</t>
  </si>
  <si>
    <t>LEVANTADAS</t>
  </si>
  <si>
    <t>EN APELACIÓN</t>
  </si>
  <si>
    <t>TIPO DE MEDIDA</t>
  </si>
  <si>
    <t>DESCRIPCIÓN DETALLADA</t>
  </si>
  <si>
    <t>FECHA</t>
  </si>
  <si>
    <t>URL ACTO ADMINISTRATIVO</t>
  </si>
  <si>
    <t>📊  DASHBOARD EJECUTIVO – INDICADORES DE CUMPLIMIENTO EN TIEMPO REAL</t>
  </si>
  <si>
    <t>Todos los indicadores se actualizan automáticamente al diligenciar las hojas de auditoría</t>
  </si>
  <si>
    <t>DOCUMENTOS
EVALUADOS</t>
  </si>
  <si>
    <t>❌ NO REALIZADOS</t>
  </si>
  <si>
    <t>🎯 % CUMPLIMIENTO</t>
  </si>
  <si>
    <t>📋 HALLAZGOS ABIERTOS</t>
  </si>
  <si>
    <t xml:space="preserve">  INDICADORES DETALLADOS DE CUMPLIMIENTO</t>
  </si>
  <si>
    <t>📄 Documentos Cargados / Total</t>
  </si>
  <si>
    <t>📄 Documentos En Proceso / Total</t>
  </si>
  <si>
    <t>📄 Documentos No Realizados / Total</t>
  </si>
  <si>
    <t>📄 Cumplen Resolución 3100</t>
  </si>
  <si>
    <t>⚕ Servicios Coinciden REPS</t>
  </si>
  <si>
    <t>⚕ Servicios Cumplen Res. 3100</t>
  </si>
  <si>
    <t>🏗 Capacidad Instalada Coincidente</t>
  </si>
  <si>
    <t>⚠ Medidas de Seguridad Activas / Total</t>
  </si>
  <si>
    <t xml:space="preserve">  REGISTRO Y SEGUIMIENTO DE HALLAZGOS</t>
  </si>
  <si>
    <t>COMPONENTE</t>
  </si>
  <si>
    <t>HALLAZGO</t>
  </si>
  <si>
    <t>CLASIFICACIÓN</t>
  </si>
  <si>
    <t>FECHA LÍMITE</t>
  </si>
  <si>
    <t>EVIDENCIA / URL</t>
  </si>
  <si>
    <t>FECHA CIERRE</t>
  </si>
  <si>
    <t>IMPACTO</t>
  </si>
  <si>
    <t>PRIORIDAD</t>
  </si>
  <si>
    <t>VERIFICADO POR</t>
  </si>
  <si>
    <t>INFORME EJECUTIVO DE VERIFICACIÓN Y AUDITORÍA DOCUMENTAL</t>
  </si>
  <si>
    <t>Generado automáticamente · Resolución 3100 de 2019 · Habilitación de Prestadores de Salud</t>
  </si>
  <si>
    <t xml:space="preserve">  INFORMACIÓN DEL PRESTADOR</t>
  </si>
  <si>
    <t>Dirección</t>
  </si>
  <si>
    <t>Ciudad</t>
  </si>
  <si>
    <t>Auditor</t>
  </si>
  <si>
    <t>Fecha Auditoría</t>
  </si>
  <si>
    <t xml:space="preserve">  RESUMEN EJECUTIVO DE CUMPLIMIENTO</t>
  </si>
  <si>
    <t>Total documentos evaluados</t>
  </si>
  <si>
    <t>Documentos CARGADOS ✅</t>
  </si>
  <si>
    <t>Documentos EN PROCESO ⏳</t>
  </si>
  <si>
    <t>Documentos NO REALIZADOS ❌</t>
  </si>
  <si>
    <t>% Cumplimiento Documental</t>
  </si>
  <si>
    <t>Servicios que coinciden REPS ✅</t>
  </si>
  <si>
    <t>Servicios que NO coinciden ❌</t>
  </si>
  <si>
    <t>Capacidad instalada coincidente</t>
  </si>
  <si>
    <t>Medidas de seguridad activas</t>
  </si>
  <si>
    <t>Total hallazgos registrados</t>
  </si>
  <si>
    <t>Hallazgos No Conformidad Mayor</t>
  </si>
  <si>
    <t>Hallazgos Abiertos / Pendientes</t>
  </si>
  <si>
    <t>Hallazgos Cerrados</t>
  </si>
  <si>
    <t xml:space="preserve">  CONCLUSIÓN Y FIRMA DEL AUDITOR</t>
  </si>
  <si>
    <t xml:space="preserve">
_______________________________
Firma del Auditor</t>
  </si>
  <si>
    <t xml:space="preserve">
_______________________________
Firma Representante Legal IPS</t>
  </si>
  <si>
    <t>CATÁLOGO OFICIAL REPS – 157 SERVICIOS</t>
  </si>
  <si>
    <t>Solo lectura · Resolución 2003 de 2014 · Ministerio de Salud y Protección Social</t>
  </si>
  <si>
    <t>CÓDIGO</t>
  </si>
  <si>
    <t>NOMBRE DEL SERVICIO</t>
  </si>
  <si>
    <t xml:space="preserve">  ▶  Internación  (15 servicios)</t>
  </si>
  <si>
    <t>CUIDADO INTERMEDIO NEONATAL</t>
  </si>
  <si>
    <t>Internación</t>
  </si>
  <si>
    <t>CUIDADO INTERMEDIO PEDIÁTRICO</t>
  </si>
  <si>
    <t>CUIDADO INTERMEDIO ADULTOS</t>
  </si>
  <si>
    <t>CUIDADO INTENSIVO NEONATAL</t>
  </si>
  <si>
    <t>CUIDADO INTENSIVO PEDIÁTRICO</t>
  </si>
  <si>
    <t>CUIDADO INTENSIVO ADULTOS</t>
  </si>
  <si>
    <t>CUIDADO BÁSICO NEONATAL</t>
  </si>
  <si>
    <t>HOSPITALIZACIÓN ADULTOS</t>
  </si>
  <si>
    <t>HOSPITALIZACIÓN PEDIÁTRICA</t>
  </si>
  <si>
    <t>HOSPITALIZACIÓN EN SALUD MENTAL</t>
  </si>
  <si>
    <t>HOSPITALIZACIÓN PARCIAL</t>
  </si>
  <si>
    <t>HOSPITALIZACIÓN PACIENTE CRÓNICO CON VENTILADOR</t>
  </si>
  <si>
    <t>HOSPITALIZACIÓN PACIENTE CRÓNICO SIN VENTILADOR</t>
  </si>
  <si>
    <t>HOSPITALIZACIÓN EN CONSUMO DE SPA</t>
  </si>
  <si>
    <t>CUIDADO BÁSICO DEL CONSUMO DE SPA</t>
  </si>
  <si>
    <t xml:space="preserve">  ▶  Quirúrgicos  (24 servicios)</t>
  </si>
  <si>
    <t>CIRUGÍA DE CABEZA Y CUELLO</t>
  </si>
  <si>
    <t>Quirúrgicos</t>
  </si>
  <si>
    <t>CIRUGÍA CARDIOVASCULAR</t>
  </si>
  <si>
    <t>CIRUGÍA GENERAL</t>
  </si>
  <si>
    <t>CIRUGÍA GINECOLÓGICA</t>
  </si>
  <si>
    <t>CIRUGÍA MAXILOFACIAL</t>
  </si>
  <si>
    <t>CIRUGÍA ORTOPÉDICA</t>
  </si>
  <si>
    <t>CIRUGÍA OFTALMOLÓGICA</t>
  </si>
  <si>
    <t>CIRUGÍA OTORRINOLARINGOLOGÍA</t>
  </si>
  <si>
    <t>CIRUGÍA ONCOLÓGICA</t>
  </si>
  <si>
    <t>CIRUGÍA ORAL</t>
  </si>
  <si>
    <t>CIRUGÍA PEDIÁTRICA</t>
  </si>
  <si>
    <t>CIRUGÍA PLÁSTICA Y ESTÉTICA</t>
  </si>
  <si>
    <t>CIRUGÍA VASCULAR Y ANGIOLÓGICA</t>
  </si>
  <si>
    <t>CIRUGÍA UROLÓGICA</t>
  </si>
  <si>
    <t>OTRAS CIRUGÍAS</t>
  </si>
  <si>
    <t>CIRUGÍA ENDOVASCULAR NEUROLÓGICA</t>
  </si>
  <si>
    <t>CIRUGÍA ONCOLÓGICA PEDIÁTRICA</t>
  </si>
  <si>
    <t>CIRUGÍA DE LA MANO</t>
  </si>
  <si>
    <t>CIRUGÍA DE MAMA Y TUMORES TEJIDOS BLANDOS</t>
  </si>
  <si>
    <t>CIRUGÍA DERMATOLÓGICA</t>
  </si>
  <si>
    <t>CIRUGÍA DE TÓRAX</t>
  </si>
  <si>
    <t>CIRUGÍA GASTROINTESTINAL</t>
  </si>
  <si>
    <t>CIRUGÍA PLÁSTICA ONCOLÓGICA</t>
  </si>
  <si>
    <t>NEUROCIRUGÍA</t>
  </si>
  <si>
    <t xml:space="preserve">  ▶  Consulta Externa  (91 servicios)</t>
  </si>
  <si>
    <t>ANESTESIA</t>
  </si>
  <si>
    <t>Consulta Externa</t>
  </si>
  <si>
    <t>CARDIOLOGÍA</t>
  </si>
  <si>
    <t>DERMATOLOGÍA</t>
  </si>
  <si>
    <t>DOLOR Y CUIDADOS PALIATIVOS</t>
  </si>
  <si>
    <t>ENDOCRINOLOGÍA</t>
  </si>
  <si>
    <t>ENDODONCIA</t>
  </si>
  <si>
    <t>ENFERMERÍA</t>
  </si>
  <si>
    <t>ESTOMATOLOGÍA</t>
  </si>
  <si>
    <t>GASTROENTEROLOGÍA</t>
  </si>
  <si>
    <t>GENÉTICA</t>
  </si>
  <si>
    <t>GERIATRÍA</t>
  </si>
  <si>
    <t>GINECOBSTETRICIA</t>
  </si>
  <si>
    <t>HEMATOLOGÍA</t>
  </si>
  <si>
    <t>INFECTOLOGÍA</t>
  </si>
  <si>
    <t>INMUNOLOGÍA</t>
  </si>
  <si>
    <t>MEDICINA FAMILIAR</t>
  </si>
  <si>
    <t>MEDICINA FÍSICA Y DEL DEPORTE</t>
  </si>
  <si>
    <t>MEDICINA FÍSICA Y REHABILITACIÓN</t>
  </si>
  <si>
    <t>MEDICINA GENERAL</t>
  </si>
  <si>
    <t>MEDICINA INTERNA</t>
  </si>
  <si>
    <t>NEFROLOGÍA</t>
  </si>
  <si>
    <t>NEUMOLOGÍA</t>
  </si>
  <si>
    <t>NEUROLOGÍA</t>
  </si>
  <si>
    <t>NUTRICIÓN Y DIETÉTICA</t>
  </si>
  <si>
    <t>ODONTOLOGÍA GENERAL</t>
  </si>
  <si>
    <t>OFTALMOLOGÍA</t>
  </si>
  <si>
    <t>ONCOLOGÍA CLÍNICA</t>
  </si>
  <si>
    <t>OPTOMETRÍA</t>
  </si>
  <si>
    <t>ORTODONCIA</t>
  </si>
  <si>
    <t>ORTOPEDIA Y/O TRAUMATOLOGÍA</t>
  </si>
  <si>
    <t>OTORRINOLARINGOLOGÍA</t>
  </si>
  <si>
    <t>PEDIATRÍA</t>
  </si>
  <si>
    <t>PERIODONCIA</t>
  </si>
  <si>
    <t>PSICOLOGÍA</t>
  </si>
  <si>
    <t>PSIQUIATRÍA</t>
  </si>
  <si>
    <t>REHABILITACIÓN ONCOLÓGICA</t>
  </si>
  <si>
    <t>REHABILITACIÓN ORAL</t>
  </si>
  <si>
    <t>REUMATOLOGÍA</t>
  </si>
  <si>
    <t>TOXICOLOGÍA</t>
  </si>
  <si>
    <t>UROLOGÍA</t>
  </si>
  <si>
    <t>OTRAS CONSULTAS DE ESPECIALIDAD</t>
  </si>
  <si>
    <t>CARDIOLOGÍA PEDIÁTRICA</t>
  </si>
  <si>
    <t>CIRUGÍA DE MANO</t>
  </si>
  <si>
    <t>CIRUGÍA GINECOLÓGICA LAPAROSCÓPICA</t>
  </si>
  <si>
    <t>OTRAS CONSULTAS GENERALES</t>
  </si>
  <si>
    <t>CIRUGÍA VASCULAR</t>
  </si>
  <si>
    <t>DERMATOLOGÍA ONCOLÓGICA</t>
  </si>
  <si>
    <t>COLOPROCTOLOGÍA</t>
  </si>
  <si>
    <t>GINECOLOGÍA ONCOLÓGICA</t>
  </si>
  <si>
    <t>MEDICINA NUCLEAR</t>
  </si>
  <si>
    <t>NEFROLOGÍA PEDIÁTRICA</t>
  </si>
  <si>
    <t>NEONATOLOGÍA</t>
  </si>
  <si>
    <t>NEUMOLOGÍA PEDIÁTRICA</t>
  </si>
  <si>
    <t>NEUROPEDIATRÍA</t>
  </si>
  <si>
    <t>OFTALMOLOGÍA ONCOLÓGICA</t>
  </si>
  <si>
    <t>ONCOLOGÍA Y HEMATOLOGÍA PEDIÁTRICA</t>
  </si>
  <si>
    <t>ORTOPEDIA ONCOLÓGICA</t>
  </si>
  <si>
    <t>UROLOGÍA ONCOLÓGICA</t>
  </si>
  <si>
    <t>ODONTOPEDIATRÍA</t>
  </si>
  <si>
    <t>MEDICINA ESTÉTICA</t>
  </si>
  <si>
    <t>HEMATOLOGÍA ONCOLÓGICA</t>
  </si>
  <si>
    <t>MEDICINA DEL TRABAJO Y MEDICINA LABORAL</t>
  </si>
  <si>
    <t>RADIOTERAPIA</t>
  </si>
  <si>
    <t>ORTOPEDIA PEDIÁTRICA</t>
  </si>
  <si>
    <t>MEDICINA ALT. Y COMPL. - HOMEOPÁTICA</t>
  </si>
  <si>
    <t>MEDICINA ALT. Y COMPL. - AYURVÉDICA</t>
  </si>
  <si>
    <t>MEDICINA ALT. Y COMPL. - TRADICIONAL CHINA</t>
  </si>
  <si>
    <t>MEDICINA ALT. Y COMPL. - NATUROPÁTICA</t>
  </si>
  <si>
    <t>MEDICINA ALT. Y COMPL. - NEURALTERAPÉUTICA</t>
  </si>
  <si>
    <t>TERAPIAS ALT. Y COMPL. - BIOENERGÉTICA</t>
  </si>
  <si>
    <t>TERAPIAS ALT. Y COMPL. - TERAPIA CON FILTROS</t>
  </si>
  <si>
    <t>TERAPIAS ALT. Y COMPL. - TERAPIAS MANUALES</t>
  </si>
  <si>
    <t>VACUNACIÓN</t>
  </si>
  <si>
    <t>PATOLOGÍA</t>
  </si>
  <si>
    <t>MEDICINA ALT. Y COMPL. - OSTEOPÁTICA</t>
  </si>
  <si>
    <t>SEGURIDAD Y SALUD EN EL TRABAJO</t>
  </si>
  <si>
    <t xml:space="preserve">  ▶  Apoyo Dx y Complementación Terapéutica  (22 servicios)</t>
  </si>
  <si>
    <t>Apoyo Dx y Complementación Terapéutica</t>
  </si>
  <si>
    <t>QUIMIOTERAPIA</t>
  </si>
  <si>
    <t>TOMA DE MUESTRAS DE LABORATORIO CLÍNICO</t>
  </si>
  <si>
    <t>SERVICIO FARMACÉUTICO</t>
  </si>
  <si>
    <t>LABORATORIO CITOLOGÍAS CERVICO-UTERINAS</t>
  </si>
  <si>
    <t>TERAPIA OCUPACIONAL</t>
  </si>
  <si>
    <t>TERAPIA RESPIRATORIA</t>
  </si>
  <si>
    <t>LABORATORIO DE HISTOTECNOLOGÍA</t>
  </si>
  <si>
    <t>HEMODIÁLISIS</t>
  </si>
  <si>
    <t>DIÁLISIS PERITONEAL</t>
  </si>
  <si>
    <t>FISIOTERAPIA</t>
  </si>
  <si>
    <t>FONOAUDIOLOGÍA Y/O TERAPIA DEL LENGUAJE</t>
  </si>
  <si>
    <t>DIAGNÓSTICO VASCULAR</t>
  </si>
  <si>
    <t>HEMODINAMIA E INTERVENCIONISMO</t>
  </si>
  <si>
    <t>IMÁGENES DIAGNÓSTICAS - IONIZANTES</t>
  </si>
  <si>
    <t>IMÁGENES DIAGNÓSTICAS - NO IONIZANTES</t>
  </si>
  <si>
    <t>GESTIÓN PRE-TRANSFUSIONAL</t>
  </si>
  <si>
    <t>RADIOLOGÍA ODONTOLÓGICA</t>
  </si>
  <si>
    <t>TOMA DE MUESTRAS CERVICO-UTERINAS Y GINECOLÓGICAS</t>
  </si>
  <si>
    <t xml:space="preserve">  ▶  Atención Inmediata  (5 servicios)</t>
  </si>
  <si>
    <t>ATENCIÓN DEL PARTO</t>
  </si>
  <si>
    <t>Atención Inmediata</t>
  </si>
  <si>
    <t>URGENCIAS</t>
  </si>
  <si>
    <t>TRANSPORTE ASISTENCIAL BÁSICO</t>
  </si>
  <si>
    <t>TRANSPORTE ASISTENCIAL MEDICALIZADO</t>
  </si>
  <si>
    <t>ATENCIÓN PREHOSPITALARIA</t>
  </si>
  <si>
    <t>Servicio</t>
  </si>
  <si>
    <t>Código</t>
  </si>
  <si>
    <t>GRP_Internacion</t>
  </si>
  <si>
    <t>GRP_Quirurgicos</t>
  </si>
  <si>
    <t>GRP_Consulta_Externa</t>
  </si>
  <si>
    <t>GRP_Apoyo_Dx_y_Complementacion_Terapeutica</t>
  </si>
  <si>
    <t>GRP_Atencion_Inmediata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</si>
</sst>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charset val="1"/>
    </font>
    <font>
      <b/>
      <sz val="14"/>
      <color rgb="FFFFFFFF"/>
      <name val="Arial"/>
      <charset val="1"/>
    </font>
    <font>
      <b/>
      <sz val="10"/>
      <color rgb="FFFFFFFF"/>
      <name val="Arial"/>
      <charset val="1"/>
    </font>
    <font>
      <sz val="10"/>
      <color rgb="FF1565C0"/>
      <name val="Arial"/>
      <charset val="1"/>
    </font>
    <font>
      <b/>
      <sz val="9"/>
      <color rgb="FF0D3B66"/>
      <name val="Arial"/>
      <charset val="1"/>
    </font>
    <font>
      <sz val="10"/>
      <color rgb="FF000000"/>
      <name val="Arial"/>
      <charset val="1"/>
    </font>
    <font>
      <b/>
      <sz val="9"/>
      <color rgb="FFE65100"/>
      <name val="Arial"/>
      <charset val="1"/>
    </font>
    <font>
      <b/>
      <sz val="9"/>
      <color rgb="FFFFFFFF"/>
      <name val="Arial"/>
      <charset val="1"/>
    </font>
    <font>
      <u/>
      <sz val="10"/>
      <color rgb="FF1565C0"/>
      <name val="Arial"/>
      <charset val="1"/>
    </font>
    <font>
      <b/>
      <sz val="9"/>
      <color rgb="FFFFD54F"/>
      <name val="Arial"/>
      <charset val="1"/>
    </font>
    <font>
      <b/>
      <sz val="13"/>
      <color rgb="FFFFFFFF"/>
      <name val="Arial"/>
      <charset val="1"/>
    </font>
    <font>
      <b/>
      <sz val="10"/>
      <color rgb="FF4A148C"/>
      <name val="Arial"/>
      <charset val="1"/>
    </font>
    <font>
      <b/>
      <sz val="8"/>
      <color rgb="FFFFFFFF"/>
      <name val="Arial"/>
      <charset val="1"/>
    </font>
    <font>
      <b/>
      <sz val="22"/>
      <color rgb="FFFFFFFF"/>
      <name val="Arial"/>
      <charset val="1"/>
    </font>
    <font>
      <sz val="9"/>
      <color rgb="FF000000"/>
      <name val="Arial"/>
      <charset val="1"/>
    </font>
    <font>
      <b/>
      <sz val="9"/>
      <color rgb="FF000000"/>
      <name val="Arial"/>
      <charset val="1"/>
    </font>
    <font>
      <b/>
      <sz val="12"/>
      <color rgb="FFFFFFFF"/>
      <name val="Arial"/>
      <charset val="1"/>
    </font>
    <font>
      <b/>
      <sz val="20"/>
      <color rgb="FFFFFFFF"/>
      <name val="Arial"/>
      <charset val="1"/>
    </font>
    <font>
      <sz val="9"/>
      <color rgb="FF3E2723"/>
      <name val="Arial"/>
      <charset val="1"/>
    </font>
    <font>
      <b/>
      <sz val="9"/>
      <color rgb="FF1565C0"/>
      <name val="Arial"/>
      <charset val="1"/>
    </font>
    <font>
      <b/>
      <sz val="9"/>
      <color rgb="FFB71C1C"/>
      <name val="Arial"/>
      <charset val="1"/>
    </font>
    <font>
      <b/>
      <sz val="24"/>
      <color rgb="FFFFFFFF"/>
      <name val="Arial"/>
      <charset val="1"/>
    </font>
    <font>
      <b/>
      <sz val="11"/>
      <color rgb="FFFFFFFF"/>
      <name val="Arial"/>
      <charset val="1"/>
    </font>
    <font>
      <b/>
      <sz val="10"/>
      <color rgb="FF0D3B66"/>
      <name val="Arial"/>
      <charset val="1"/>
    </font>
    <font>
      <b/>
      <sz val="12"/>
      <color rgb="FF000000"/>
      <name val="Arial"/>
      <charset val="1"/>
    </font>
    <font>
      <sz val="9"/>
      <color rgb="FF546E7A"/>
      <name val="Arial"/>
      <charset val="1"/>
    </font>
  </fonts>
  <fills count="21">
    <fill>
      <patternFill patternType="none"/>
    </fill>
    <fill>
      <patternFill patternType="gray125"/>
    </fill>
    <fill>
      <patternFill patternType="solid">
        <fgColor rgb="FF0D3B66"/>
        <bgColor rgb="FF37474F"/>
      </patternFill>
    </fill>
    <fill>
      <patternFill patternType="solid">
        <fgColor rgb="FF1565C0"/>
        <bgColor rgb="FF3366FF"/>
      </patternFill>
    </fill>
    <fill>
      <patternFill patternType="solid">
        <fgColor rgb="FFEBF5FB"/>
        <bgColor rgb="FFE3F2FD"/>
      </patternFill>
    </fill>
    <fill>
      <patternFill patternType="solid">
        <fgColor rgb="FFBBDEFB"/>
        <bgColor rgb="FFE3F2FD"/>
      </patternFill>
    </fill>
    <fill>
      <patternFill patternType="solid">
        <fgColor rgb="FFFFFFFF"/>
        <bgColor rgb="FFEBF5FB"/>
      </patternFill>
    </fill>
    <fill>
      <patternFill patternType="solid">
        <fgColor rgb="FFE65100"/>
        <bgColor rgb="FFF57F17"/>
      </patternFill>
    </fill>
    <fill>
      <patternFill patternType="solid">
        <fgColor rgb="FFFFF3E0"/>
        <bgColor rgb="FFFFF9C4"/>
      </patternFill>
    </fill>
    <fill>
      <patternFill patternType="solid">
        <fgColor rgb="FF1B5E20"/>
        <bgColor rgb="FF37474F"/>
      </patternFill>
    </fill>
    <fill>
      <patternFill patternType="solid">
        <fgColor rgb="FFF57F17"/>
        <bgColor rgb="FFFF8080"/>
      </patternFill>
    </fill>
    <fill>
      <patternFill patternType="solid">
        <fgColor rgb="FFE3F2FD"/>
        <bgColor rgb="FFEBF5FB"/>
      </patternFill>
    </fill>
    <fill>
      <patternFill patternType="solid">
        <fgColor rgb="FFB71C1C"/>
        <bgColor rgb="FFC62828"/>
      </patternFill>
    </fill>
    <fill>
      <patternFill patternType="solid">
        <fgColor rgb="FF546E7A"/>
        <bgColor rgb="FF808080"/>
      </patternFill>
    </fill>
    <fill>
      <patternFill patternType="solid">
        <fgColor rgb="FF37474F"/>
        <bgColor rgb="FF0D3B66"/>
      </patternFill>
    </fill>
    <fill>
      <patternFill patternType="solid">
        <fgColor rgb="FF4A148C"/>
        <bgColor rgb="FF800080"/>
      </patternFill>
    </fill>
    <fill>
      <patternFill patternType="solid">
        <fgColor rgb="FFEDE7F6"/>
        <bgColor rgb="FFE3F2FD"/>
      </patternFill>
    </fill>
    <fill>
      <patternFill patternType="solid">
        <fgColor rgb="FFE8F5E9"/>
        <bgColor rgb="FFEBF5FB"/>
      </patternFill>
    </fill>
    <fill>
      <patternFill patternType="solid">
        <fgColor rgb="FFFFF9C4"/>
        <bgColor rgb="FFFFF3E0"/>
      </patternFill>
    </fill>
    <fill>
      <patternFill patternType="solid">
        <fgColor rgb="FFC62828"/>
        <bgColor rgb="FFB71C1C"/>
      </patternFill>
    </fill>
    <fill>
      <patternFill patternType="solid">
        <fgColor rgb="FFFFCDD2"/>
        <bgColor rgb="FFEDE7F6"/>
      </patternFill>
    </fill>
  </fills>
  <borders count="22">
    <border>
      <left/>
      <right/>
      <top/>
      <bottom/>
      <diagonal/>
    </border>
    <border>
      <left style="medium">
        <color rgb="FF0D3B66"/>
      </left>
      <right/>
      <top style="medium">
        <color rgb="FF0D3B66"/>
      </top>
      <bottom style="medium">
        <color rgb="FF0D3B66"/>
      </bottom>
      <diagonal/>
    </border>
    <border>
      <left style="thin">
        <color rgb="FFFFFFFF"/>
      </left>
      <right/>
      <top style="thin">
        <color rgb="FFFFFFFF"/>
      </top>
      <bottom style="thin">
        <color rgb="FFFFFFFF"/>
      </bottom>
      <diagonal/>
    </border>
    <border>
      <left style="dashDot">
        <color rgb="FF1565C0"/>
      </left>
      <right/>
      <top style="dashDot">
        <color rgb="FF1565C0"/>
      </top>
      <bottom/>
      <diagonal/>
    </border>
    <border>
      <left style="thin">
        <color rgb="FFBDBDBD"/>
      </left>
      <right/>
      <top style="thin">
        <color rgb="FFBDBDBD"/>
      </top>
      <bottom style="thin">
        <color rgb="FFBDBDBD"/>
      </bottom>
      <diagonal/>
    </border>
    <border>
      <left style="thin">
        <color rgb="FF1565C0"/>
      </left>
      <right/>
      <top style="thin">
        <color rgb="FF1565C0"/>
      </top>
      <bottom style="thin">
        <color rgb="FF1565C0"/>
      </bottom>
      <diagonal/>
    </border>
    <border>
      <left style="thin">
        <color rgb="FFF57F17"/>
      </left>
      <right/>
      <top style="thin">
        <color rgb="FFF57F17"/>
      </top>
      <bottom style="thin">
        <color rgb="FFF57F17"/>
      </bottom>
      <diagonal/>
    </border>
    <border>
      <left style="medium">
        <color rgb="FF1B5E20"/>
      </left>
      <right/>
      <top style="medium">
        <color rgb="FF1B5E20"/>
      </top>
      <bottom style="medium">
        <color rgb="FF1B5E20"/>
      </bottom>
      <diagonal/>
    </border>
    <border>
      <left style="medium">
        <color rgb="FFF57F17"/>
      </left>
      <right/>
      <top style="medium">
        <color rgb="FFF57F17"/>
      </top>
      <bottom style="medium">
        <color rgb="FFF57F17"/>
      </bottom>
      <diagonal/>
    </border>
    <border>
      <left style="medium">
        <color rgb="FFB71C1C"/>
      </left>
      <right/>
      <top style="medium">
        <color rgb="FFB71C1C"/>
      </top>
      <bottom style="medium">
        <color rgb="FFB71C1C"/>
      </bottom>
      <diagonal/>
    </border>
    <border>
      <left style="medium">
        <color rgb="FF546E7A"/>
      </left>
      <right/>
      <top style="medium">
        <color rgb="FF546E7A"/>
      </top>
      <bottom style="medium">
        <color rgb="FF546E7A"/>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medium">
        <color rgb="FF1B5E20"/>
      </left>
      <right style="medium">
        <color rgb="FF1B5E20"/>
      </right>
      <top style="medium">
        <color rgb="FF1B5E20"/>
      </top>
      <bottom style="medium">
        <color rgb="FF1B5E20"/>
      </bottom>
      <diagonal/>
    </border>
    <border>
      <left style="medium">
        <color rgb="FFF57F17"/>
      </left>
      <right style="medium">
        <color rgb="FFF57F17"/>
      </right>
      <top style="medium">
        <color rgb="FFF57F17"/>
      </top>
      <bottom style="medium">
        <color rgb="FFF57F17"/>
      </bottom>
      <diagonal/>
    </border>
    <border>
      <left style="medium">
        <color rgb="FFB71C1C"/>
      </left>
      <right style="medium">
        <color rgb="FFB71C1C"/>
      </right>
      <top style="medium">
        <color rgb="FFB71C1C"/>
      </top>
      <bottom style="medium">
        <color rgb="FFB71C1C"/>
      </bottom>
      <diagonal/>
    </border>
    <border>
      <left style="medium">
        <color rgb="FF546E7A"/>
      </left>
      <right style="medium">
        <color rgb="FF546E7A"/>
      </right>
      <top style="medium">
        <color rgb="FF546E7A"/>
      </top>
      <bottom style="medium">
        <color rgb="FF546E7A"/>
      </bottom>
      <diagonal/>
    </border>
    <border>
      <left style="medium">
        <color rgb="FF0D3B66"/>
      </left>
      <right style="medium">
        <color rgb="FF0D3B66"/>
      </right>
      <top style="medium">
        <color rgb="FF0D3B66"/>
      </top>
      <bottom style="medium">
        <color rgb="FF0D3B66"/>
      </bottom>
      <diagonal/>
    </border>
    <border>
      <left style="thin">
        <color rgb="FFBDBDBD"/>
      </left>
      <right style="thin">
        <color rgb="FFBDBDBD"/>
      </right>
      <top style="thin">
        <color rgb="FFBDBDBD"/>
      </top>
      <bottom style="thin">
        <color rgb="FFBDBDBD"/>
      </bottom>
      <diagonal/>
    </border>
    <border>
      <left style="thin">
        <color rgb="FF1565C0"/>
      </left>
      <right style="thin">
        <color rgb="FF1565C0"/>
      </right>
      <top style="thin">
        <color rgb="FF1565C0"/>
      </top>
      <bottom style="thin">
        <color rgb="FF1565C0"/>
      </bottom>
      <diagonal/>
    </border>
    <border>
      <left style="thin">
        <color rgb="FF1565C0"/>
      </left>
      <right/>
      <top style="thin">
        <color rgb="FF1565C0"/>
      </top>
      <bottom/>
      <diagonal/>
    </border>
    <border>
      <left style="thin">
        <color rgb="FFBDBDBD"/>
      </left>
      <right/>
      <top style="thin">
        <color rgb="FFBDBDBD"/>
      </top>
      <bottom/>
      <diagonal/>
    </border>
  </borders>
  <cellStyleXfs count="1">
    <xf numFmtId="0" fontId="0" fillId="0" borderId="0"/>
  </cellStyleXfs>
  <cellXfs count="159">
    <xf numFmtId="0" fontId="0" fillId="0" borderId="0" xfId="0"/>
    <xf numFmtId="0" fontId="8" fillId="11" borderId="4" xfId="0" applyFont="1" applyFill="1" applyBorder="1" applyAlignment="1">
      <alignment horizontal="left" vertical="center"/>
    </xf>
    <xf numFmtId="0" fontId="7" fillId="10" borderId="8" xfId="0" applyFont="1" applyFill="1" applyBorder="1" applyAlignment="1">
      <alignment horizontal="center" vertical="center"/>
    </xf>
    <xf numFmtId="0" fontId="7" fillId="9" borderId="7" xfId="0" applyFont="1" applyFill="1" applyBorder="1" applyAlignment="1">
      <alignment horizontal="center" vertical="center"/>
    </xf>
    <xf numFmtId="0" fontId="7" fillId="2" borderId="0" xfId="0" applyFont="1" applyFill="1" applyAlignment="1">
      <alignment horizontal="left" vertical="center"/>
    </xf>
    <xf numFmtId="0" fontId="5" fillId="6" borderId="6" xfId="0" applyFont="1" applyFill="1" applyBorder="1" applyAlignment="1">
      <alignment horizontal="left" vertical="center"/>
    </xf>
    <xf numFmtId="0" fontId="6" fillId="8" borderId="4" xfId="0" applyFont="1" applyFill="1" applyBorder="1" applyAlignment="1">
      <alignment horizontal="left" vertical="center"/>
    </xf>
    <xf numFmtId="0" fontId="2" fillId="7" borderId="0" xfId="0" applyFont="1" applyFill="1" applyAlignment="1">
      <alignment horizontal="left" vertical="center"/>
    </xf>
    <xf numFmtId="0" fontId="0" fillId="2" borderId="0" xfId="0" applyFill="1"/>
    <xf numFmtId="0" fontId="5" fillId="6" borderId="5" xfId="0" applyFont="1" applyFill="1" applyBorder="1" applyAlignment="1">
      <alignment horizontal="left" vertical="center"/>
    </xf>
    <xf numFmtId="0" fontId="4" fillId="5" borderId="4" xfId="0" applyFont="1" applyFill="1" applyBorder="1" applyAlignment="1">
      <alignment horizontal="left" vertical="center"/>
    </xf>
    <xf numFmtId="0" fontId="3" fillId="4" borderId="3" xfId="0" applyFont="1" applyFill="1" applyBorder="1" applyAlignment="1">
      <alignment horizontal="center" vertical="center" wrapText="1"/>
    </xf>
    <xf numFmtId="0" fontId="2" fillId="2" borderId="0" xfId="0" applyFont="1" applyFill="1" applyAlignment="1">
      <alignment horizontal="left" vertical="center"/>
    </xf>
    <xf numFmtId="0" fontId="2" fillId="3" borderId="2" xfId="0" applyFont="1" applyFill="1" applyBorder="1" applyAlignment="1">
      <alignment horizontal="center" vertical="center"/>
    </xf>
    <xf numFmtId="0" fontId="1" fillId="2" borderId="1" xfId="0" applyFont="1" applyFill="1" applyBorder="1" applyAlignment="1">
      <alignment horizontal="center" vertical="center"/>
    </xf>
    <xf numFmtId="0" fontId="7" fillId="2" borderId="11" xfId="0" applyFont="1" applyFill="1" applyBorder="1" applyAlignment="1">
      <alignment horizontal="left" vertical="center"/>
    </xf>
    <xf numFmtId="0" fontId="7" fillId="3" borderId="11" xfId="0" applyFont="1" applyFill="1" applyBorder="1" applyAlignment="1">
      <alignment horizontal="left" vertical="center"/>
    </xf>
    <xf numFmtId="0" fontId="7" fillId="7" borderId="11" xfId="0" applyFont="1" applyFill="1" applyBorder="1" applyAlignment="1">
      <alignment horizontal="left" vertical="center"/>
    </xf>
    <xf numFmtId="0" fontId="7" fillId="9" borderId="11" xfId="0" applyFont="1" applyFill="1" applyBorder="1" applyAlignment="1">
      <alignment horizontal="left" vertical="center"/>
    </xf>
    <xf numFmtId="0" fontId="7" fillId="14" borderId="11" xfId="0" applyFont="1" applyFill="1" applyBorder="1" applyAlignment="1">
      <alignment horizontal="left" vertical="center"/>
    </xf>
    <xf numFmtId="0" fontId="7" fillId="12" borderId="11" xfId="0" applyFont="1" applyFill="1" applyBorder="1" applyAlignment="1">
      <alignment horizontal="left" vertical="center"/>
    </xf>
    <xf numFmtId="0" fontId="7" fillId="15" borderId="11" xfId="0" applyFont="1" applyFill="1" applyBorder="1" applyAlignment="1">
      <alignment horizontal="left" vertical="center"/>
    </xf>
    <xf numFmtId="0" fontId="7" fillId="13" borderId="11" xfId="0" applyFont="1" applyFill="1" applyBorder="1" applyAlignment="1">
      <alignment horizontal="left" vertical="center"/>
    </xf>
    <xf numFmtId="0" fontId="7" fillId="9" borderId="13" xfId="0" applyFont="1" applyFill="1" applyBorder="1" applyAlignment="1">
      <alignment horizontal="center" vertical="center"/>
    </xf>
    <xf numFmtId="0" fontId="7" fillId="10" borderId="14" xfId="0" applyFont="1" applyFill="1" applyBorder="1" applyAlignment="1">
      <alignment horizontal="center" vertical="center"/>
    </xf>
    <xf numFmtId="0" fontId="7" fillId="12" borderId="15" xfId="0" applyFont="1" applyFill="1" applyBorder="1" applyAlignment="1">
      <alignment horizontal="center" vertical="center"/>
    </xf>
    <xf numFmtId="0" fontId="7" fillId="13" borderId="16" xfId="0" applyFont="1" applyFill="1" applyBorder="1" applyAlignment="1">
      <alignment horizontal="center" vertical="center"/>
    </xf>
    <xf numFmtId="0" fontId="0" fillId="6" borderId="0" xfId="0" applyFill="1"/>
    <xf numFmtId="0" fontId="12" fillId="9" borderId="17" xfId="0" applyFont="1" applyFill="1" applyBorder="1" applyAlignment="1">
      <alignment horizontal="center" vertical="center" wrapText="1"/>
    </xf>
    <xf numFmtId="0" fontId="12" fillId="10" borderId="17" xfId="0" applyFont="1" applyFill="1" applyBorder="1" applyAlignment="1">
      <alignment horizontal="center" vertical="center" wrapText="1"/>
    </xf>
    <xf numFmtId="0" fontId="12" fillId="12" borderId="17" xfId="0" applyFont="1" applyFill="1" applyBorder="1" applyAlignment="1">
      <alignment horizontal="center" vertical="center" wrapText="1"/>
    </xf>
    <xf numFmtId="0" fontId="13" fillId="9" borderId="17" xfId="0" applyFont="1" applyFill="1" applyBorder="1" applyAlignment="1">
      <alignment horizontal="center" vertical="center"/>
    </xf>
    <xf numFmtId="0" fontId="13" fillId="10" borderId="17" xfId="0" applyFont="1" applyFill="1" applyBorder="1" applyAlignment="1">
      <alignment horizontal="center" vertical="center"/>
    </xf>
    <xf numFmtId="0" fontId="13" fillId="12" borderId="17" xfId="0" applyFont="1" applyFill="1" applyBorder="1" applyAlignment="1">
      <alignment horizontal="center" vertical="center"/>
    </xf>
    <xf numFmtId="0" fontId="7" fillId="2" borderId="11" xfId="0" applyFont="1" applyFill="1" applyBorder="1" applyAlignment="1">
      <alignment horizontal="center" vertical="center" wrapText="1"/>
    </xf>
    <xf numFmtId="0" fontId="4" fillId="3" borderId="18" xfId="0" applyFont="1" applyFill="1" applyBorder="1" applyAlignment="1">
      <alignment horizontal="center" vertical="center"/>
    </xf>
    <xf numFmtId="0" fontId="14" fillId="6" borderId="18" xfId="0" applyFont="1" applyFill="1" applyBorder="1" applyAlignment="1">
      <alignment horizontal="left" vertical="center" wrapText="1"/>
    </xf>
    <xf numFmtId="0" fontId="14" fillId="6" borderId="18" xfId="0" applyFont="1" applyFill="1" applyBorder="1" applyAlignment="1">
      <alignment horizontal="center" vertical="center"/>
    </xf>
    <xf numFmtId="0" fontId="15" fillId="8" borderId="18" xfId="0" applyFont="1" applyFill="1" applyBorder="1" applyAlignment="1">
      <alignment horizontal="center" vertical="center"/>
    </xf>
    <xf numFmtId="0" fontId="14" fillId="17" borderId="18" xfId="0" applyFont="1" applyFill="1" applyBorder="1" applyAlignment="1">
      <alignment horizontal="left" vertical="center" wrapText="1"/>
    </xf>
    <xf numFmtId="0" fontId="14" fillId="11" borderId="18" xfId="0" applyFont="1" applyFill="1" applyBorder="1" applyAlignment="1">
      <alignment horizontal="left" vertical="center" wrapText="1"/>
    </xf>
    <xf numFmtId="0" fontId="14" fillId="11" borderId="18" xfId="0" applyFont="1" applyFill="1" applyBorder="1" applyAlignment="1">
      <alignment horizontal="center" vertical="center"/>
    </xf>
    <xf numFmtId="0" fontId="2" fillId="9" borderId="17" xfId="0" applyFont="1" applyFill="1" applyBorder="1" applyAlignment="1">
      <alignment horizontal="center" vertical="center"/>
    </xf>
    <xf numFmtId="0" fontId="2" fillId="10" borderId="17" xfId="0" applyFont="1" applyFill="1" applyBorder="1" applyAlignment="1">
      <alignment horizontal="center" vertical="center"/>
    </xf>
    <xf numFmtId="0" fontId="2" fillId="12" borderId="17" xfId="0" applyFont="1" applyFill="1" applyBorder="1" applyAlignment="1">
      <alignment horizontal="center" vertical="center"/>
    </xf>
    <xf numFmtId="0" fontId="2" fillId="13" borderId="17" xfId="0" applyFont="1" applyFill="1" applyBorder="1" applyAlignment="1">
      <alignment horizontal="center" vertical="center"/>
    </xf>
    <xf numFmtId="0" fontId="2" fillId="2" borderId="17" xfId="0" applyFont="1" applyFill="1" applyBorder="1" applyAlignment="1">
      <alignment horizontal="center" vertical="center"/>
    </xf>
    <xf numFmtId="164" fontId="2" fillId="15" borderId="17" xfId="0" applyNumberFormat="1" applyFont="1" applyFill="1" applyBorder="1" applyAlignment="1">
      <alignment horizontal="center" vertical="center"/>
    </xf>
    <xf numFmtId="0" fontId="0" fillId="6" borderId="19" xfId="0" applyFill="1" applyBorder="1"/>
    <xf numFmtId="0" fontId="19" fillId="6" borderId="18" xfId="0" applyFont="1" applyFill="1" applyBorder="1" applyAlignment="1">
      <alignment horizontal="center" vertical="center"/>
    </xf>
    <xf numFmtId="0" fontId="0" fillId="16" borderId="18" xfId="0" applyFill="1" applyBorder="1" applyAlignment="1">
      <alignment horizontal="left" vertical="center"/>
    </xf>
    <xf numFmtId="0" fontId="0" fillId="17" borderId="18" xfId="0" applyFill="1" applyBorder="1" applyAlignment="1">
      <alignment horizontal="left" vertical="center" wrapText="1"/>
    </xf>
    <xf numFmtId="0" fontId="6" fillId="8" borderId="18" xfId="0" applyFont="1" applyFill="1" applyBorder="1" applyAlignment="1">
      <alignment horizontal="center" vertical="center"/>
    </xf>
    <xf numFmtId="0" fontId="14" fillId="6" borderId="18" xfId="0" applyFont="1" applyFill="1" applyBorder="1" applyAlignment="1">
      <alignment horizontal="center" vertical="center" wrapText="1"/>
    </xf>
    <xf numFmtId="0" fontId="19" fillId="11" borderId="18" xfId="0" applyFont="1" applyFill="1" applyBorder="1" applyAlignment="1">
      <alignment horizontal="center" vertical="center"/>
    </xf>
    <xf numFmtId="0" fontId="14" fillId="11" borderId="18" xfId="0" applyFont="1" applyFill="1" applyBorder="1" applyAlignment="1">
      <alignment horizontal="center" vertical="center" wrapText="1"/>
    </xf>
    <xf numFmtId="0" fontId="14" fillId="11" borderId="18" xfId="0" applyFont="1" applyFill="1" applyBorder="1" applyAlignment="1">
      <alignment horizontal="left" vertical="center"/>
    </xf>
    <xf numFmtId="0" fontId="15" fillId="11" borderId="18" xfId="0" applyFont="1" applyFill="1" applyBorder="1" applyAlignment="1">
      <alignment horizontal="center" vertical="center"/>
    </xf>
    <xf numFmtId="0" fontId="0" fillId="11" borderId="18" xfId="0" applyFill="1" applyBorder="1"/>
    <xf numFmtId="0" fontId="14" fillId="6" borderId="18" xfId="0" applyFont="1" applyFill="1" applyBorder="1" applyAlignment="1">
      <alignment horizontal="left" vertical="center"/>
    </xf>
    <xf numFmtId="0" fontId="15" fillId="6" borderId="18" xfId="0" applyFont="1" applyFill="1" applyBorder="1" applyAlignment="1">
      <alignment horizontal="center" vertical="center"/>
    </xf>
    <xf numFmtId="0" fontId="0" fillId="6" borderId="18" xfId="0" applyFill="1" applyBorder="1"/>
    <xf numFmtId="0" fontId="7" fillId="7" borderId="17" xfId="0" applyFont="1" applyFill="1" applyBorder="1" applyAlignment="1">
      <alignment horizontal="center" vertical="center"/>
    </xf>
    <xf numFmtId="0" fontId="13" fillId="7" borderId="17" xfId="0" applyFont="1" applyFill="1" applyBorder="1" applyAlignment="1">
      <alignment horizontal="center" vertical="center"/>
    </xf>
    <xf numFmtId="0" fontId="7" fillId="12" borderId="11" xfId="0" applyFont="1" applyFill="1" applyBorder="1" applyAlignment="1">
      <alignment horizontal="center" vertical="center" wrapText="1"/>
    </xf>
    <xf numFmtId="0" fontId="20" fillId="20" borderId="18" xfId="0" applyFont="1" applyFill="1" applyBorder="1" applyAlignment="1">
      <alignment horizontal="center" vertical="center"/>
    </xf>
    <xf numFmtId="0" fontId="14" fillId="20" borderId="18" xfId="0" applyFont="1" applyFill="1" applyBorder="1" applyAlignment="1">
      <alignment horizontal="left" vertical="center" wrapText="1"/>
    </xf>
    <xf numFmtId="0" fontId="20" fillId="6" borderId="18" xfId="0" applyFont="1" applyFill="1" applyBorder="1" applyAlignment="1">
      <alignment horizontal="center" vertical="center"/>
    </xf>
    <xf numFmtId="0" fontId="7" fillId="7" borderId="11" xfId="0" applyFont="1" applyFill="1" applyBorder="1" applyAlignment="1">
      <alignment horizontal="center" vertical="center" wrapText="1"/>
    </xf>
    <xf numFmtId="0" fontId="2" fillId="2" borderId="11" xfId="0" applyFont="1" applyFill="1" applyBorder="1" applyAlignment="1">
      <alignment horizontal="center" vertical="center"/>
    </xf>
    <xf numFmtId="0" fontId="25" fillId="11" borderId="18" xfId="0" applyFont="1" applyFill="1" applyBorder="1" applyAlignment="1">
      <alignment horizontal="left" vertical="center"/>
    </xf>
    <xf numFmtId="0" fontId="25" fillId="6" borderId="18" xfId="0" applyFont="1" applyFill="1" applyBorder="1" applyAlignment="1">
      <alignment horizontal="left" vertical="center"/>
    </xf>
    <xf numFmtId="0" fontId="7" fillId="12" borderId="9" xfId="0" applyFont="1" applyFill="1" applyBorder="1" applyAlignment="1">
      <alignment horizontal="center" vertical="center"/>
    </xf>
    <xf numFmtId="0" fontId="7" fillId="13" borderId="10" xfId="0" applyFont="1" applyFill="1" applyBorder="1" applyAlignment="1">
      <alignment horizontal="center" vertical="center"/>
    </xf>
    <xf numFmtId="0" fontId="9" fillId="2" borderId="0" xfId="0" applyFont="1" applyFill="1" applyAlignment="1">
      <alignment horizontal="center" vertical="center" wrapText="1"/>
    </xf>
    <xf numFmtId="0" fontId="10" fillId="2" borderId="1" xfId="0" applyFont="1" applyFill="1" applyBorder="1" applyAlignment="1">
      <alignment horizontal="center" vertical="center"/>
    </xf>
    <xf numFmtId="0" fontId="7" fillId="2" borderId="2" xfId="0" applyFont="1" applyFill="1" applyBorder="1" applyAlignment="1">
      <alignment horizontal="left" vertical="center"/>
    </xf>
    <xf numFmtId="0" fontId="5" fillId="11" borderId="4" xfId="0" applyFont="1" applyFill="1" applyBorder="1" applyAlignment="1">
      <alignment horizontal="left" vertical="center" wrapText="1"/>
    </xf>
    <xf numFmtId="0" fontId="7" fillId="3" borderId="2" xfId="0" applyFont="1" applyFill="1" applyBorder="1" applyAlignment="1">
      <alignment horizontal="left" vertical="center"/>
    </xf>
    <xf numFmtId="0" fontId="5" fillId="6" borderId="4" xfId="0" applyFont="1" applyFill="1" applyBorder="1" applyAlignment="1">
      <alignment horizontal="left" vertical="center" wrapText="1"/>
    </xf>
    <xf numFmtId="0" fontId="7" fillId="7" borderId="2" xfId="0" applyFont="1" applyFill="1" applyBorder="1" applyAlignment="1">
      <alignment horizontal="left" vertical="center"/>
    </xf>
    <xf numFmtId="0" fontId="7" fillId="2" borderId="12" xfId="0" applyFont="1" applyFill="1" applyBorder="1" applyAlignment="1">
      <alignment horizontal="center" vertical="center"/>
    </xf>
    <xf numFmtId="0" fontId="2" fillId="2" borderId="2" xfId="0" applyFont="1" applyFill="1" applyBorder="1" applyAlignment="1">
      <alignment horizontal="left" vertical="center"/>
    </xf>
    <xf numFmtId="0" fontId="7" fillId="3" borderId="12" xfId="0" applyFont="1" applyFill="1" applyBorder="1" applyAlignment="1">
      <alignment horizontal="center" vertical="center"/>
    </xf>
    <xf numFmtId="0" fontId="2" fillId="3" borderId="2" xfId="0" applyFont="1" applyFill="1" applyBorder="1" applyAlignment="1">
      <alignment horizontal="left" vertical="center"/>
    </xf>
    <xf numFmtId="0" fontId="7" fillId="7" borderId="12" xfId="0" applyFont="1" applyFill="1" applyBorder="1" applyAlignment="1">
      <alignment horizontal="center" vertical="center"/>
    </xf>
    <xf numFmtId="0" fontId="2" fillId="7" borderId="2" xfId="0" applyFont="1" applyFill="1" applyBorder="1" applyAlignment="1">
      <alignment horizontal="left" vertical="center"/>
    </xf>
    <xf numFmtId="0" fontId="7" fillId="12" borderId="12" xfId="0" applyFont="1" applyFill="1" applyBorder="1" applyAlignment="1">
      <alignment horizontal="center" vertical="center"/>
    </xf>
    <xf numFmtId="0" fontId="2" fillId="12" borderId="2" xfId="0" applyFont="1" applyFill="1" applyBorder="1" applyAlignment="1">
      <alignment horizontal="left" vertical="center"/>
    </xf>
    <xf numFmtId="0" fontId="7" fillId="15" borderId="12" xfId="0" applyFont="1" applyFill="1" applyBorder="1" applyAlignment="1">
      <alignment horizontal="center" vertical="center"/>
    </xf>
    <xf numFmtId="0" fontId="2" fillId="15" borderId="2" xfId="0" applyFont="1" applyFill="1" applyBorder="1" applyAlignment="1">
      <alignment horizontal="left" vertical="center"/>
    </xf>
    <xf numFmtId="0" fontId="7" fillId="9" borderId="12" xfId="0" applyFont="1" applyFill="1" applyBorder="1" applyAlignment="1">
      <alignment horizontal="center" vertical="center"/>
    </xf>
    <xf numFmtId="0" fontId="2" fillId="9" borderId="2" xfId="0" applyFont="1" applyFill="1" applyBorder="1" applyAlignment="1">
      <alignment horizontal="left" vertical="center"/>
    </xf>
    <xf numFmtId="0" fontId="7" fillId="14" borderId="12" xfId="0" applyFont="1" applyFill="1" applyBorder="1" applyAlignment="1">
      <alignment horizontal="center" vertical="center"/>
    </xf>
    <xf numFmtId="0" fontId="2" fillId="14" borderId="2" xfId="0" applyFont="1" applyFill="1" applyBorder="1" applyAlignment="1">
      <alignment horizontal="left" vertical="center"/>
    </xf>
    <xf numFmtId="0" fontId="7" fillId="15" borderId="2" xfId="0" applyFont="1" applyFill="1" applyBorder="1" applyAlignment="1">
      <alignment horizontal="left" vertical="center"/>
    </xf>
    <xf numFmtId="0" fontId="11" fillId="16" borderId="4" xfId="0" applyFont="1" applyFill="1" applyBorder="1" applyAlignment="1">
      <alignment horizontal="left" vertical="center"/>
    </xf>
    <xf numFmtId="0" fontId="0" fillId="6" borderId="5" xfId="0" applyFill="1" applyBorder="1"/>
    <xf numFmtId="0" fontId="12" fillId="2"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3" fillId="13" borderId="1" xfId="0" applyFont="1" applyFill="1" applyBorder="1" applyAlignment="1">
      <alignment horizontal="center" vertical="center"/>
    </xf>
    <xf numFmtId="164" fontId="13" fillId="15" borderId="1" xfId="0" applyNumberFormat="1" applyFont="1" applyFill="1" applyBorder="1" applyAlignment="1">
      <alignment horizontal="center" vertical="center"/>
    </xf>
    <xf numFmtId="0" fontId="13" fillId="3" borderId="1" xfId="0" applyFont="1" applyFill="1" applyBorder="1" applyAlignment="1">
      <alignment horizontal="center" vertical="center"/>
    </xf>
    <xf numFmtId="0" fontId="2" fillId="2" borderId="1" xfId="0" applyFont="1" applyFill="1" applyBorder="1" applyAlignment="1">
      <alignment horizontal="left" vertical="center"/>
    </xf>
    <xf numFmtId="0" fontId="16" fillId="2" borderId="1" xfId="0" applyFont="1" applyFill="1" applyBorder="1" applyAlignment="1">
      <alignment horizontal="center" vertical="center"/>
    </xf>
    <xf numFmtId="0" fontId="12" fillId="9"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2" fillId="14" borderId="1" xfId="0" applyFont="1" applyFill="1" applyBorder="1" applyAlignment="1">
      <alignment horizontal="center" vertical="center" wrapText="1"/>
    </xf>
    <xf numFmtId="0" fontId="17" fillId="2" borderId="1" xfId="0" applyFont="1" applyFill="1" applyBorder="1" applyAlignment="1">
      <alignment horizontal="center" vertical="center"/>
    </xf>
    <xf numFmtId="0" fontId="17" fillId="9" borderId="1" xfId="0" applyFont="1" applyFill="1" applyBorder="1" applyAlignment="1">
      <alignment horizontal="center" vertical="center"/>
    </xf>
    <xf numFmtId="0" fontId="17" fillId="12" borderId="1" xfId="0" applyFont="1" applyFill="1" applyBorder="1" applyAlignment="1">
      <alignment horizontal="center" vertical="center"/>
    </xf>
    <xf numFmtId="0" fontId="17" fillId="15" borderId="1" xfId="0" applyFont="1" applyFill="1" applyBorder="1" applyAlignment="1">
      <alignment horizontal="center" vertical="center"/>
    </xf>
    <xf numFmtId="164" fontId="17" fillId="7" borderId="1" xfId="0" applyNumberFormat="1" applyFont="1" applyFill="1" applyBorder="1" applyAlignment="1">
      <alignment horizontal="center" vertical="center"/>
    </xf>
    <xf numFmtId="0" fontId="17" fillId="14" borderId="1" xfId="0" applyFont="1" applyFill="1" applyBorder="1" applyAlignment="1">
      <alignment horizontal="center" vertical="center"/>
    </xf>
    <xf numFmtId="0" fontId="18" fillId="18" borderId="4" xfId="0" applyFont="1" applyFill="1" applyBorder="1" applyAlignment="1">
      <alignment horizontal="center" vertical="center"/>
    </xf>
    <xf numFmtId="0" fontId="7" fillId="9" borderId="1" xfId="0" applyFont="1" applyFill="1" applyBorder="1" applyAlignment="1">
      <alignment horizontal="center" vertical="center"/>
    </xf>
    <xf numFmtId="0" fontId="7" fillId="12" borderId="1" xfId="0" applyFont="1" applyFill="1" applyBorder="1" applyAlignment="1">
      <alignment horizontal="center" vertical="center"/>
    </xf>
    <xf numFmtId="0" fontId="7" fillId="15" borderId="1" xfId="0" applyFont="1" applyFill="1" applyBorder="1" applyAlignment="1">
      <alignment horizontal="center" vertical="center"/>
    </xf>
    <xf numFmtId="0" fontId="7" fillId="7" borderId="1" xfId="0" applyFont="1" applyFill="1" applyBorder="1" applyAlignment="1">
      <alignment horizontal="center" vertical="center"/>
    </xf>
    <xf numFmtId="0" fontId="13" fillId="9" borderId="1" xfId="0" applyFont="1" applyFill="1" applyBorder="1" applyAlignment="1">
      <alignment horizontal="center" vertical="center"/>
    </xf>
    <xf numFmtId="0" fontId="13" fillId="12" borderId="1" xfId="0" applyFont="1" applyFill="1" applyBorder="1" applyAlignment="1">
      <alignment horizontal="center" vertical="center"/>
    </xf>
    <xf numFmtId="0" fontId="13" fillId="7" borderId="1" xfId="0" applyFont="1" applyFill="1" applyBorder="1" applyAlignment="1">
      <alignment horizontal="center" vertical="center"/>
    </xf>
    <xf numFmtId="0" fontId="16" fillId="12" borderId="1" xfId="0" applyFont="1" applyFill="1" applyBorder="1" applyAlignment="1">
      <alignment horizontal="center" vertical="center"/>
    </xf>
    <xf numFmtId="0" fontId="2" fillId="19" borderId="2"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21" fillId="2" borderId="1" xfId="0" applyFont="1" applyFill="1" applyBorder="1" applyAlignment="1">
      <alignment horizontal="center" vertical="center"/>
    </xf>
    <xf numFmtId="0" fontId="21" fillId="9" borderId="1" xfId="0" applyFont="1" applyFill="1" applyBorder="1" applyAlignment="1">
      <alignment horizontal="center" vertical="center"/>
    </xf>
    <xf numFmtId="0" fontId="21" fillId="10" borderId="1" xfId="0" applyFont="1" applyFill="1" applyBorder="1" applyAlignment="1">
      <alignment horizontal="center" vertical="center"/>
    </xf>
    <xf numFmtId="0" fontId="21" fillId="12" borderId="1" xfId="0" applyFont="1" applyFill="1" applyBorder="1" applyAlignment="1">
      <alignment horizontal="center" vertical="center"/>
    </xf>
    <xf numFmtId="0" fontId="21" fillId="13" borderId="1" xfId="0" applyFont="1" applyFill="1" applyBorder="1" applyAlignment="1">
      <alignment horizontal="center" vertical="center"/>
    </xf>
    <xf numFmtId="164" fontId="21" fillId="15" borderId="1" xfId="0" applyNumberFormat="1" applyFont="1" applyFill="1" applyBorder="1" applyAlignment="1">
      <alignment horizontal="center" vertical="center"/>
    </xf>
    <xf numFmtId="0" fontId="22" fillId="2" borderId="0" xfId="0" applyFont="1" applyFill="1" applyAlignment="1">
      <alignment horizontal="left" vertical="center"/>
    </xf>
    <xf numFmtId="0" fontId="5" fillId="11" borderId="4" xfId="0" applyFont="1" applyFill="1" applyBorder="1" applyAlignment="1">
      <alignment horizontal="left" vertical="center"/>
    </xf>
    <xf numFmtId="164" fontId="16" fillId="9" borderId="1" xfId="0" applyNumberFormat="1" applyFont="1" applyFill="1" applyBorder="1" applyAlignment="1">
      <alignment horizontal="center" vertical="center"/>
    </xf>
    <xf numFmtId="164" fontId="0" fillId="11" borderId="4" xfId="0" applyNumberFormat="1" applyFill="1" applyBorder="1"/>
    <xf numFmtId="0" fontId="5" fillId="6" borderId="4" xfId="0" applyFont="1" applyFill="1" applyBorder="1" applyAlignment="1">
      <alignment horizontal="left" vertical="center"/>
    </xf>
    <xf numFmtId="164" fontId="0" fillId="6" borderId="4" xfId="0" applyNumberFormat="1" applyFill="1" applyBorder="1"/>
    <xf numFmtId="0" fontId="22" fillId="7" borderId="0" xfId="0" applyFont="1" applyFill="1" applyAlignment="1">
      <alignment horizontal="left" vertical="center"/>
    </xf>
    <xf numFmtId="0" fontId="23" fillId="11" borderId="4" xfId="0" applyFont="1" applyFill="1" applyBorder="1" applyAlignment="1">
      <alignment horizontal="left" vertical="center"/>
    </xf>
    <xf numFmtId="0" fontId="23" fillId="6" borderId="4" xfId="0" applyFont="1" applyFill="1" applyBorder="1" applyAlignment="1">
      <alignment horizontal="left" vertical="center"/>
    </xf>
    <xf numFmtId="0" fontId="22" fillId="15" borderId="0" xfId="0" applyFont="1" applyFill="1" applyAlignment="1">
      <alignment horizontal="left" vertical="center"/>
    </xf>
    <xf numFmtId="0" fontId="24" fillId="11" borderId="1" xfId="0" applyFont="1" applyFill="1" applyBorder="1" applyAlignment="1">
      <alignment horizontal="center" vertical="center"/>
    </xf>
    <xf numFmtId="0" fontId="0" fillId="11" borderId="4" xfId="0" applyFill="1" applyBorder="1"/>
    <xf numFmtId="0" fontId="16" fillId="9" borderId="1" xfId="0" applyFont="1" applyFill="1" applyBorder="1" applyAlignment="1">
      <alignment horizontal="center" vertical="center"/>
    </xf>
    <xf numFmtId="0" fontId="0" fillId="6" borderId="4" xfId="0" applyFill="1" applyBorder="1"/>
    <xf numFmtId="0" fontId="16" fillId="10" borderId="1" xfId="0" applyFont="1" applyFill="1" applyBorder="1" applyAlignment="1">
      <alignment horizontal="center" vertical="center"/>
    </xf>
    <xf numFmtId="164" fontId="16" fillId="15" borderId="1" xfId="0" applyNumberFormat="1" applyFont="1" applyFill="1" applyBorder="1" applyAlignment="1">
      <alignment horizontal="center" vertical="center"/>
    </xf>
    <xf numFmtId="0" fontId="24" fillId="6" borderId="1" xfId="0" applyFont="1" applyFill="1" applyBorder="1" applyAlignment="1">
      <alignment horizontal="center" vertical="center"/>
    </xf>
    <xf numFmtId="0" fontId="0" fillId="6" borderId="20" xfId="0" applyFill="1" applyBorder="1" applyAlignment="1">
      <alignment horizontal="left" vertical="top" wrapText="1"/>
    </xf>
    <xf numFmtId="0" fontId="5" fillId="6" borderId="21" xfId="0" applyFont="1" applyFill="1" applyBorder="1" applyAlignment="1">
      <alignment horizontal="center" wrapText="1"/>
    </xf>
  </cellXfs>
  <cellStyles count="1">
    <cellStyle name="Normal" xfId="0" builtinId="0"/>
  </cellStyles>
  <dxfs count="31">
    <dxf>
      <font>
        <b/>
        <sz val="9"/>
        <color rgb="FFFFFFFF"/>
        <name val="Arial"/>
        <charset val="1"/>
      </font>
      <fill>
        <patternFill>
          <bgColor rgb="FFF57F17"/>
        </patternFill>
      </fill>
    </dxf>
    <dxf>
      <font>
        <b/>
        <sz val="9"/>
        <color rgb="FFFFFFFF"/>
        <name val="Arial"/>
        <charset val="1"/>
      </font>
      <fill>
        <patternFill>
          <bgColor rgb="FF1B5E20"/>
        </patternFill>
      </fill>
    </dxf>
    <dxf>
      <font>
        <b/>
        <sz val="9"/>
        <color rgb="FFFFFFFF"/>
        <name val="Arial"/>
        <charset val="1"/>
      </font>
      <fill>
        <patternFill>
          <bgColor rgb="FFB71C1C"/>
        </patternFill>
      </fill>
    </dxf>
    <dxf>
      <font>
        <b/>
        <sz val="12"/>
        <color rgb="FFFFFFFF"/>
      </font>
      <fill>
        <patternFill>
          <bgColor rgb="FFB71C1C"/>
        </patternFill>
      </fill>
    </dxf>
    <dxf>
      <font>
        <b/>
        <sz val="12"/>
        <color rgb="FFFFFFFF"/>
      </font>
      <fill>
        <patternFill>
          <bgColor rgb="FFF57F17"/>
        </patternFill>
      </fill>
    </dxf>
    <dxf>
      <font>
        <b/>
        <sz val="12"/>
        <color rgb="FFFFFFFF"/>
      </font>
      <fill>
        <patternFill>
          <bgColor rgb="FF1B5E20"/>
        </patternFill>
      </fill>
    </dxf>
    <dxf>
      <font>
        <b/>
        <sz val="9"/>
        <color rgb="FFFFFFFF"/>
        <name val="Arial"/>
        <charset val="1"/>
      </font>
      <fill>
        <patternFill>
          <bgColor rgb="FF1565C0"/>
        </patternFill>
      </fill>
    </dxf>
    <dxf>
      <font>
        <b/>
        <sz val="9"/>
        <color rgb="FFFFFFFF"/>
        <name val="Arial"/>
        <charset val="1"/>
      </font>
      <fill>
        <patternFill>
          <bgColor rgb="FF1B5E20"/>
        </patternFill>
      </fill>
    </dxf>
    <dxf>
      <font>
        <b/>
        <sz val="9"/>
        <color rgb="FFFFFFFF"/>
        <name val="Arial"/>
        <charset val="1"/>
      </font>
      <fill>
        <patternFill>
          <bgColor rgb="FFF57F17"/>
        </patternFill>
      </fill>
    </dxf>
    <dxf>
      <font>
        <b/>
        <sz val="9"/>
        <color rgb="FFFFFFFF"/>
        <name val="Arial"/>
        <charset val="1"/>
      </font>
      <fill>
        <patternFill>
          <bgColor rgb="FFB71C1C"/>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B71C1C"/>
        </patternFill>
      </fill>
    </dxf>
    <dxf>
      <font>
        <b/>
        <sz val="9"/>
        <color rgb="FFFFFFFF"/>
        <name val="Arial"/>
        <charset val="1"/>
      </font>
      <fill>
        <patternFill>
          <bgColor rgb="FF1B5E20"/>
        </patternFill>
      </fill>
    </dxf>
    <dxf>
      <font>
        <b/>
        <sz val="9"/>
        <color rgb="FFFFFFFF"/>
        <name val="Arial"/>
        <charset val="1"/>
      </font>
      <fill>
        <patternFill>
          <bgColor rgb="FF546E7A"/>
        </patternFill>
      </fill>
    </dxf>
    <dxf>
      <font>
        <b/>
        <sz val="9"/>
        <color rgb="FFFFFFFF"/>
        <name val="Arial"/>
        <charset val="1"/>
      </font>
      <fill>
        <patternFill>
          <bgColor rgb="FFF57F17"/>
        </patternFill>
      </fill>
    </dxf>
    <dxf>
      <font>
        <b/>
        <sz val="9"/>
        <color rgb="FFFFFFFF"/>
        <name val="Arial"/>
        <charset val="1"/>
      </font>
      <fill>
        <patternFill>
          <bgColor rgb="FF1B5E20"/>
        </patternFill>
      </fill>
    </dxf>
    <dxf>
      <font>
        <b/>
        <sz val="9"/>
        <color rgb="FFFFFFFF"/>
        <name val="Arial"/>
        <charset val="1"/>
      </font>
      <fill>
        <patternFill>
          <bgColor rgb="FFB71C1C"/>
        </patternFill>
      </fill>
    </dxf>
    <dxf>
      <font>
        <b/>
        <sz val="9"/>
        <color rgb="FFFFFFFF"/>
        <name val="Arial"/>
        <charset val="1"/>
      </font>
      <fill>
        <patternFill>
          <bgColor rgb="FF546E7A"/>
        </patternFill>
      </fill>
    </dxf>
    <dxf>
      <font>
        <b/>
        <sz val="9"/>
        <color rgb="FFFFFFFF"/>
        <name val="Arial"/>
        <charset val="1"/>
      </font>
      <fill>
        <patternFill>
          <bgColor rgb="FFB71C1C"/>
        </patternFill>
      </fill>
    </dxf>
    <dxf>
      <font>
        <b/>
        <sz val="9"/>
        <color rgb="FFFFFFFF"/>
        <name val="Arial"/>
        <charset val="1"/>
      </font>
      <fill>
        <patternFill>
          <bgColor rgb="FF1B5E20"/>
        </patternFill>
      </fill>
    </dxf>
    <dxf>
      <font>
        <b/>
        <sz val="9"/>
        <color rgb="FFFFFFFF"/>
        <name val="Arial"/>
        <charset val="1"/>
      </font>
      <fill>
        <patternFill>
          <bgColor rgb="FF546E7A"/>
        </patternFill>
      </fill>
    </dxf>
    <dxf>
      <font>
        <b/>
        <sz val="9"/>
        <color rgb="FFFFFFFF"/>
        <name val="Arial"/>
        <charset val="1"/>
      </font>
      <fill>
        <patternFill>
          <bgColor rgb="FFB71C1C"/>
        </patternFill>
      </fill>
    </dxf>
    <dxf>
      <font>
        <b/>
        <sz val="9"/>
        <color rgb="FFFFFFFF"/>
        <name val="Arial"/>
        <charset val="1"/>
      </font>
      <fill>
        <patternFill>
          <bgColor rgb="FF1B5E20"/>
        </patternFill>
      </fill>
    </dxf>
    <dxf>
      <font>
        <b/>
        <sz val="9"/>
        <color rgb="FFFFFFFF"/>
        <name val="Arial"/>
        <charset val="1"/>
      </font>
      <fill>
        <patternFill>
          <bgColor rgb="FF546E7A"/>
        </patternFill>
      </fill>
    </dxf>
    <dxf>
      <font>
        <b/>
        <sz val="9"/>
        <color rgb="FFFFFFFF"/>
        <name val="Arial"/>
        <charset val="1"/>
      </font>
      <fill>
        <patternFill>
          <bgColor rgb="FFB71C1C"/>
        </patternFill>
      </fill>
    </dxf>
    <dxf>
      <font>
        <b/>
        <sz val="9"/>
        <color rgb="FFFFFFFF"/>
        <name val="Arial"/>
        <charset val="1"/>
      </font>
      <fill>
        <patternFill>
          <bgColor rgb="FF1B5E20"/>
        </patternFill>
      </fill>
    </dxf>
    <dxf>
      <font>
        <b/>
        <sz val="9"/>
        <color rgb="FFFFFFFF"/>
        <name val="Arial"/>
        <charset val="1"/>
      </font>
      <fill>
        <patternFill>
          <bgColor rgb="FF546E7A"/>
        </patternFill>
      </fill>
    </dxf>
    <dxf>
      <font>
        <b/>
        <sz val="9"/>
        <color rgb="FFFFFFFF"/>
        <name val="Arial"/>
        <charset val="1"/>
      </font>
      <fill>
        <patternFill>
          <bgColor rgb="FFB71C1C"/>
        </patternFill>
      </fill>
    </dxf>
    <dxf>
      <font>
        <b/>
        <sz val="9"/>
        <color rgb="FFFFFFFF"/>
        <name val="Arial"/>
        <charset val="1"/>
      </font>
      <fill>
        <patternFill>
          <bgColor rgb="FFF57F17"/>
        </patternFill>
      </fill>
    </dxf>
    <dxf>
      <font>
        <b/>
        <sz val="9"/>
        <color rgb="FFFFFFFF"/>
        <name val="Arial"/>
        <charset val="1"/>
      </font>
      <fill>
        <patternFill>
          <bgColor rgb="FF1B5E2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BDBDBD"/>
      <rgbColor rgb="FF808080"/>
      <rgbColor rgb="FF9999FF"/>
      <rgbColor rgb="FFC62828"/>
      <rgbColor rgb="FFFFF9C4"/>
      <rgbColor rgb="FFE3F2FD"/>
      <rgbColor rgb="FF4A148C"/>
      <rgbColor rgb="FFFF8080"/>
      <rgbColor rgb="FF1565C0"/>
      <rgbColor rgb="FFBBDEFB"/>
      <rgbColor rgb="FF000080"/>
      <rgbColor rgb="FFFF00FF"/>
      <rgbColor rgb="FFFFFF00"/>
      <rgbColor rgb="FF00FFFF"/>
      <rgbColor rgb="FF800080"/>
      <rgbColor rgb="FF800000"/>
      <rgbColor rgb="FF008080"/>
      <rgbColor rgb="FF0000FF"/>
      <rgbColor rgb="FF00CCFF"/>
      <rgbColor rgb="FFE8F5E9"/>
      <rgbColor rgb="FFEBF5FB"/>
      <rgbColor rgb="FFFFF3E0"/>
      <rgbColor rgb="FFEDE7F6"/>
      <rgbColor rgb="FFFF99CC"/>
      <rgbColor rgb="FFCC99FF"/>
      <rgbColor rgb="FFFFCDD2"/>
      <rgbColor rgb="FF3366FF"/>
      <rgbColor rgb="FF33CCCC"/>
      <rgbColor rgb="FF99CC00"/>
      <rgbColor rgb="FFFFD54F"/>
      <rgbColor rgb="FFF57F17"/>
      <rgbColor rgb="FFE65100"/>
      <rgbColor rgb="FF546E7A"/>
      <rgbColor rgb="FF969696"/>
      <rgbColor rgb="FF0D3B66"/>
      <rgbColor rgb="FF339966"/>
      <rgbColor rgb="FF003300"/>
      <rgbColor rgb="FF333300"/>
      <rgbColor rgb="FFB71C1C"/>
      <rgbColor rgb="FF993366"/>
      <rgbColor rgb="FF37474F"/>
      <rgbColor rgb="FF3E27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showGridLines="0" topLeftCell="A10" zoomScaleNormal="100" workbookViewId="0">
      <selection activeCell="M24" sqref="M24"/>
    </sheetView>
  </sheetViews>
  <sheetFormatPr baseColWidth="10" defaultColWidth="8.6640625" defaultRowHeight="14.4" x14ac:dyDescent="0.3"/>
  <cols>
    <col min="1" max="1" width="3" customWidth="1"/>
    <col min="2" max="5" width="10" customWidth="1"/>
    <col min="6" max="8" width="20" customWidth="1"/>
    <col min="9" max="14" width="11" customWidth="1"/>
  </cols>
  <sheetData>
    <row r="1" spans="1:14" ht="42" customHeight="1" x14ac:dyDescent="0.3">
      <c r="A1" s="14" t="s">
        <v>0</v>
      </c>
      <c r="B1" s="14"/>
      <c r="C1" s="14"/>
      <c r="D1" s="14"/>
      <c r="E1" s="14"/>
      <c r="F1" s="14"/>
      <c r="G1" s="14"/>
      <c r="H1" s="14"/>
      <c r="I1" s="14"/>
      <c r="J1" s="14"/>
      <c r="K1" s="14"/>
      <c r="L1" s="14"/>
      <c r="M1" s="14"/>
      <c r="N1" s="14"/>
    </row>
    <row r="2" spans="1:14" ht="21.75" customHeight="1" x14ac:dyDescent="0.3">
      <c r="A2" s="13" t="s">
        <v>1</v>
      </c>
      <c r="B2" s="13"/>
      <c r="C2" s="13"/>
      <c r="D2" s="13"/>
      <c r="E2" s="13"/>
      <c r="F2" s="13"/>
      <c r="G2" s="13"/>
      <c r="H2" s="13"/>
      <c r="I2" s="13"/>
      <c r="J2" s="13"/>
      <c r="K2" s="13"/>
      <c r="L2" s="13"/>
      <c r="M2" s="13"/>
      <c r="N2" s="13"/>
    </row>
    <row r="3" spans="1:14" ht="9.75" customHeight="1" x14ac:dyDescent="0.3"/>
    <row r="4" spans="1:14" ht="21.75" customHeight="1" x14ac:dyDescent="0.3">
      <c r="A4" s="12" t="s">
        <v>2</v>
      </c>
      <c r="B4" s="12"/>
      <c r="C4" s="12"/>
      <c r="D4" s="12"/>
      <c r="E4" s="12"/>
      <c r="F4" s="12" t="s">
        <v>3</v>
      </c>
      <c r="G4" s="12"/>
      <c r="H4" s="12"/>
      <c r="I4" s="12"/>
      <c r="J4" s="12"/>
      <c r="K4" s="12"/>
      <c r="L4" s="12"/>
      <c r="M4" s="12"/>
      <c r="N4" s="12"/>
    </row>
    <row r="5" spans="1:14" ht="24" customHeight="1" x14ac:dyDescent="0.3">
      <c r="A5" s="11" t="s">
        <v>4</v>
      </c>
      <c r="B5" s="11"/>
      <c r="C5" s="11"/>
      <c r="D5" s="11"/>
      <c r="E5" s="11"/>
      <c r="F5" s="10" t="s">
        <v>5</v>
      </c>
      <c r="G5" s="10"/>
      <c r="H5" s="10"/>
      <c r="I5" s="9"/>
      <c r="J5" s="9"/>
      <c r="K5" s="9"/>
      <c r="L5" s="9"/>
      <c r="M5" s="9"/>
      <c r="N5" s="9"/>
    </row>
    <row r="6" spans="1:14" ht="24" customHeight="1" x14ac:dyDescent="0.3">
      <c r="A6" s="11"/>
      <c r="B6" s="11"/>
      <c r="C6" s="11"/>
      <c r="D6" s="11"/>
      <c r="E6" s="11"/>
      <c r="F6" s="10" t="s">
        <v>6</v>
      </c>
      <c r="G6" s="10"/>
      <c r="H6" s="10"/>
      <c r="I6" s="9"/>
      <c r="J6" s="9"/>
      <c r="K6" s="9"/>
      <c r="L6" s="9"/>
      <c r="M6" s="9"/>
      <c r="N6" s="9"/>
    </row>
    <row r="7" spans="1:14" ht="24" customHeight="1" x14ac:dyDescent="0.3">
      <c r="A7" s="11"/>
      <c r="B7" s="11"/>
      <c r="C7" s="11"/>
      <c r="D7" s="11"/>
      <c r="E7" s="11"/>
      <c r="F7" s="10" t="s">
        <v>7</v>
      </c>
      <c r="G7" s="10"/>
      <c r="H7" s="10"/>
      <c r="I7" s="9"/>
      <c r="J7" s="9"/>
      <c r="K7" s="9"/>
      <c r="L7" s="9"/>
      <c r="M7" s="9"/>
      <c r="N7" s="9"/>
    </row>
    <row r="8" spans="1:14" ht="24" customHeight="1" x14ac:dyDescent="0.3">
      <c r="A8" s="11"/>
      <c r="B8" s="11"/>
      <c r="C8" s="11"/>
      <c r="D8" s="11"/>
      <c r="E8" s="11"/>
      <c r="F8" s="10" t="s">
        <v>8</v>
      </c>
      <c r="G8" s="10"/>
      <c r="H8" s="10"/>
      <c r="I8" s="9"/>
      <c r="J8" s="9"/>
      <c r="K8" s="9"/>
      <c r="L8" s="9"/>
      <c r="M8" s="9"/>
      <c r="N8" s="9"/>
    </row>
    <row r="9" spans="1:14" ht="24" customHeight="1" x14ac:dyDescent="0.3">
      <c r="A9" s="11"/>
      <c r="B9" s="11"/>
      <c r="C9" s="11"/>
      <c r="D9" s="11"/>
      <c r="E9" s="11"/>
      <c r="F9" s="10" t="s">
        <v>9</v>
      </c>
      <c r="G9" s="10"/>
      <c r="H9" s="10"/>
      <c r="I9" s="9"/>
      <c r="J9" s="9"/>
      <c r="K9" s="9"/>
      <c r="L9" s="9"/>
      <c r="M9" s="9"/>
      <c r="N9" s="9"/>
    </row>
    <row r="10" spans="1:14" ht="24" customHeight="1" x14ac:dyDescent="0.3">
      <c r="A10" s="11"/>
      <c r="B10" s="11"/>
      <c r="C10" s="11"/>
      <c r="D10" s="11"/>
      <c r="E10" s="11"/>
      <c r="F10" s="10" t="s">
        <v>10</v>
      </c>
      <c r="G10" s="10"/>
      <c r="H10" s="10"/>
      <c r="I10" s="9"/>
      <c r="J10" s="9"/>
      <c r="K10" s="9"/>
      <c r="L10" s="9"/>
      <c r="M10" s="9"/>
      <c r="N10" s="9"/>
    </row>
    <row r="11" spans="1:14" ht="24" customHeight="1" x14ac:dyDescent="0.3">
      <c r="A11" s="11"/>
      <c r="B11" s="11"/>
      <c r="C11" s="11"/>
      <c r="D11" s="11"/>
      <c r="E11" s="11"/>
      <c r="F11" s="10" t="s">
        <v>11</v>
      </c>
      <c r="G11" s="10"/>
      <c r="H11" s="10"/>
      <c r="I11" s="9"/>
      <c r="J11" s="9"/>
      <c r="K11" s="9"/>
      <c r="L11" s="9"/>
      <c r="M11" s="9"/>
      <c r="N11" s="9"/>
    </row>
    <row r="12" spans="1:14" ht="24" customHeight="1" x14ac:dyDescent="0.3">
      <c r="A12" s="11"/>
      <c r="B12" s="11"/>
      <c r="C12" s="11"/>
      <c r="D12" s="11"/>
      <c r="E12" s="11"/>
      <c r="F12" s="10" t="s">
        <v>12</v>
      </c>
      <c r="G12" s="10"/>
      <c r="H12" s="10"/>
      <c r="I12" s="9"/>
      <c r="J12" s="9"/>
      <c r="K12" s="9"/>
      <c r="L12" s="9"/>
      <c r="M12" s="9"/>
      <c r="N12" s="9"/>
    </row>
    <row r="13" spans="1:14" ht="3.75" customHeight="1" x14ac:dyDescent="0.3">
      <c r="A13" s="11"/>
      <c r="B13" s="11"/>
      <c r="C13" s="11"/>
      <c r="D13" s="11"/>
      <c r="E13" s="11"/>
      <c r="F13" s="8"/>
      <c r="G13" s="8"/>
      <c r="H13" s="8"/>
      <c r="I13" s="8"/>
      <c r="J13" s="8"/>
      <c r="K13" s="8"/>
      <c r="L13" s="8"/>
      <c r="M13" s="8"/>
      <c r="N13" s="8"/>
    </row>
    <row r="14" spans="1:14" ht="21.75" customHeight="1" x14ac:dyDescent="0.3">
      <c r="A14" s="11"/>
      <c r="B14" s="11"/>
      <c r="C14" s="11"/>
      <c r="D14" s="11"/>
      <c r="E14" s="11"/>
      <c r="F14" s="7" t="s">
        <v>13</v>
      </c>
      <c r="G14" s="7"/>
      <c r="H14" s="7"/>
      <c r="I14" s="7"/>
      <c r="J14" s="7"/>
      <c r="K14" s="7"/>
      <c r="L14" s="7"/>
      <c r="M14" s="7"/>
      <c r="N14" s="7"/>
    </row>
    <row r="15" spans="1:14" ht="24" customHeight="1" x14ac:dyDescent="0.3">
      <c r="A15" s="11"/>
      <c r="B15" s="11"/>
      <c r="C15" s="11"/>
      <c r="D15" s="11"/>
      <c r="E15" s="11"/>
      <c r="F15" s="6" t="s">
        <v>14</v>
      </c>
      <c r="G15" s="6"/>
      <c r="H15" s="6"/>
      <c r="I15" s="5"/>
      <c r="J15" s="5"/>
      <c r="K15" s="5"/>
      <c r="L15" s="5"/>
      <c r="M15" s="5"/>
      <c r="N15" s="5"/>
    </row>
    <row r="16" spans="1:14" ht="24" customHeight="1" x14ac:dyDescent="0.3">
      <c r="A16" s="11"/>
      <c r="B16" s="11"/>
      <c r="C16" s="11"/>
      <c r="D16" s="11"/>
      <c r="E16" s="11"/>
      <c r="F16" s="6" t="s">
        <v>15</v>
      </c>
      <c r="G16" s="6"/>
      <c r="H16" s="6"/>
      <c r="I16" s="5"/>
      <c r="J16" s="5"/>
      <c r="K16" s="5"/>
      <c r="L16" s="5"/>
      <c r="M16" s="5"/>
      <c r="N16" s="5"/>
    </row>
    <row r="17" spans="1:14" ht="24" customHeight="1" x14ac:dyDescent="0.3">
      <c r="A17" s="11"/>
      <c r="B17" s="11"/>
      <c r="C17" s="11"/>
      <c r="D17" s="11"/>
      <c r="E17" s="11"/>
      <c r="F17" s="6" t="s">
        <v>16</v>
      </c>
      <c r="G17" s="6"/>
      <c r="H17" s="6"/>
      <c r="I17" s="5"/>
      <c r="J17" s="5"/>
      <c r="K17" s="5"/>
      <c r="L17" s="5"/>
      <c r="M17" s="5"/>
      <c r="N17" s="5"/>
    </row>
    <row r="18" spans="1:14" ht="24" customHeight="1" x14ac:dyDescent="0.3">
      <c r="F18" s="6" t="s">
        <v>17</v>
      </c>
      <c r="G18" s="6"/>
      <c r="H18" s="6"/>
      <c r="I18" s="5"/>
      <c r="J18" s="5"/>
      <c r="K18" s="5"/>
      <c r="L18" s="5"/>
      <c r="M18" s="5"/>
      <c r="N18" s="5"/>
    </row>
    <row r="19" spans="1:14" ht="19.5" customHeight="1" x14ac:dyDescent="0.3">
      <c r="A19" s="4" t="s">
        <v>18</v>
      </c>
      <c r="B19" s="4"/>
      <c r="C19" s="4"/>
      <c r="D19" s="4"/>
      <c r="E19" s="4"/>
    </row>
    <row r="20" spans="1:14" ht="19.5" customHeight="1" x14ac:dyDescent="0.3">
      <c r="A20" s="3" t="s">
        <v>19</v>
      </c>
      <c r="B20" s="3"/>
      <c r="C20" s="3"/>
      <c r="D20" s="3"/>
      <c r="E20" s="3"/>
      <c r="F20" s="4" t="s">
        <v>20</v>
      </c>
      <c r="G20" s="4"/>
      <c r="H20" s="4"/>
      <c r="I20" s="4"/>
      <c r="J20" s="4"/>
      <c r="K20" s="4"/>
      <c r="L20" s="4"/>
      <c r="M20" s="4"/>
      <c r="N20" s="4"/>
    </row>
    <row r="21" spans="1:14" ht="21.75" customHeight="1" x14ac:dyDescent="0.3">
      <c r="A21" s="2" t="s">
        <v>21</v>
      </c>
      <c r="B21" s="2"/>
      <c r="C21" s="2"/>
      <c r="D21" s="2"/>
      <c r="E21" s="2"/>
      <c r="F21" s="1" t="s">
        <v>22</v>
      </c>
      <c r="G21" s="1"/>
      <c r="H21" s="1"/>
      <c r="I21" s="1"/>
      <c r="J21" s="1"/>
      <c r="K21" s="1"/>
      <c r="L21" s="1"/>
      <c r="M21" s="1"/>
      <c r="N21" s="1"/>
    </row>
    <row r="22" spans="1:14" ht="21.75" customHeight="1" x14ac:dyDescent="0.3">
      <c r="A22" s="72" t="s">
        <v>23</v>
      </c>
      <c r="B22" s="72"/>
      <c r="C22" s="72"/>
      <c r="D22" s="72"/>
      <c r="E22" s="72"/>
    </row>
    <row r="23" spans="1:14" ht="21.75" customHeight="1" x14ac:dyDescent="0.3">
      <c r="A23" s="73" t="s">
        <v>24</v>
      </c>
      <c r="B23" s="73"/>
      <c r="C23" s="73"/>
      <c r="D23" s="73"/>
      <c r="E23" s="73"/>
    </row>
    <row r="26" spans="1:14" ht="9.75" customHeight="1" x14ac:dyDescent="0.3"/>
    <row r="27" spans="1:14" ht="24.75" customHeight="1" x14ac:dyDescent="0.3">
      <c r="A27" s="74"/>
      <c r="B27" s="74"/>
      <c r="C27" s="74"/>
      <c r="D27" s="74"/>
      <c r="E27" s="74"/>
      <c r="F27" s="74"/>
      <c r="G27" s="74"/>
      <c r="H27" s="74"/>
      <c r="I27" s="74"/>
      <c r="J27" s="74"/>
      <c r="K27" s="74"/>
      <c r="L27" s="74"/>
      <c r="M27" s="74"/>
      <c r="N27" s="74"/>
    </row>
  </sheetData>
  <mergeCells count="39">
    <mergeCell ref="A23:E23"/>
    <mergeCell ref="A27:N27"/>
    <mergeCell ref="A20:E20"/>
    <mergeCell ref="F20:N20"/>
    <mergeCell ref="A21:E21"/>
    <mergeCell ref="F21:N21"/>
    <mergeCell ref="A22:E22"/>
    <mergeCell ref="F17:H17"/>
    <mergeCell ref="I17:N17"/>
    <mergeCell ref="F18:H18"/>
    <mergeCell ref="I18:N18"/>
    <mergeCell ref="A19:E19"/>
    <mergeCell ref="F13:N13"/>
    <mergeCell ref="F14:N14"/>
    <mergeCell ref="F15:H15"/>
    <mergeCell ref="I15:N15"/>
    <mergeCell ref="F16:H16"/>
    <mergeCell ref="I16:N16"/>
    <mergeCell ref="I10:N10"/>
    <mergeCell ref="F11:H11"/>
    <mergeCell ref="I11:N11"/>
    <mergeCell ref="F12:H12"/>
    <mergeCell ref="I12:N12"/>
    <mergeCell ref="A1:N1"/>
    <mergeCell ref="A2:N2"/>
    <mergeCell ref="A4:E4"/>
    <mergeCell ref="F4:N4"/>
    <mergeCell ref="A5:E17"/>
    <mergeCell ref="F5:H5"/>
    <mergeCell ref="I5:N5"/>
    <mergeCell ref="F6:H6"/>
    <mergeCell ref="I6:N6"/>
    <mergeCell ref="F7:H7"/>
    <mergeCell ref="I7:N7"/>
    <mergeCell ref="F8:H8"/>
    <mergeCell ref="I8:N8"/>
    <mergeCell ref="F9:H9"/>
    <mergeCell ref="I9:N9"/>
    <mergeCell ref="F10:H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1"/>
  <sheetViews>
    <sheetView showGridLines="0" topLeftCell="A64" zoomScaleNormal="100" workbookViewId="0">
      <selection activeCell="A71" sqref="A71:J71"/>
    </sheetView>
  </sheetViews>
  <sheetFormatPr baseColWidth="10" defaultColWidth="8.6640625" defaultRowHeight="14.4" x14ac:dyDescent="0.3"/>
  <cols>
    <col min="1" max="1" width="12" customWidth="1"/>
    <col min="2" max="10" width="11" customWidth="1"/>
  </cols>
  <sheetData>
    <row r="1" spans="1:10" ht="42" customHeight="1" x14ac:dyDescent="0.3">
      <c r="A1" s="75" t="s">
        <v>26</v>
      </c>
      <c r="B1" s="75"/>
      <c r="C1" s="75"/>
      <c r="D1" s="75"/>
      <c r="E1" s="75"/>
      <c r="F1" s="75"/>
      <c r="G1" s="75"/>
      <c r="H1" s="75"/>
      <c r="I1" s="75"/>
      <c r="J1" s="75"/>
    </row>
    <row r="2" spans="1:10" ht="21.75" customHeight="1" x14ac:dyDescent="0.3">
      <c r="A2" s="13" t="s">
        <v>27</v>
      </c>
      <c r="B2" s="13"/>
      <c r="C2" s="13"/>
      <c r="D2" s="13"/>
      <c r="E2" s="13"/>
      <c r="F2" s="13"/>
      <c r="G2" s="13"/>
      <c r="H2" s="13"/>
      <c r="I2" s="13"/>
      <c r="J2" s="13"/>
    </row>
    <row r="3" spans="1:10" ht="12" customHeight="1" x14ac:dyDescent="0.3"/>
    <row r="4" spans="1:10" ht="24" customHeight="1" x14ac:dyDescent="0.3">
      <c r="A4" s="76" t="s">
        <v>28</v>
      </c>
      <c r="B4" s="76"/>
      <c r="C4" s="76"/>
      <c r="D4" s="76"/>
      <c r="E4" s="76"/>
      <c r="F4" s="76"/>
      <c r="G4" s="76"/>
      <c r="H4" s="76"/>
      <c r="I4" s="76"/>
      <c r="J4" s="76"/>
    </row>
    <row r="5" spans="1:10" ht="39.75" customHeight="1" x14ac:dyDescent="0.3">
      <c r="A5" s="77" t="s">
        <v>29</v>
      </c>
      <c r="B5" s="77"/>
      <c r="C5" s="77"/>
      <c r="D5" s="77"/>
      <c r="E5" s="77"/>
      <c r="F5" s="77"/>
      <c r="G5" s="77"/>
      <c r="H5" s="77"/>
      <c r="I5" s="77"/>
      <c r="J5" s="77"/>
    </row>
    <row r="7" spans="1:10" ht="12" customHeight="1" x14ac:dyDescent="0.3"/>
    <row r="8" spans="1:10" ht="24" customHeight="1" x14ac:dyDescent="0.3">
      <c r="A8" s="78" t="s">
        <v>30</v>
      </c>
      <c r="B8" s="78"/>
      <c r="C8" s="78"/>
      <c r="D8" s="78"/>
      <c r="E8" s="78"/>
      <c r="F8" s="78"/>
      <c r="G8" s="78"/>
      <c r="H8" s="78"/>
      <c r="I8" s="78"/>
      <c r="J8" s="78"/>
    </row>
    <row r="9" spans="1:10" ht="25.5" customHeight="1" x14ac:dyDescent="0.3">
      <c r="A9" s="15" t="s">
        <v>31</v>
      </c>
      <c r="B9" s="77" t="s">
        <v>32</v>
      </c>
      <c r="C9" s="77"/>
      <c r="D9" s="77"/>
      <c r="E9" s="77"/>
      <c r="F9" s="77"/>
      <c r="G9" s="77"/>
      <c r="H9" s="77"/>
      <c r="I9" s="77"/>
      <c r="J9" s="77"/>
    </row>
    <row r="10" spans="1:10" ht="25.5" customHeight="1" x14ac:dyDescent="0.3">
      <c r="A10" s="16" t="s">
        <v>33</v>
      </c>
      <c r="B10" s="79" t="s">
        <v>34</v>
      </c>
      <c r="C10" s="79"/>
      <c r="D10" s="79"/>
      <c r="E10" s="79"/>
      <c r="F10" s="79"/>
      <c r="G10" s="79"/>
      <c r="H10" s="79"/>
      <c r="I10" s="79"/>
      <c r="J10" s="79"/>
    </row>
    <row r="11" spans="1:10" ht="25.5" customHeight="1" x14ac:dyDescent="0.3">
      <c r="A11" s="17" t="s">
        <v>35</v>
      </c>
      <c r="B11" s="77" t="s">
        <v>36</v>
      </c>
      <c r="C11" s="77"/>
      <c r="D11" s="77"/>
      <c r="E11" s="77"/>
      <c r="F11" s="77"/>
      <c r="G11" s="77"/>
      <c r="H11" s="77"/>
      <c r="I11" s="77"/>
      <c r="J11" s="77"/>
    </row>
    <row r="12" spans="1:10" ht="25.5" customHeight="1" x14ac:dyDescent="0.3">
      <c r="A12" s="18" t="s">
        <v>37</v>
      </c>
      <c r="B12" s="79" t="s">
        <v>38</v>
      </c>
      <c r="C12" s="79"/>
      <c r="D12" s="79"/>
      <c r="E12" s="79"/>
      <c r="F12" s="79"/>
      <c r="G12" s="79"/>
      <c r="H12" s="79"/>
      <c r="I12" s="79"/>
      <c r="J12" s="79"/>
    </row>
    <row r="13" spans="1:10" ht="25.5" customHeight="1" x14ac:dyDescent="0.3">
      <c r="A13" s="19" t="s">
        <v>39</v>
      </c>
      <c r="B13" s="77" t="s">
        <v>40</v>
      </c>
      <c r="C13" s="77"/>
      <c r="D13" s="77"/>
      <c r="E13" s="77"/>
      <c r="F13" s="77"/>
      <c r="G13" s="77"/>
      <c r="H13" s="77"/>
      <c r="I13" s="77"/>
      <c r="J13" s="77"/>
    </row>
    <row r="14" spans="1:10" ht="25.5" customHeight="1" x14ac:dyDescent="0.3">
      <c r="A14" s="20" t="s">
        <v>41</v>
      </c>
      <c r="B14" s="79" t="s">
        <v>42</v>
      </c>
      <c r="C14" s="79"/>
      <c r="D14" s="79"/>
      <c r="E14" s="79"/>
      <c r="F14" s="79"/>
      <c r="G14" s="79"/>
      <c r="H14" s="79"/>
      <c r="I14" s="79"/>
      <c r="J14" s="79"/>
    </row>
    <row r="15" spans="1:10" ht="25.5" customHeight="1" x14ac:dyDescent="0.3">
      <c r="A15" s="21" t="s">
        <v>43</v>
      </c>
      <c r="B15" s="77" t="s">
        <v>44</v>
      </c>
      <c r="C15" s="77"/>
      <c r="D15" s="77"/>
      <c r="E15" s="77"/>
      <c r="F15" s="77"/>
      <c r="G15" s="77"/>
      <c r="H15" s="77"/>
      <c r="I15" s="77"/>
      <c r="J15" s="77"/>
    </row>
    <row r="16" spans="1:10" ht="25.5" customHeight="1" x14ac:dyDescent="0.3">
      <c r="A16" s="15" t="s">
        <v>45</v>
      </c>
      <c r="B16" s="79" t="s">
        <v>46</v>
      </c>
      <c r="C16" s="79"/>
      <c r="D16" s="79"/>
      <c r="E16" s="79"/>
      <c r="F16" s="79"/>
      <c r="G16" s="79"/>
      <c r="H16" s="79"/>
      <c r="I16" s="79"/>
      <c r="J16" s="79"/>
    </row>
    <row r="17" spans="1:10" ht="25.5" customHeight="1" x14ac:dyDescent="0.3">
      <c r="A17" s="22" t="s">
        <v>47</v>
      </c>
      <c r="B17" s="77" t="s">
        <v>48</v>
      </c>
      <c r="C17" s="77"/>
      <c r="D17" s="77"/>
      <c r="E17" s="77"/>
      <c r="F17" s="77"/>
      <c r="G17" s="77"/>
      <c r="H17" s="77"/>
      <c r="I17" s="77"/>
      <c r="J17" s="77"/>
    </row>
    <row r="19" spans="1:10" ht="12" customHeight="1" x14ac:dyDescent="0.3"/>
    <row r="20" spans="1:10" ht="24" customHeight="1" x14ac:dyDescent="0.3">
      <c r="A20" s="80" t="s">
        <v>49</v>
      </c>
      <c r="B20" s="80"/>
      <c r="C20" s="80"/>
      <c r="D20" s="80"/>
      <c r="E20" s="80"/>
      <c r="F20" s="80"/>
      <c r="G20" s="80"/>
      <c r="H20" s="80"/>
      <c r="I20" s="80"/>
      <c r="J20" s="80"/>
    </row>
    <row r="21" spans="1:10" ht="21.75" customHeight="1" x14ac:dyDescent="0.3">
      <c r="A21" s="81" t="s">
        <v>50</v>
      </c>
      <c r="B21" s="82" t="s">
        <v>51</v>
      </c>
      <c r="C21" s="82"/>
      <c r="D21" s="82"/>
      <c r="E21" s="82"/>
      <c r="F21" s="82"/>
      <c r="G21" s="82"/>
      <c r="H21" s="82"/>
      <c r="I21" s="82"/>
      <c r="J21" s="82"/>
    </row>
    <row r="22" spans="1:10" ht="48" customHeight="1" x14ac:dyDescent="0.3">
      <c r="A22" s="81"/>
      <c r="B22" s="77" t="s">
        <v>52</v>
      </c>
      <c r="C22" s="77"/>
      <c r="D22" s="77"/>
      <c r="E22" s="77"/>
      <c r="F22" s="77"/>
      <c r="G22" s="77"/>
      <c r="H22" s="77"/>
      <c r="I22" s="77"/>
      <c r="J22" s="77"/>
    </row>
    <row r="23" spans="1:10" ht="6" customHeight="1" x14ac:dyDescent="0.3"/>
    <row r="24" spans="1:10" ht="21.75" customHeight="1" x14ac:dyDescent="0.3">
      <c r="A24" s="83" t="s">
        <v>53</v>
      </c>
      <c r="B24" s="84" t="s">
        <v>54</v>
      </c>
      <c r="C24" s="84"/>
      <c r="D24" s="84"/>
      <c r="E24" s="84"/>
      <c r="F24" s="84"/>
      <c r="G24" s="84"/>
      <c r="H24" s="84"/>
      <c r="I24" s="84"/>
      <c r="J24" s="84"/>
    </row>
    <row r="25" spans="1:10" ht="48" customHeight="1" x14ac:dyDescent="0.3">
      <c r="A25" s="83"/>
      <c r="B25" s="79" t="s">
        <v>55</v>
      </c>
      <c r="C25" s="79"/>
      <c r="D25" s="79"/>
      <c r="E25" s="79"/>
      <c r="F25" s="79"/>
      <c r="G25" s="79"/>
      <c r="H25" s="79"/>
      <c r="I25" s="79"/>
      <c r="J25" s="79"/>
    </row>
    <row r="26" spans="1:10" ht="6" customHeight="1" x14ac:dyDescent="0.3"/>
    <row r="27" spans="1:10" ht="21.75" customHeight="1" x14ac:dyDescent="0.3">
      <c r="A27" s="85" t="s">
        <v>56</v>
      </c>
      <c r="B27" s="86" t="s">
        <v>57</v>
      </c>
      <c r="C27" s="86"/>
      <c r="D27" s="86"/>
      <c r="E27" s="86"/>
      <c r="F27" s="86"/>
      <c r="G27" s="86"/>
      <c r="H27" s="86"/>
      <c r="I27" s="86"/>
      <c r="J27" s="86"/>
    </row>
    <row r="28" spans="1:10" ht="48" customHeight="1" x14ac:dyDescent="0.3">
      <c r="A28" s="85"/>
      <c r="B28" s="77" t="s">
        <v>58</v>
      </c>
      <c r="C28" s="77"/>
      <c r="D28" s="77"/>
      <c r="E28" s="77"/>
      <c r="F28" s="77"/>
      <c r="G28" s="77"/>
      <c r="H28" s="77"/>
      <c r="I28" s="77"/>
      <c r="J28" s="77"/>
    </row>
    <row r="29" spans="1:10" ht="6" customHeight="1" x14ac:dyDescent="0.3"/>
    <row r="30" spans="1:10" ht="21.75" customHeight="1" x14ac:dyDescent="0.3">
      <c r="A30" s="85" t="s">
        <v>59</v>
      </c>
      <c r="B30" s="86" t="s">
        <v>60</v>
      </c>
      <c r="C30" s="86"/>
      <c r="D30" s="86"/>
      <c r="E30" s="86"/>
      <c r="F30" s="86"/>
      <c r="G30" s="86"/>
      <c r="H30" s="86"/>
      <c r="I30" s="86"/>
      <c r="J30" s="86"/>
    </row>
    <row r="31" spans="1:10" ht="48" customHeight="1" x14ac:dyDescent="0.3">
      <c r="A31" s="85"/>
      <c r="B31" s="79" t="s">
        <v>61</v>
      </c>
      <c r="C31" s="79"/>
      <c r="D31" s="79"/>
      <c r="E31" s="79"/>
      <c r="F31" s="79"/>
      <c r="G31" s="79"/>
      <c r="H31" s="79"/>
      <c r="I31" s="79"/>
      <c r="J31" s="79"/>
    </row>
    <row r="32" spans="1:10" ht="6" customHeight="1" x14ac:dyDescent="0.3"/>
    <row r="33" spans="1:10" ht="21.75" customHeight="1" x14ac:dyDescent="0.3">
      <c r="A33" s="87" t="s">
        <v>62</v>
      </c>
      <c r="B33" s="88" t="s">
        <v>63</v>
      </c>
      <c r="C33" s="88"/>
      <c r="D33" s="88"/>
      <c r="E33" s="88"/>
      <c r="F33" s="88"/>
      <c r="G33" s="88"/>
      <c r="H33" s="88"/>
      <c r="I33" s="88"/>
      <c r="J33" s="88"/>
    </row>
    <row r="34" spans="1:10" ht="48" customHeight="1" x14ac:dyDescent="0.3">
      <c r="A34" s="87"/>
      <c r="B34" s="77" t="s">
        <v>64</v>
      </c>
      <c r="C34" s="77"/>
      <c r="D34" s="77"/>
      <c r="E34" s="77"/>
      <c r="F34" s="77"/>
      <c r="G34" s="77"/>
      <c r="H34" s="77"/>
      <c r="I34" s="77"/>
      <c r="J34" s="77"/>
    </row>
    <row r="35" spans="1:10" ht="6" customHeight="1" x14ac:dyDescent="0.3"/>
    <row r="36" spans="1:10" ht="21.75" customHeight="1" x14ac:dyDescent="0.3">
      <c r="A36" s="89" t="s">
        <v>65</v>
      </c>
      <c r="B36" s="90" t="s">
        <v>66</v>
      </c>
      <c r="C36" s="90"/>
      <c r="D36" s="90"/>
      <c r="E36" s="90"/>
      <c r="F36" s="90"/>
      <c r="G36" s="90"/>
      <c r="H36" s="90"/>
      <c r="I36" s="90"/>
      <c r="J36" s="90"/>
    </row>
    <row r="37" spans="1:10" ht="48" customHeight="1" x14ac:dyDescent="0.3">
      <c r="A37" s="89"/>
      <c r="B37" s="79" t="s">
        <v>67</v>
      </c>
      <c r="C37" s="79"/>
      <c r="D37" s="79"/>
      <c r="E37" s="79"/>
      <c r="F37" s="79"/>
      <c r="G37" s="79"/>
      <c r="H37" s="79"/>
      <c r="I37" s="79"/>
      <c r="J37" s="79"/>
    </row>
    <row r="38" spans="1:10" ht="6" customHeight="1" x14ac:dyDescent="0.3"/>
    <row r="39" spans="1:10" ht="21.75" customHeight="1" x14ac:dyDescent="0.3">
      <c r="A39" s="91" t="s">
        <v>68</v>
      </c>
      <c r="B39" s="92" t="s">
        <v>69</v>
      </c>
      <c r="C39" s="92"/>
      <c r="D39" s="92"/>
      <c r="E39" s="92"/>
      <c r="F39" s="92"/>
      <c r="G39" s="92"/>
      <c r="H39" s="92"/>
      <c r="I39" s="92"/>
      <c r="J39" s="92"/>
    </row>
    <row r="40" spans="1:10" ht="48" customHeight="1" x14ac:dyDescent="0.3">
      <c r="A40" s="91"/>
      <c r="B40" s="77" t="s">
        <v>70</v>
      </c>
      <c r="C40" s="77"/>
      <c r="D40" s="77"/>
      <c r="E40" s="77"/>
      <c r="F40" s="77"/>
      <c r="G40" s="77"/>
      <c r="H40" s="77"/>
      <c r="I40" s="77"/>
      <c r="J40" s="77"/>
    </row>
    <row r="41" spans="1:10" ht="6" customHeight="1" x14ac:dyDescent="0.3"/>
    <row r="42" spans="1:10" ht="21.75" customHeight="1" x14ac:dyDescent="0.3">
      <c r="A42" s="93" t="s">
        <v>71</v>
      </c>
      <c r="B42" s="94" t="s">
        <v>72</v>
      </c>
      <c r="C42" s="94"/>
      <c r="D42" s="94"/>
      <c r="E42" s="94"/>
      <c r="F42" s="94"/>
      <c r="G42" s="94"/>
      <c r="H42" s="94"/>
      <c r="I42" s="94"/>
      <c r="J42" s="94"/>
    </row>
    <row r="43" spans="1:10" ht="48" customHeight="1" x14ac:dyDescent="0.3">
      <c r="A43" s="93"/>
      <c r="B43" s="79" t="s">
        <v>73</v>
      </c>
      <c r="C43" s="79"/>
      <c r="D43" s="79"/>
      <c r="E43" s="79"/>
      <c r="F43" s="79"/>
      <c r="G43" s="79"/>
      <c r="H43" s="79"/>
      <c r="I43" s="79"/>
      <c r="J43" s="79"/>
    </row>
    <row r="44" spans="1:10" ht="6" customHeight="1" x14ac:dyDescent="0.3"/>
    <row r="46" spans="1:10" ht="12" customHeight="1" x14ac:dyDescent="0.3"/>
    <row r="47" spans="1:10" ht="24" customHeight="1" x14ac:dyDescent="0.3">
      <c r="A47" s="76" t="s">
        <v>74</v>
      </c>
      <c r="B47" s="76"/>
      <c r="C47" s="76"/>
      <c r="D47" s="76"/>
      <c r="E47" s="76"/>
      <c r="F47" s="76"/>
      <c r="G47" s="76"/>
      <c r="H47" s="76"/>
      <c r="I47" s="76"/>
      <c r="J47" s="76"/>
    </row>
    <row r="48" spans="1:10" ht="24" customHeight="1" x14ac:dyDescent="0.3">
      <c r="A48" s="23" t="s">
        <v>19</v>
      </c>
      <c r="B48" s="77" t="s">
        <v>75</v>
      </c>
      <c r="C48" s="77"/>
      <c r="D48" s="77"/>
      <c r="E48" s="77"/>
      <c r="F48" s="77"/>
      <c r="G48" s="77"/>
      <c r="H48" s="77"/>
      <c r="I48" s="77"/>
      <c r="J48" s="77"/>
    </row>
    <row r="49" spans="1:10" ht="24" customHeight="1" x14ac:dyDescent="0.3">
      <c r="A49" s="24" t="s">
        <v>21</v>
      </c>
      <c r="B49" s="79" t="s">
        <v>76</v>
      </c>
      <c r="C49" s="79"/>
      <c r="D49" s="79"/>
      <c r="E49" s="79"/>
      <c r="F49" s="79"/>
      <c r="G49" s="79"/>
      <c r="H49" s="79"/>
      <c r="I49" s="79"/>
      <c r="J49" s="79"/>
    </row>
    <row r="50" spans="1:10" ht="24" customHeight="1" x14ac:dyDescent="0.3">
      <c r="A50" s="25" t="s">
        <v>23</v>
      </c>
      <c r="B50" s="77" t="s">
        <v>77</v>
      </c>
      <c r="C50" s="77"/>
      <c r="D50" s="77"/>
      <c r="E50" s="77"/>
      <c r="F50" s="77"/>
      <c r="G50" s="77"/>
      <c r="H50" s="77"/>
      <c r="I50" s="77"/>
      <c r="J50" s="77"/>
    </row>
    <row r="51" spans="1:10" ht="24" customHeight="1" x14ac:dyDescent="0.3">
      <c r="A51" s="26" t="s">
        <v>24</v>
      </c>
      <c r="B51" s="79" t="s">
        <v>78</v>
      </c>
      <c r="C51" s="79"/>
      <c r="D51" s="79"/>
      <c r="E51" s="79"/>
      <c r="F51" s="79"/>
      <c r="G51" s="79"/>
      <c r="H51" s="79"/>
      <c r="I51" s="79"/>
      <c r="J51" s="79"/>
    </row>
    <row r="52" spans="1:10" ht="24" customHeight="1" x14ac:dyDescent="0.3">
      <c r="A52" s="23" t="s">
        <v>79</v>
      </c>
      <c r="B52" s="77" t="s">
        <v>80</v>
      </c>
      <c r="C52" s="77"/>
      <c r="D52" s="77"/>
      <c r="E52" s="77"/>
      <c r="F52" s="77"/>
      <c r="G52" s="77"/>
      <c r="H52" s="77"/>
      <c r="I52" s="77"/>
      <c r="J52" s="77"/>
    </row>
    <row r="53" spans="1:10" ht="24" customHeight="1" x14ac:dyDescent="0.3">
      <c r="A53" s="25" t="s">
        <v>81</v>
      </c>
      <c r="B53" s="79" t="s">
        <v>82</v>
      </c>
      <c r="C53" s="79"/>
      <c r="D53" s="79"/>
      <c r="E53" s="79"/>
      <c r="F53" s="79"/>
      <c r="G53" s="79"/>
      <c r="H53" s="79"/>
      <c r="I53" s="79"/>
      <c r="J53" s="79"/>
    </row>
    <row r="56" spans="1:10" ht="24" customHeight="1" x14ac:dyDescent="0.3">
      <c r="A56" s="95" t="s">
        <v>83</v>
      </c>
      <c r="B56" s="95"/>
      <c r="C56" s="95"/>
      <c r="D56" s="95"/>
      <c r="E56" s="95"/>
      <c r="F56" s="95"/>
      <c r="G56" s="95"/>
      <c r="H56" s="95"/>
      <c r="I56" s="95"/>
      <c r="J56" s="95"/>
    </row>
    <row r="57" spans="1:10" ht="21.75" customHeight="1" x14ac:dyDescent="0.3">
      <c r="A57" s="96" t="s">
        <v>84</v>
      </c>
      <c r="B57" s="96"/>
      <c r="C57" s="96"/>
      <c r="D57" s="96"/>
      <c r="E57" s="96"/>
      <c r="F57" s="96"/>
      <c r="G57" s="96"/>
      <c r="H57" s="96"/>
      <c r="I57" s="96"/>
      <c r="J57" s="96"/>
    </row>
    <row r="58" spans="1:10" ht="39.75" customHeight="1" x14ac:dyDescent="0.3">
      <c r="A58" s="79" t="s">
        <v>85</v>
      </c>
      <c r="B58" s="79"/>
      <c r="C58" s="79"/>
      <c r="D58" s="79"/>
      <c r="E58" s="79"/>
      <c r="F58" s="79"/>
      <c r="G58" s="79"/>
      <c r="H58" s="79"/>
      <c r="I58" s="79"/>
      <c r="J58" s="79"/>
    </row>
    <row r="59" spans="1:10" ht="21.75" customHeight="1" x14ac:dyDescent="0.3">
      <c r="A59" s="96" t="s">
        <v>86</v>
      </c>
      <c r="B59" s="96"/>
      <c r="C59" s="96"/>
      <c r="D59" s="96"/>
      <c r="E59" s="96"/>
      <c r="F59" s="96"/>
      <c r="G59" s="96"/>
      <c r="H59" s="96"/>
      <c r="I59" s="96"/>
      <c r="J59" s="96"/>
    </row>
    <row r="60" spans="1:10" ht="39.75" customHeight="1" x14ac:dyDescent="0.3">
      <c r="A60" s="79" t="s">
        <v>87</v>
      </c>
      <c r="B60" s="79"/>
      <c r="C60" s="79"/>
      <c r="D60" s="79"/>
      <c r="E60" s="79"/>
      <c r="F60" s="79"/>
      <c r="G60" s="79"/>
      <c r="H60" s="79"/>
      <c r="I60" s="79"/>
      <c r="J60" s="79"/>
    </row>
    <row r="61" spans="1:10" ht="21.75" customHeight="1" x14ac:dyDescent="0.3">
      <c r="A61" s="96" t="s">
        <v>88</v>
      </c>
      <c r="B61" s="96"/>
      <c r="C61" s="96"/>
      <c r="D61" s="96"/>
      <c r="E61" s="96"/>
      <c r="F61" s="96"/>
      <c r="G61" s="96"/>
      <c r="H61" s="96"/>
      <c r="I61" s="96"/>
      <c r="J61" s="96"/>
    </row>
    <row r="62" spans="1:10" ht="39.75" customHeight="1" x14ac:dyDescent="0.3">
      <c r="A62" s="79" t="s">
        <v>89</v>
      </c>
      <c r="B62" s="79"/>
      <c r="C62" s="79"/>
      <c r="D62" s="79"/>
      <c r="E62" s="79"/>
      <c r="F62" s="79"/>
      <c r="G62" s="79"/>
      <c r="H62" s="79"/>
      <c r="I62" s="79"/>
      <c r="J62" s="79"/>
    </row>
    <row r="63" spans="1:10" ht="21.75" customHeight="1" x14ac:dyDescent="0.3">
      <c r="A63" s="96" t="s">
        <v>90</v>
      </c>
      <c r="B63" s="96"/>
      <c r="C63" s="96"/>
      <c r="D63" s="96"/>
      <c r="E63" s="96"/>
      <c r="F63" s="96"/>
      <c r="G63" s="96"/>
      <c r="H63" s="96"/>
      <c r="I63" s="96"/>
      <c r="J63" s="96"/>
    </row>
    <row r="64" spans="1:10" ht="39.75" customHeight="1" x14ac:dyDescent="0.3">
      <c r="A64" s="79" t="s">
        <v>91</v>
      </c>
      <c r="B64" s="79"/>
      <c r="C64" s="79"/>
      <c r="D64" s="79"/>
      <c r="E64" s="79"/>
      <c r="F64" s="79"/>
      <c r="G64" s="79"/>
      <c r="H64" s="79"/>
      <c r="I64" s="79"/>
      <c r="J64" s="79"/>
    </row>
    <row r="65" spans="1:10" ht="21.75" customHeight="1" x14ac:dyDescent="0.3">
      <c r="A65" s="96" t="s">
        <v>92</v>
      </c>
      <c r="B65" s="96"/>
      <c r="C65" s="96"/>
      <c r="D65" s="96"/>
      <c r="E65" s="96"/>
      <c r="F65" s="96"/>
      <c r="G65" s="96"/>
      <c r="H65" s="96"/>
      <c r="I65" s="96"/>
      <c r="J65" s="96"/>
    </row>
    <row r="66" spans="1:10" ht="39.75" customHeight="1" x14ac:dyDescent="0.3">
      <c r="A66" s="79" t="s">
        <v>93</v>
      </c>
      <c r="B66" s="79"/>
      <c r="C66" s="79"/>
      <c r="D66" s="79"/>
      <c r="E66" s="79"/>
      <c r="F66" s="79"/>
      <c r="G66" s="79"/>
      <c r="H66" s="79"/>
      <c r="I66" s="79"/>
      <c r="J66" s="79"/>
    </row>
    <row r="67" spans="1:10" ht="21.75" customHeight="1" x14ac:dyDescent="0.3">
      <c r="A67" s="96" t="s">
        <v>94</v>
      </c>
      <c r="B67" s="96"/>
      <c r="C67" s="96"/>
      <c r="D67" s="96"/>
      <c r="E67" s="96"/>
      <c r="F67" s="96"/>
      <c r="G67" s="96"/>
      <c r="H67" s="96"/>
      <c r="I67" s="96"/>
      <c r="J67" s="96"/>
    </row>
    <row r="68" spans="1:10" ht="39.75" customHeight="1" x14ac:dyDescent="0.3">
      <c r="A68" s="79" t="s">
        <v>95</v>
      </c>
      <c r="B68" s="79"/>
      <c r="C68" s="79"/>
      <c r="D68" s="79"/>
      <c r="E68" s="79"/>
      <c r="F68" s="79"/>
      <c r="G68" s="79"/>
      <c r="H68" s="79"/>
      <c r="I68" s="79"/>
      <c r="J68" s="79"/>
    </row>
    <row r="71" spans="1:10" ht="24.75" customHeight="1" x14ac:dyDescent="0.3">
      <c r="A71" s="74"/>
      <c r="B71" s="74"/>
      <c r="C71" s="74"/>
      <c r="D71" s="74"/>
      <c r="E71" s="74"/>
      <c r="F71" s="74"/>
      <c r="G71" s="74"/>
      <c r="H71" s="74"/>
      <c r="I71" s="74"/>
      <c r="J71" s="74"/>
    </row>
  </sheetData>
  <mergeCells count="60">
    <mergeCell ref="A71:J71"/>
    <mergeCell ref="A64:J64"/>
    <mergeCell ref="A65:J65"/>
    <mergeCell ref="A66:J66"/>
    <mergeCell ref="A67:J67"/>
    <mergeCell ref="A68:J68"/>
    <mergeCell ref="A59:J59"/>
    <mergeCell ref="A60:J60"/>
    <mergeCell ref="A61:J61"/>
    <mergeCell ref="A62:J62"/>
    <mergeCell ref="A63:J63"/>
    <mergeCell ref="B52:J52"/>
    <mergeCell ref="B53:J53"/>
    <mergeCell ref="A56:J56"/>
    <mergeCell ref="A57:J57"/>
    <mergeCell ref="A58:J58"/>
    <mergeCell ref="A47:J47"/>
    <mergeCell ref="B48:J48"/>
    <mergeCell ref="B49:J49"/>
    <mergeCell ref="B50:J50"/>
    <mergeCell ref="B51:J51"/>
    <mergeCell ref="A39:A40"/>
    <mergeCell ref="B39:J39"/>
    <mergeCell ref="B40:J40"/>
    <mergeCell ref="A42:A43"/>
    <mergeCell ref="B42:J42"/>
    <mergeCell ref="B43:J43"/>
    <mergeCell ref="A33:A34"/>
    <mergeCell ref="B33:J33"/>
    <mergeCell ref="B34:J34"/>
    <mergeCell ref="A36:A37"/>
    <mergeCell ref="B36:J36"/>
    <mergeCell ref="B37:J37"/>
    <mergeCell ref="A27:A28"/>
    <mergeCell ref="B27:J27"/>
    <mergeCell ref="B28:J28"/>
    <mergeCell ref="A30:A31"/>
    <mergeCell ref="B30:J30"/>
    <mergeCell ref="B31:J31"/>
    <mergeCell ref="A21:A22"/>
    <mergeCell ref="B21:J21"/>
    <mergeCell ref="B22:J22"/>
    <mergeCell ref="A24:A25"/>
    <mergeCell ref="B24:J24"/>
    <mergeCell ref="B25:J25"/>
    <mergeCell ref="B14:J14"/>
    <mergeCell ref="B15:J15"/>
    <mergeCell ref="B16:J16"/>
    <mergeCell ref="B17:J17"/>
    <mergeCell ref="A20:J20"/>
    <mergeCell ref="B9:J9"/>
    <mergeCell ref="B10:J10"/>
    <mergeCell ref="B11:J11"/>
    <mergeCell ref="B12:J12"/>
    <mergeCell ref="B13:J13"/>
    <mergeCell ref="A1:J1"/>
    <mergeCell ref="A2:J2"/>
    <mergeCell ref="A4:J4"/>
    <mergeCell ref="A5:J5"/>
    <mergeCell ref="A8:J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0"/>
  <sheetViews>
    <sheetView showGridLines="0" tabSelected="1" zoomScaleNormal="100" workbookViewId="0">
      <pane xSplit="1" ySplit="7" topLeftCell="B125" activePane="bottomRight" state="frozen"/>
      <selection pane="topRight" activeCell="B1" sqref="B1"/>
      <selection pane="bottomLeft" activeCell="A8" sqref="A8"/>
      <selection pane="bottomRight" activeCell="A130" sqref="A130:K130"/>
    </sheetView>
  </sheetViews>
  <sheetFormatPr baseColWidth="10" defaultColWidth="8.6640625" defaultRowHeight="14.4" x14ac:dyDescent="0.3"/>
  <cols>
    <col min="1" max="1" width="5" customWidth="1"/>
    <col min="2" max="2" width="22" customWidth="1"/>
    <col min="3" max="3" width="48" customWidth="1"/>
    <col min="4" max="4" width="7" customWidth="1"/>
    <col min="5" max="5" width="16" customWidth="1"/>
    <col min="6" max="6" width="38" customWidth="1"/>
    <col min="7" max="7" width="12" customWidth="1"/>
    <col min="8" max="8" width="18" customWidth="1"/>
    <col min="9" max="9" width="36" customWidth="1"/>
    <col min="10" max="10" width="13" customWidth="1"/>
    <col min="11" max="11" width="22" customWidth="1"/>
  </cols>
  <sheetData>
    <row r="1" spans="1:11" ht="36" customHeight="1" x14ac:dyDescent="0.3">
      <c r="A1" s="75" t="s">
        <v>96</v>
      </c>
      <c r="B1" s="75"/>
      <c r="C1" s="75"/>
      <c r="D1" s="75"/>
      <c r="E1" s="75"/>
      <c r="F1" s="75"/>
      <c r="G1" s="75"/>
      <c r="H1" s="75"/>
      <c r="I1" s="75"/>
      <c r="J1" s="75"/>
      <c r="K1" s="75"/>
    </row>
    <row r="2" spans="1:11" ht="19.5" customHeight="1" x14ac:dyDescent="0.3">
      <c r="A2" s="13" t="s">
        <v>97</v>
      </c>
      <c r="B2" s="13"/>
      <c r="C2" s="13"/>
      <c r="D2" s="13"/>
      <c r="E2" s="13"/>
      <c r="F2" s="13"/>
      <c r="G2" s="13"/>
      <c r="H2" s="13"/>
      <c r="I2" s="13"/>
      <c r="J2" s="13"/>
      <c r="K2" s="13"/>
    </row>
    <row r="3" spans="1:11" ht="21.75" customHeight="1" x14ac:dyDescent="0.3">
      <c r="A3" s="10" t="s">
        <v>98</v>
      </c>
      <c r="B3" s="10"/>
      <c r="C3" s="10"/>
      <c r="D3" s="97"/>
      <c r="E3" s="97"/>
      <c r="F3" s="97"/>
      <c r="G3" s="10" t="s">
        <v>99</v>
      </c>
      <c r="H3" s="10"/>
      <c r="I3" s="97"/>
      <c r="J3" s="97"/>
      <c r="K3" s="27"/>
    </row>
    <row r="4" spans="1:11" ht="27.75" customHeight="1" x14ac:dyDescent="0.3">
      <c r="A4" s="98" t="s">
        <v>100</v>
      </c>
      <c r="B4" s="98"/>
      <c r="C4" s="28" t="s">
        <v>101</v>
      </c>
      <c r="D4" s="29" t="s">
        <v>21</v>
      </c>
      <c r="E4" s="30" t="s">
        <v>102</v>
      </c>
      <c r="F4" s="99" t="s">
        <v>24</v>
      </c>
      <c r="G4" s="99"/>
      <c r="H4" s="100" t="s">
        <v>103</v>
      </c>
      <c r="I4" s="100"/>
      <c r="J4" s="101" t="s">
        <v>104</v>
      </c>
      <c r="K4" s="101"/>
    </row>
    <row r="5" spans="1:11" ht="42" customHeight="1" x14ac:dyDescent="0.3">
      <c r="A5" s="102">
        <f>COUNTA(C8:C146)-COUNTBLANK(C8:C146)</f>
        <v>77</v>
      </c>
      <c r="B5" s="102"/>
      <c r="C5" s="31">
        <f>COUNTIF(E8:E146,"✅ CARGADO")</f>
        <v>0</v>
      </c>
      <c r="D5" s="32">
        <f>COUNTIF(E8:E146,"⏳ EN PROCESO")</f>
        <v>108</v>
      </c>
      <c r="E5" s="33">
        <f>COUNTIF(E8:E146,"❌ NO REALIZADO")</f>
        <v>0</v>
      </c>
      <c r="F5" s="103">
        <f>COUNTIF(E8:E146,"⚪ NO APLICA")</f>
        <v>0</v>
      </c>
      <c r="G5" s="103"/>
      <c r="H5" s="104">
        <f>IFERROR(COUNTIF(E8:E146,"✅ CARGADO")/MAX(1,COUNTA(C8:C146)-COUNTBLANK(C8:C146)),0)</f>
        <v>0</v>
      </c>
      <c r="I5" s="104"/>
      <c r="J5" s="105">
        <f>COUNTA(F8:F146)-COUNTBLANK(F8:F146)</f>
        <v>-137</v>
      </c>
      <c r="K5" s="105"/>
    </row>
    <row r="6" spans="1:11" ht="7.5" customHeight="1" x14ac:dyDescent="0.3"/>
    <row r="7" spans="1:11" ht="36" customHeight="1" x14ac:dyDescent="0.3">
      <c r="A7" s="34" t="s">
        <v>105</v>
      </c>
      <c r="B7" s="34" t="s">
        <v>106</v>
      </c>
      <c r="C7" s="34" t="s">
        <v>107</v>
      </c>
      <c r="D7" s="34" t="s">
        <v>108</v>
      </c>
      <c r="E7" s="34" t="s">
        <v>109</v>
      </c>
      <c r="F7" s="34" t="s">
        <v>110</v>
      </c>
      <c r="G7" s="34" t="s">
        <v>111</v>
      </c>
      <c r="H7" s="34" t="s">
        <v>112</v>
      </c>
      <c r="I7" s="34" t="s">
        <v>113</v>
      </c>
      <c r="J7" s="34" t="s">
        <v>114</v>
      </c>
      <c r="K7" s="34" t="s">
        <v>115</v>
      </c>
    </row>
    <row r="8" spans="1:11" ht="19.5" customHeight="1" x14ac:dyDescent="0.3">
      <c r="A8" s="80" t="s">
        <v>116</v>
      </c>
      <c r="B8" s="80"/>
      <c r="C8" s="80"/>
      <c r="D8" s="80"/>
      <c r="E8" s="80"/>
      <c r="F8" s="80"/>
      <c r="G8" s="80"/>
      <c r="H8" s="80"/>
      <c r="I8" s="80"/>
      <c r="J8" s="80"/>
      <c r="K8" s="80"/>
    </row>
    <row r="9" spans="1:11" ht="19.5" customHeight="1" x14ac:dyDescent="0.3">
      <c r="A9" s="35">
        <v>1</v>
      </c>
      <c r="B9" s="36" t="s">
        <v>117</v>
      </c>
      <c r="C9" s="36" t="s">
        <v>118</v>
      </c>
      <c r="D9" s="37" t="s">
        <v>119</v>
      </c>
      <c r="E9" s="38" t="s">
        <v>21</v>
      </c>
      <c r="F9" s="39"/>
      <c r="G9" s="37"/>
      <c r="H9" s="36"/>
      <c r="I9" s="36"/>
      <c r="J9" s="37"/>
      <c r="K9" s="36"/>
    </row>
    <row r="10" spans="1:11" ht="19.5" customHeight="1" x14ac:dyDescent="0.3">
      <c r="A10" s="35">
        <v>2</v>
      </c>
      <c r="B10" s="40" t="s">
        <v>117</v>
      </c>
      <c r="C10" s="40" t="s">
        <v>120</v>
      </c>
      <c r="D10" s="41" t="s">
        <v>119</v>
      </c>
      <c r="E10" s="38" t="s">
        <v>21</v>
      </c>
      <c r="F10" s="39"/>
      <c r="G10" s="41"/>
      <c r="H10" s="40"/>
      <c r="I10" s="40"/>
      <c r="J10" s="41"/>
      <c r="K10" s="40"/>
    </row>
    <row r="11" spans="1:11" ht="19.5" customHeight="1" x14ac:dyDescent="0.3">
      <c r="A11" s="80" t="s">
        <v>121</v>
      </c>
      <c r="B11" s="80"/>
      <c r="C11" s="80"/>
      <c r="D11" s="80"/>
      <c r="E11" s="80"/>
      <c r="F11" s="80"/>
      <c r="G11" s="80"/>
      <c r="H11" s="80"/>
      <c r="I11" s="80"/>
      <c r="J11" s="80"/>
      <c r="K11" s="80"/>
    </row>
    <row r="12" spans="1:11" ht="19.5" customHeight="1" x14ac:dyDescent="0.3">
      <c r="A12" s="35">
        <v>3</v>
      </c>
      <c r="B12" s="36" t="s">
        <v>122</v>
      </c>
      <c r="C12" s="36" t="s">
        <v>123</v>
      </c>
      <c r="D12" s="37" t="s">
        <v>119</v>
      </c>
      <c r="E12" s="38" t="s">
        <v>21</v>
      </c>
      <c r="F12" s="39"/>
      <c r="G12" s="37"/>
      <c r="H12" s="36"/>
      <c r="I12" s="36"/>
      <c r="J12" s="37"/>
      <c r="K12" s="36"/>
    </row>
    <row r="13" spans="1:11" ht="19.5" customHeight="1" x14ac:dyDescent="0.3">
      <c r="A13" s="35">
        <v>4</v>
      </c>
      <c r="B13" s="40" t="s">
        <v>122</v>
      </c>
      <c r="C13" s="40" t="s">
        <v>124</v>
      </c>
      <c r="D13" s="41" t="s">
        <v>119</v>
      </c>
      <c r="E13" s="38" t="s">
        <v>21</v>
      </c>
      <c r="F13" s="39"/>
      <c r="G13" s="41"/>
      <c r="H13" s="40"/>
      <c r="I13" s="40"/>
      <c r="J13" s="41"/>
      <c r="K13" s="40"/>
    </row>
    <row r="14" spans="1:11" ht="19.5" customHeight="1" x14ac:dyDescent="0.3">
      <c r="A14" s="35">
        <v>5</v>
      </c>
      <c r="B14" s="36" t="s">
        <v>122</v>
      </c>
      <c r="C14" s="36" t="s">
        <v>125</v>
      </c>
      <c r="D14" s="37" t="s">
        <v>119</v>
      </c>
      <c r="E14" s="38" t="s">
        <v>21</v>
      </c>
      <c r="F14" s="39"/>
      <c r="G14" s="37"/>
      <c r="H14" s="36"/>
      <c r="I14" s="36"/>
      <c r="J14" s="37"/>
      <c r="K14" s="36"/>
    </row>
    <row r="15" spans="1:11" ht="19.5" customHeight="1" x14ac:dyDescent="0.3">
      <c r="A15" s="35">
        <v>6</v>
      </c>
      <c r="B15" s="40" t="s">
        <v>122</v>
      </c>
      <c r="C15" s="40" t="s">
        <v>126</v>
      </c>
      <c r="D15" s="41" t="s">
        <v>119</v>
      </c>
      <c r="E15" s="38" t="s">
        <v>21</v>
      </c>
      <c r="F15" s="39"/>
      <c r="G15" s="41"/>
      <c r="H15" s="40"/>
      <c r="I15" s="40"/>
      <c r="J15" s="41"/>
      <c r="K15" s="40"/>
    </row>
    <row r="16" spans="1:11" ht="19.5" customHeight="1" x14ac:dyDescent="0.3">
      <c r="A16" s="35">
        <v>7</v>
      </c>
      <c r="B16" s="36" t="s">
        <v>122</v>
      </c>
      <c r="C16" s="36" t="s">
        <v>127</v>
      </c>
      <c r="D16" s="37" t="s">
        <v>119</v>
      </c>
      <c r="E16" s="38" t="s">
        <v>21</v>
      </c>
      <c r="F16" s="39"/>
      <c r="G16" s="37"/>
      <c r="H16" s="36"/>
      <c r="I16" s="36"/>
      <c r="J16" s="37"/>
      <c r="K16" s="36"/>
    </row>
    <row r="17" spans="1:11" ht="19.5" customHeight="1" x14ac:dyDescent="0.3">
      <c r="A17" s="35">
        <v>8</v>
      </c>
      <c r="B17" s="40" t="s">
        <v>122</v>
      </c>
      <c r="C17" s="40" t="s">
        <v>128</v>
      </c>
      <c r="D17" s="41" t="s">
        <v>119</v>
      </c>
      <c r="E17" s="38" t="s">
        <v>21</v>
      </c>
      <c r="F17" s="39"/>
      <c r="G17" s="41"/>
      <c r="H17" s="40"/>
      <c r="I17" s="40"/>
      <c r="J17" s="41"/>
      <c r="K17" s="40"/>
    </row>
    <row r="18" spans="1:11" ht="19.5" customHeight="1" x14ac:dyDescent="0.3">
      <c r="A18" s="35">
        <v>9</v>
      </c>
      <c r="B18" s="36" t="s">
        <v>122</v>
      </c>
      <c r="C18" s="36" t="s">
        <v>129</v>
      </c>
      <c r="D18" s="37" t="s">
        <v>119</v>
      </c>
      <c r="E18" s="38" t="s">
        <v>21</v>
      </c>
      <c r="F18" s="39"/>
      <c r="G18" s="37"/>
      <c r="H18" s="36"/>
      <c r="I18" s="36"/>
      <c r="J18" s="37"/>
      <c r="K18" s="36"/>
    </row>
    <row r="19" spans="1:11" ht="19.5" customHeight="1" x14ac:dyDescent="0.3">
      <c r="A19" s="80" t="s">
        <v>130</v>
      </c>
      <c r="B19" s="80"/>
      <c r="C19" s="80"/>
      <c r="D19" s="80"/>
      <c r="E19" s="80"/>
      <c r="F19" s="80"/>
      <c r="G19" s="80"/>
      <c r="H19" s="80"/>
      <c r="I19" s="80"/>
      <c r="J19" s="80"/>
      <c r="K19" s="80"/>
    </row>
    <row r="20" spans="1:11" ht="19.5" customHeight="1" x14ac:dyDescent="0.3">
      <c r="A20" s="35">
        <v>10</v>
      </c>
      <c r="B20" s="40" t="s">
        <v>131</v>
      </c>
      <c r="C20" s="40" t="s">
        <v>132</v>
      </c>
      <c r="D20" s="41" t="s">
        <v>119</v>
      </c>
      <c r="E20" s="38" t="s">
        <v>21</v>
      </c>
      <c r="F20" s="39"/>
      <c r="G20" s="41"/>
      <c r="H20" s="40"/>
      <c r="I20" s="40"/>
      <c r="J20" s="41"/>
      <c r="K20" s="40"/>
    </row>
    <row r="21" spans="1:11" ht="19.5" customHeight="1" x14ac:dyDescent="0.3">
      <c r="A21" s="35">
        <v>11</v>
      </c>
      <c r="B21" s="36" t="s">
        <v>131</v>
      </c>
      <c r="C21" s="36" t="s">
        <v>133</v>
      </c>
      <c r="D21" s="37" t="s">
        <v>119</v>
      </c>
      <c r="E21" s="38" t="s">
        <v>21</v>
      </c>
      <c r="F21" s="39"/>
      <c r="G21" s="37"/>
      <c r="H21" s="36"/>
      <c r="I21" s="36"/>
      <c r="J21" s="37"/>
      <c r="K21" s="36"/>
    </row>
    <row r="22" spans="1:11" ht="19.5" customHeight="1" x14ac:dyDescent="0.3">
      <c r="A22" s="35">
        <v>12</v>
      </c>
      <c r="B22" s="40" t="s">
        <v>131</v>
      </c>
      <c r="C22" s="40" t="s">
        <v>134</v>
      </c>
      <c r="D22" s="41" t="s">
        <v>119</v>
      </c>
      <c r="E22" s="38" t="s">
        <v>21</v>
      </c>
      <c r="F22" s="39"/>
      <c r="G22" s="41"/>
      <c r="H22" s="40"/>
      <c r="I22" s="40"/>
      <c r="J22" s="41"/>
      <c r="K22" s="40"/>
    </row>
    <row r="23" spans="1:11" ht="19.5" customHeight="1" x14ac:dyDescent="0.3">
      <c r="A23" s="35">
        <v>13</v>
      </c>
      <c r="B23" s="36" t="s">
        <v>131</v>
      </c>
      <c r="C23" s="36" t="s">
        <v>135</v>
      </c>
      <c r="D23" s="37" t="s">
        <v>119</v>
      </c>
      <c r="E23" s="38" t="s">
        <v>21</v>
      </c>
      <c r="F23" s="39"/>
      <c r="G23" s="37"/>
      <c r="H23" s="36"/>
      <c r="I23" s="36"/>
      <c r="J23" s="37"/>
      <c r="K23" s="36"/>
    </row>
    <row r="24" spans="1:11" ht="19.5" customHeight="1" x14ac:dyDescent="0.3">
      <c r="A24" s="35">
        <v>14</v>
      </c>
      <c r="B24" s="40" t="s">
        <v>131</v>
      </c>
      <c r="C24" s="40" t="s">
        <v>136</v>
      </c>
      <c r="D24" s="41" t="s">
        <v>119</v>
      </c>
      <c r="E24" s="38" t="s">
        <v>21</v>
      </c>
      <c r="F24" s="39"/>
      <c r="G24" s="41"/>
      <c r="H24" s="40"/>
      <c r="I24" s="40"/>
      <c r="J24" s="41"/>
      <c r="K24" s="40"/>
    </row>
    <row r="25" spans="1:11" ht="19.5" customHeight="1" x14ac:dyDescent="0.3">
      <c r="A25" s="35">
        <v>15</v>
      </c>
      <c r="B25" s="36" t="s">
        <v>131</v>
      </c>
      <c r="C25" s="36" t="s">
        <v>137</v>
      </c>
      <c r="D25" s="37" t="s">
        <v>119</v>
      </c>
      <c r="E25" s="38" t="s">
        <v>21</v>
      </c>
      <c r="F25" s="39"/>
      <c r="G25" s="37"/>
      <c r="H25" s="36"/>
      <c r="I25" s="36"/>
      <c r="J25" s="37"/>
      <c r="K25" s="36"/>
    </row>
    <row r="26" spans="1:11" ht="19.5" customHeight="1" x14ac:dyDescent="0.3">
      <c r="A26" s="80" t="s">
        <v>138</v>
      </c>
      <c r="B26" s="80"/>
      <c r="C26" s="80"/>
      <c r="D26" s="80"/>
      <c r="E26" s="80"/>
      <c r="F26" s="80"/>
      <c r="G26" s="80"/>
      <c r="H26" s="80"/>
      <c r="I26" s="80"/>
      <c r="J26" s="80"/>
      <c r="K26" s="80"/>
    </row>
    <row r="27" spans="1:11" ht="19.5" customHeight="1" x14ac:dyDescent="0.3">
      <c r="A27" s="35">
        <v>16</v>
      </c>
      <c r="B27" s="40" t="s">
        <v>139</v>
      </c>
      <c r="C27" s="40" t="s">
        <v>140</v>
      </c>
      <c r="D27" s="41" t="s">
        <v>119</v>
      </c>
      <c r="E27" s="38" t="s">
        <v>21</v>
      </c>
      <c r="F27" s="39"/>
      <c r="G27" s="41"/>
      <c r="H27" s="40"/>
      <c r="I27" s="40"/>
      <c r="J27" s="41"/>
      <c r="K27" s="40"/>
    </row>
    <row r="28" spans="1:11" ht="19.5" customHeight="1" x14ac:dyDescent="0.3">
      <c r="A28" s="35">
        <v>17</v>
      </c>
      <c r="B28" s="36" t="s">
        <v>139</v>
      </c>
      <c r="C28" s="36" t="s">
        <v>141</v>
      </c>
      <c r="D28" s="37" t="s">
        <v>119</v>
      </c>
      <c r="E28" s="38" t="s">
        <v>21</v>
      </c>
      <c r="F28" s="39"/>
      <c r="G28" s="37"/>
      <c r="H28" s="36"/>
      <c r="I28" s="36"/>
      <c r="J28" s="37"/>
      <c r="K28" s="36"/>
    </row>
    <row r="29" spans="1:11" ht="19.5" customHeight="1" x14ac:dyDescent="0.3">
      <c r="A29" s="35">
        <v>18</v>
      </c>
      <c r="B29" s="40" t="s">
        <v>139</v>
      </c>
      <c r="C29" s="40" t="s">
        <v>142</v>
      </c>
      <c r="D29" s="41" t="s">
        <v>119</v>
      </c>
      <c r="E29" s="38" t="s">
        <v>21</v>
      </c>
      <c r="F29" s="39"/>
      <c r="G29" s="41"/>
      <c r="H29" s="40"/>
      <c r="I29" s="40"/>
      <c r="J29" s="41"/>
      <c r="K29" s="40"/>
    </row>
    <row r="30" spans="1:11" ht="19.5" customHeight="1" x14ac:dyDescent="0.3">
      <c r="A30" s="35">
        <v>19</v>
      </c>
      <c r="B30" s="36" t="s">
        <v>139</v>
      </c>
      <c r="C30" s="36" t="s">
        <v>143</v>
      </c>
      <c r="D30" s="37" t="s">
        <v>119</v>
      </c>
      <c r="E30" s="38" t="s">
        <v>21</v>
      </c>
      <c r="F30" s="39"/>
      <c r="G30" s="37"/>
      <c r="H30" s="36"/>
      <c r="I30" s="36"/>
      <c r="J30" s="37"/>
      <c r="K30" s="36"/>
    </row>
    <row r="31" spans="1:11" ht="19.5" customHeight="1" x14ac:dyDescent="0.3">
      <c r="A31" s="35">
        <v>20</v>
      </c>
      <c r="B31" s="40" t="s">
        <v>139</v>
      </c>
      <c r="C31" s="40" t="s">
        <v>144</v>
      </c>
      <c r="D31" s="41" t="s">
        <v>119</v>
      </c>
      <c r="E31" s="38" t="s">
        <v>21</v>
      </c>
      <c r="F31" s="39"/>
      <c r="G31" s="41"/>
      <c r="H31" s="40"/>
      <c r="I31" s="40"/>
      <c r="J31" s="41"/>
      <c r="K31" s="40"/>
    </row>
    <row r="32" spans="1:11" ht="19.5" customHeight="1" x14ac:dyDescent="0.3">
      <c r="A32" s="35">
        <v>21</v>
      </c>
      <c r="B32" s="36" t="s">
        <v>139</v>
      </c>
      <c r="C32" s="36" t="s">
        <v>145</v>
      </c>
      <c r="D32" s="37" t="s">
        <v>119</v>
      </c>
      <c r="E32" s="38" t="s">
        <v>21</v>
      </c>
      <c r="F32" s="39"/>
      <c r="G32" s="37"/>
      <c r="H32" s="36"/>
      <c r="I32" s="36"/>
      <c r="J32" s="37"/>
      <c r="K32" s="36"/>
    </row>
    <row r="33" spans="1:11" ht="19.5" customHeight="1" x14ac:dyDescent="0.3">
      <c r="A33" s="35">
        <v>22</v>
      </c>
      <c r="B33" s="40" t="s">
        <v>139</v>
      </c>
      <c r="C33" s="40" t="s">
        <v>146</v>
      </c>
      <c r="D33" s="41" t="s">
        <v>119</v>
      </c>
      <c r="E33" s="38" t="s">
        <v>21</v>
      </c>
      <c r="F33" s="39"/>
      <c r="G33" s="41"/>
      <c r="H33" s="40"/>
      <c r="I33" s="40"/>
      <c r="J33" s="41"/>
      <c r="K33" s="40"/>
    </row>
    <row r="34" spans="1:11" ht="19.5" customHeight="1" x14ac:dyDescent="0.3">
      <c r="A34" s="35">
        <v>23</v>
      </c>
      <c r="B34" s="36" t="s">
        <v>139</v>
      </c>
      <c r="C34" s="36" t="s">
        <v>147</v>
      </c>
      <c r="D34" s="37" t="s">
        <v>119</v>
      </c>
      <c r="E34" s="38" t="s">
        <v>21</v>
      </c>
      <c r="F34" s="39"/>
      <c r="G34" s="37"/>
      <c r="H34" s="36"/>
      <c r="I34" s="36"/>
      <c r="J34" s="37"/>
      <c r="K34" s="36"/>
    </row>
    <row r="35" spans="1:11" ht="19.5" customHeight="1" x14ac:dyDescent="0.3">
      <c r="A35" s="35">
        <v>24</v>
      </c>
      <c r="B35" s="40" t="s">
        <v>139</v>
      </c>
      <c r="C35" s="40" t="s">
        <v>148</v>
      </c>
      <c r="D35" s="41" t="s">
        <v>119</v>
      </c>
      <c r="E35" s="38" t="s">
        <v>21</v>
      </c>
      <c r="F35" s="39"/>
      <c r="G35" s="41"/>
      <c r="H35" s="40"/>
      <c r="I35" s="40"/>
      <c r="J35" s="41"/>
      <c r="K35" s="40"/>
    </row>
    <row r="36" spans="1:11" ht="19.5" customHeight="1" x14ac:dyDescent="0.3">
      <c r="A36" s="35">
        <v>25</v>
      </c>
      <c r="B36" s="36" t="s">
        <v>139</v>
      </c>
      <c r="C36" s="36" t="s">
        <v>149</v>
      </c>
      <c r="D36" s="37" t="s">
        <v>119</v>
      </c>
      <c r="E36" s="38" t="s">
        <v>21</v>
      </c>
      <c r="F36" s="39"/>
      <c r="G36" s="37"/>
      <c r="H36" s="36"/>
      <c r="I36" s="36"/>
      <c r="J36" s="37"/>
      <c r="K36" s="36"/>
    </row>
    <row r="37" spans="1:11" ht="19.5" customHeight="1" x14ac:dyDescent="0.3">
      <c r="A37" s="35">
        <v>26</v>
      </c>
      <c r="B37" s="40" t="s">
        <v>139</v>
      </c>
      <c r="C37" s="40" t="s">
        <v>150</v>
      </c>
      <c r="D37" s="41" t="s">
        <v>119</v>
      </c>
      <c r="E37" s="38" t="s">
        <v>21</v>
      </c>
      <c r="F37" s="39"/>
      <c r="G37" s="41"/>
      <c r="H37" s="40"/>
      <c r="I37" s="40"/>
      <c r="J37" s="41"/>
      <c r="K37" s="40"/>
    </row>
    <row r="38" spans="1:11" ht="19.5" customHeight="1" x14ac:dyDescent="0.3">
      <c r="A38" s="80" t="s">
        <v>151</v>
      </c>
      <c r="B38" s="80"/>
      <c r="C38" s="80"/>
      <c r="D38" s="80"/>
      <c r="E38" s="80"/>
      <c r="F38" s="80"/>
      <c r="G38" s="80"/>
      <c r="H38" s="80"/>
      <c r="I38" s="80"/>
      <c r="J38" s="80"/>
      <c r="K38" s="80"/>
    </row>
    <row r="39" spans="1:11" ht="19.5" customHeight="1" x14ac:dyDescent="0.3">
      <c r="A39" s="35">
        <v>27</v>
      </c>
      <c r="B39" s="36" t="s">
        <v>152</v>
      </c>
      <c r="C39" s="36" t="s">
        <v>153</v>
      </c>
      <c r="D39" s="37" t="s">
        <v>119</v>
      </c>
      <c r="E39" s="38" t="s">
        <v>21</v>
      </c>
      <c r="F39" s="39"/>
      <c r="G39" s="37"/>
      <c r="H39" s="36"/>
      <c r="I39" s="36"/>
      <c r="J39" s="37"/>
      <c r="K39" s="36"/>
    </row>
    <row r="40" spans="1:11" ht="19.5" customHeight="1" x14ac:dyDescent="0.3">
      <c r="A40" s="35">
        <v>28</v>
      </c>
      <c r="B40" s="40" t="s">
        <v>152</v>
      </c>
      <c r="C40" s="40" t="s">
        <v>154</v>
      </c>
      <c r="D40" s="41" t="s">
        <v>119</v>
      </c>
      <c r="E40" s="38" t="s">
        <v>21</v>
      </c>
      <c r="F40" s="39"/>
      <c r="G40" s="41"/>
      <c r="H40" s="40"/>
      <c r="I40" s="40"/>
      <c r="J40" s="41"/>
      <c r="K40" s="40"/>
    </row>
    <row r="41" spans="1:11" ht="19.5" customHeight="1" x14ac:dyDescent="0.3">
      <c r="A41" s="35">
        <v>29</v>
      </c>
      <c r="B41" s="36" t="s">
        <v>152</v>
      </c>
      <c r="C41" s="36" t="s">
        <v>155</v>
      </c>
      <c r="D41" s="37" t="s">
        <v>119</v>
      </c>
      <c r="E41" s="38" t="s">
        <v>21</v>
      </c>
      <c r="F41" s="39"/>
      <c r="G41" s="37"/>
      <c r="H41" s="36"/>
      <c r="I41" s="36"/>
      <c r="J41" s="37"/>
      <c r="K41" s="36"/>
    </row>
    <row r="42" spans="1:11" ht="19.5" customHeight="1" x14ac:dyDescent="0.3">
      <c r="A42" s="35">
        <v>30</v>
      </c>
      <c r="B42" s="40" t="s">
        <v>152</v>
      </c>
      <c r="C42" s="40" t="s">
        <v>156</v>
      </c>
      <c r="D42" s="41" t="s">
        <v>119</v>
      </c>
      <c r="E42" s="38" t="s">
        <v>21</v>
      </c>
      <c r="F42" s="39"/>
      <c r="G42" s="41"/>
      <c r="H42" s="40"/>
      <c r="I42" s="40"/>
      <c r="J42" s="41"/>
      <c r="K42" s="40"/>
    </row>
    <row r="43" spans="1:11" ht="19.5" customHeight="1" x14ac:dyDescent="0.3">
      <c r="A43" s="35">
        <v>31</v>
      </c>
      <c r="B43" s="36" t="s">
        <v>152</v>
      </c>
      <c r="C43" s="36" t="s">
        <v>157</v>
      </c>
      <c r="D43" s="37" t="s">
        <v>119</v>
      </c>
      <c r="E43" s="38" t="s">
        <v>21</v>
      </c>
      <c r="F43" s="39"/>
      <c r="G43" s="37"/>
      <c r="H43" s="36"/>
      <c r="I43" s="36"/>
      <c r="J43" s="37"/>
      <c r="K43" s="36"/>
    </row>
    <row r="44" spans="1:11" ht="19.5" customHeight="1" x14ac:dyDescent="0.3">
      <c r="A44" s="35">
        <v>32</v>
      </c>
      <c r="B44" s="40" t="s">
        <v>152</v>
      </c>
      <c r="C44" s="40" t="s">
        <v>158</v>
      </c>
      <c r="D44" s="41" t="s">
        <v>119</v>
      </c>
      <c r="E44" s="38" t="s">
        <v>21</v>
      </c>
      <c r="F44" s="39"/>
      <c r="G44" s="41"/>
      <c r="H44" s="40"/>
      <c r="I44" s="40"/>
      <c r="J44" s="41"/>
      <c r="K44" s="40"/>
    </row>
    <row r="45" spans="1:11" ht="19.5" customHeight="1" x14ac:dyDescent="0.3">
      <c r="A45" s="35">
        <v>33</v>
      </c>
      <c r="B45" s="36" t="s">
        <v>152</v>
      </c>
      <c r="C45" s="36" t="s">
        <v>159</v>
      </c>
      <c r="D45" s="37" t="s">
        <v>119</v>
      </c>
      <c r="E45" s="38" t="s">
        <v>21</v>
      </c>
      <c r="F45" s="39"/>
      <c r="G45" s="37"/>
      <c r="H45" s="36"/>
      <c r="I45" s="36"/>
      <c r="J45" s="37"/>
      <c r="K45" s="36"/>
    </row>
    <row r="46" spans="1:11" ht="19.5" customHeight="1" x14ac:dyDescent="0.3">
      <c r="A46" s="35">
        <v>34</v>
      </c>
      <c r="B46" s="40" t="s">
        <v>152</v>
      </c>
      <c r="C46" s="40" t="s">
        <v>160</v>
      </c>
      <c r="D46" s="41" t="s">
        <v>119</v>
      </c>
      <c r="E46" s="38" t="s">
        <v>21</v>
      </c>
      <c r="F46" s="39"/>
      <c r="G46" s="41"/>
      <c r="H46" s="40"/>
      <c r="I46" s="40"/>
      <c r="J46" s="41"/>
      <c r="K46" s="40"/>
    </row>
    <row r="47" spans="1:11" ht="19.5" customHeight="1" x14ac:dyDescent="0.3">
      <c r="A47" s="35">
        <v>35</v>
      </c>
      <c r="B47" s="36" t="s">
        <v>152</v>
      </c>
      <c r="C47" s="36" t="s">
        <v>161</v>
      </c>
      <c r="D47" s="37" t="s">
        <v>119</v>
      </c>
      <c r="E47" s="38" t="s">
        <v>21</v>
      </c>
      <c r="F47" s="39"/>
      <c r="G47" s="37"/>
      <c r="H47" s="36"/>
      <c r="I47" s="36"/>
      <c r="J47" s="37"/>
      <c r="K47" s="36"/>
    </row>
    <row r="48" spans="1:11" ht="19.5" customHeight="1" x14ac:dyDescent="0.3">
      <c r="A48" s="35">
        <v>36</v>
      </c>
      <c r="B48" s="40" t="s">
        <v>152</v>
      </c>
      <c r="C48" s="40" t="s">
        <v>162</v>
      </c>
      <c r="D48" s="41" t="s">
        <v>119</v>
      </c>
      <c r="E48" s="38" t="s">
        <v>21</v>
      </c>
      <c r="F48" s="39"/>
      <c r="G48" s="41"/>
      <c r="H48" s="40"/>
      <c r="I48" s="40"/>
      <c r="J48" s="41"/>
      <c r="K48" s="40"/>
    </row>
    <row r="49" spans="1:11" ht="19.5" customHeight="1" x14ac:dyDescent="0.3">
      <c r="A49" s="35">
        <v>37</v>
      </c>
      <c r="B49" s="36" t="s">
        <v>152</v>
      </c>
      <c r="C49" s="36" t="s">
        <v>163</v>
      </c>
      <c r="D49" s="37" t="s">
        <v>119</v>
      </c>
      <c r="E49" s="38" t="s">
        <v>21</v>
      </c>
      <c r="F49" s="39"/>
      <c r="G49" s="37"/>
      <c r="H49" s="36"/>
      <c r="I49" s="36"/>
      <c r="J49" s="37"/>
      <c r="K49" s="36"/>
    </row>
    <row r="50" spans="1:11" ht="19.5" customHeight="1" x14ac:dyDescent="0.3">
      <c r="A50" s="35">
        <v>38</v>
      </c>
      <c r="B50" s="40" t="s">
        <v>152</v>
      </c>
      <c r="C50" s="40" t="s">
        <v>164</v>
      </c>
      <c r="D50" s="41" t="s">
        <v>119</v>
      </c>
      <c r="E50" s="38" t="s">
        <v>21</v>
      </c>
      <c r="F50" s="39"/>
      <c r="G50" s="41"/>
      <c r="H50" s="40"/>
      <c r="I50" s="40"/>
      <c r="J50" s="41"/>
      <c r="K50" s="40"/>
    </row>
    <row r="51" spans="1:11" ht="19.5" customHeight="1" x14ac:dyDescent="0.3">
      <c r="A51" s="35">
        <v>39</v>
      </c>
      <c r="B51" s="36" t="s">
        <v>152</v>
      </c>
      <c r="C51" s="36" t="s">
        <v>165</v>
      </c>
      <c r="D51" s="37" t="s">
        <v>119</v>
      </c>
      <c r="E51" s="38" t="s">
        <v>21</v>
      </c>
      <c r="F51" s="39"/>
      <c r="G51" s="37"/>
      <c r="H51" s="36"/>
      <c r="I51" s="36"/>
      <c r="J51" s="37"/>
      <c r="K51" s="36"/>
    </row>
    <row r="52" spans="1:11" ht="19.5" customHeight="1" x14ac:dyDescent="0.3">
      <c r="A52" s="35">
        <v>40</v>
      </c>
      <c r="B52" s="40" t="s">
        <v>152</v>
      </c>
      <c r="C52" s="40" t="s">
        <v>166</v>
      </c>
      <c r="D52" s="41" t="s">
        <v>119</v>
      </c>
      <c r="E52" s="38" t="s">
        <v>21</v>
      </c>
      <c r="F52" s="39"/>
      <c r="G52" s="41"/>
      <c r="H52" s="40"/>
      <c r="I52" s="40"/>
      <c r="J52" s="41"/>
      <c r="K52" s="40"/>
    </row>
    <row r="53" spans="1:11" ht="19.5" customHeight="1" x14ac:dyDescent="0.3">
      <c r="A53" s="35">
        <v>41</v>
      </c>
      <c r="B53" s="36" t="s">
        <v>152</v>
      </c>
      <c r="C53" s="36" t="s">
        <v>167</v>
      </c>
      <c r="D53" s="37" t="s">
        <v>119</v>
      </c>
      <c r="E53" s="38" t="s">
        <v>21</v>
      </c>
      <c r="F53" s="39"/>
      <c r="G53" s="37"/>
      <c r="H53" s="36"/>
      <c r="I53" s="36"/>
      <c r="J53" s="37"/>
      <c r="K53" s="36"/>
    </row>
    <row r="54" spans="1:11" ht="19.5" customHeight="1" x14ac:dyDescent="0.3">
      <c r="A54" s="80" t="s">
        <v>168</v>
      </c>
      <c r="B54" s="80"/>
      <c r="C54" s="80"/>
      <c r="D54" s="80"/>
      <c r="E54" s="80"/>
      <c r="F54" s="80"/>
      <c r="G54" s="80"/>
      <c r="H54" s="80"/>
      <c r="I54" s="80"/>
      <c r="J54" s="80"/>
      <c r="K54" s="80"/>
    </row>
    <row r="55" spans="1:11" ht="19.5" customHeight="1" x14ac:dyDescent="0.3">
      <c r="A55" s="35">
        <v>42</v>
      </c>
      <c r="B55" s="40" t="s">
        <v>169</v>
      </c>
      <c r="C55" s="40" t="s">
        <v>170</v>
      </c>
      <c r="D55" s="41" t="s">
        <v>119</v>
      </c>
      <c r="E55" s="38" t="s">
        <v>21</v>
      </c>
      <c r="F55" s="39"/>
      <c r="G55" s="41"/>
      <c r="H55" s="40"/>
      <c r="I55" s="40"/>
      <c r="J55" s="41"/>
      <c r="K55" s="40"/>
    </row>
    <row r="56" spans="1:11" ht="19.5" customHeight="1" x14ac:dyDescent="0.3">
      <c r="A56" s="35">
        <v>43</v>
      </c>
      <c r="B56" s="36" t="s">
        <v>169</v>
      </c>
      <c r="C56" s="36" t="s">
        <v>171</v>
      </c>
      <c r="D56" s="37" t="s">
        <v>119</v>
      </c>
      <c r="E56" s="38" t="s">
        <v>21</v>
      </c>
      <c r="F56" s="39"/>
      <c r="G56" s="37"/>
      <c r="H56" s="36"/>
      <c r="I56" s="36"/>
      <c r="J56" s="37"/>
      <c r="K56" s="36"/>
    </row>
    <row r="57" spans="1:11" ht="19.5" customHeight="1" x14ac:dyDescent="0.3">
      <c r="A57" s="35">
        <v>44</v>
      </c>
      <c r="B57" s="40" t="s">
        <v>169</v>
      </c>
      <c r="C57" s="40" t="s">
        <v>172</v>
      </c>
      <c r="D57" s="41" t="s">
        <v>119</v>
      </c>
      <c r="E57" s="38" t="s">
        <v>21</v>
      </c>
      <c r="F57" s="39"/>
      <c r="G57" s="41"/>
      <c r="H57" s="40"/>
      <c r="I57" s="40"/>
      <c r="J57" s="41"/>
      <c r="K57" s="40"/>
    </row>
    <row r="58" spans="1:11" ht="19.5" customHeight="1" x14ac:dyDescent="0.3">
      <c r="A58" s="35">
        <v>45</v>
      </c>
      <c r="B58" s="36" t="s">
        <v>169</v>
      </c>
      <c r="C58" s="36" t="s">
        <v>173</v>
      </c>
      <c r="D58" s="37" t="s">
        <v>119</v>
      </c>
      <c r="E58" s="38" t="s">
        <v>21</v>
      </c>
      <c r="F58" s="39"/>
      <c r="G58" s="37"/>
      <c r="H58" s="36"/>
      <c r="I58" s="36"/>
      <c r="J58" s="37"/>
      <c r="K58" s="36"/>
    </row>
    <row r="59" spans="1:11" ht="19.5" customHeight="1" x14ac:dyDescent="0.3">
      <c r="A59" s="35">
        <v>46</v>
      </c>
      <c r="B59" s="40" t="s">
        <v>169</v>
      </c>
      <c r="C59" s="40" t="s">
        <v>174</v>
      </c>
      <c r="D59" s="41" t="s">
        <v>119</v>
      </c>
      <c r="E59" s="38" t="s">
        <v>21</v>
      </c>
      <c r="F59" s="39"/>
      <c r="G59" s="41"/>
      <c r="H59" s="40"/>
      <c r="I59" s="40"/>
      <c r="J59" s="41"/>
      <c r="K59" s="40"/>
    </row>
    <row r="60" spans="1:11" ht="19.5" customHeight="1" x14ac:dyDescent="0.3">
      <c r="A60" s="35">
        <v>47</v>
      </c>
      <c r="B60" s="36" t="s">
        <v>169</v>
      </c>
      <c r="C60" s="36" t="s">
        <v>175</v>
      </c>
      <c r="D60" s="37" t="s">
        <v>119</v>
      </c>
      <c r="E60" s="38" t="s">
        <v>21</v>
      </c>
      <c r="F60" s="39"/>
      <c r="G60" s="37"/>
      <c r="H60" s="36"/>
      <c r="I60" s="36"/>
      <c r="J60" s="37"/>
      <c r="K60" s="36"/>
    </row>
    <row r="61" spans="1:11" ht="19.5" customHeight="1" x14ac:dyDescent="0.3">
      <c r="A61" s="35">
        <v>48</v>
      </c>
      <c r="B61" s="40" t="s">
        <v>169</v>
      </c>
      <c r="C61" s="40" t="s">
        <v>176</v>
      </c>
      <c r="D61" s="41" t="s">
        <v>119</v>
      </c>
      <c r="E61" s="38" t="s">
        <v>21</v>
      </c>
      <c r="F61" s="39"/>
      <c r="G61" s="41"/>
      <c r="H61" s="40"/>
      <c r="I61" s="40"/>
      <c r="J61" s="41"/>
      <c r="K61" s="40"/>
    </row>
    <row r="62" spans="1:11" ht="19.5" customHeight="1" x14ac:dyDescent="0.3">
      <c r="A62" s="80" t="s">
        <v>177</v>
      </c>
      <c r="B62" s="80"/>
      <c r="C62" s="80"/>
      <c r="D62" s="80"/>
      <c r="E62" s="80"/>
      <c r="F62" s="80"/>
      <c r="G62" s="80"/>
      <c r="H62" s="80"/>
      <c r="I62" s="80"/>
      <c r="J62" s="80"/>
      <c r="K62" s="80"/>
    </row>
    <row r="63" spans="1:11" ht="19.5" customHeight="1" x14ac:dyDescent="0.3">
      <c r="A63" s="35">
        <v>49</v>
      </c>
      <c r="B63" s="36" t="s">
        <v>178</v>
      </c>
      <c r="C63" s="36" t="s">
        <v>179</v>
      </c>
      <c r="D63" s="37" t="s">
        <v>119</v>
      </c>
      <c r="E63" s="38" t="s">
        <v>21</v>
      </c>
      <c r="F63" s="39"/>
      <c r="G63" s="37"/>
      <c r="H63" s="36"/>
      <c r="I63" s="36"/>
      <c r="J63" s="37"/>
      <c r="K63" s="36"/>
    </row>
    <row r="64" spans="1:11" ht="19.5" customHeight="1" x14ac:dyDescent="0.3">
      <c r="A64" s="35">
        <v>50</v>
      </c>
      <c r="B64" s="40" t="s">
        <v>178</v>
      </c>
      <c r="C64" s="40" t="s">
        <v>180</v>
      </c>
      <c r="D64" s="41" t="s">
        <v>119</v>
      </c>
      <c r="E64" s="38" t="s">
        <v>21</v>
      </c>
      <c r="F64" s="39"/>
      <c r="G64" s="41"/>
      <c r="H64" s="40"/>
      <c r="I64" s="40"/>
      <c r="J64" s="41"/>
      <c r="K64" s="40"/>
    </row>
    <row r="65" spans="1:11" ht="19.5" customHeight="1" x14ac:dyDescent="0.3">
      <c r="A65" s="35">
        <v>51</v>
      </c>
      <c r="B65" s="36" t="s">
        <v>178</v>
      </c>
      <c r="C65" s="36" t="s">
        <v>181</v>
      </c>
      <c r="D65" s="37" t="s">
        <v>119</v>
      </c>
      <c r="E65" s="38" t="s">
        <v>21</v>
      </c>
      <c r="F65" s="39"/>
      <c r="G65" s="37"/>
      <c r="H65" s="36"/>
      <c r="I65" s="36"/>
      <c r="J65" s="37"/>
      <c r="K65" s="36"/>
    </row>
    <row r="66" spans="1:11" ht="19.5" customHeight="1" x14ac:dyDescent="0.3">
      <c r="A66" s="35">
        <v>52</v>
      </c>
      <c r="B66" s="40" t="s">
        <v>178</v>
      </c>
      <c r="C66" s="40" t="s">
        <v>182</v>
      </c>
      <c r="D66" s="41" t="s">
        <v>119</v>
      </c>
      <c r="E66" s="38" t="s">
        <v>21</v>
      </c>
      <c r="F66" s="39"/>
      <c r="G66" s="41"/>
      <c r="H66" s="40"/>
      <c r="I66" s="40"/>
      <c r="J66" s="41"/>
      <c r="K66" s="40"/>
    </row>
    <row r="67" spans="1:11" ht="19.5" customHeight="1" x14ac:dyDescent="0.3">
      <c r="A67" s="35">
        <v>53</v>
      </c>
      <c r="B67" s="36" t="s">
        <v>178</v>
      </c>
      <c r="C67" s="36" t="s">
        <v>183</v>
      </c>
      <c r="D67" s="37" t="s">
        <v>119</v>
      </c>
      <c r="E67" s="38" t="s">
        <v>21</v>
      </c>
      <c r="F67" s="39"/>
      <c r="G67" s="37"/>
      <c r="H67" s="36"/>
      <c r="I67" s="36"/>
      <c r="J67" s="37"/>
      <c r="K67" s="36"/>
    </row>
    <row r="68" spans="1:11" ht="19.5" customHeight="1" x14ac:dyDescent="0.3">
      <c r="A68" s="35">
        <v>54</v>
      </c>
      <c r="B68" s="40" t="s">
        <v>178</v>
      </c>
      <c r="C68" s="40" t="s">
        <v>184</v>
      </c>
      <c r="D68" s="41" t="s">
        <v>119</v>
      </c>
      <c r="E68" s="38" t="s">
        <v>21</v>
      </c>
      <c r="F68" s="39"/>
      <c r="G68" s="41"/>
      <c r="H68" s="40"/>
      <c r="I68" s="40"/>
      <c r="J68" s="41"/>
      <c r="K68" s="40"/>
    </row>
    <row r="69" spans="1:11" ht="19.5" customHeight="1" x14ac:dyDescent="0.3">
      <c r="A69" s="35">
        <v>55</v>
      </c>
      <c r="B69" s="36" t="s">
        <v>178</v>
      </c>
      <c r="C69" s="36" t="s">
        <v>185</v>
      </c>
      <c r="D69" s="37" t="s">
        <v>119</v>
      </c>
      <c r="E69" s="38" t="s">
        <v>21</v>
      </c>
      <c r="F69" s="39"/>
      <c r="G69" s="37"/>
      <c r="H69" s="36"/>
      <c r="I69" s="36"/>
      <c r="J69" s="37"/>
      <c r="K69" s="36"/>
    </row>
    <row r="70" spans="1:11" ht="19.5" customHeight="1" x14ac:dyDescent="0.3">
      <c r="A70" s="35">
        <v>56</v>
      </c>
      <c r="B70" s="40" t="s">
        <v>178</v>
      </c>
      <c r="C70" s="40" t="s">
        <v>186</v>
      </c>
      <c r="D70" s="41" t="s">
        <v>119</v>
      </c>
      <c r="E70" s="38" t="s">
        <v>21</v>
      </c>
      <c r="F70" s="39"/>
      <c r="G70" s="41"/>
      <c r="H70" s="40"/>
      <c r="I70" s="40"/>
      <c r="J70" s="41"/>
      <c r="K70" s="40"/>
    </row>
    <row r="71" spans="1:11" ht="19.5" customHeight="1" x14ac:dyDescent="0.3">
      <c r="A71" s="35">
        <v>57</v>
      </c>
      <c r="B71" s="36" t="s">
        <v>178</v>
      </c>
      <c r="C71" s="36" t="s">
        <v>187</v>
      </c>
      <c r="D71" s="37" t="s">
        <v>119</v>
      </c>
      <c r="E71" s="38" t="s">
        <v>21</v>
      </c>
      <c r="F71" s="39"/>
      <c r="G71" s="37"/>
      <c r="H71" s="36"/>
      <c r="I71" s="36"/>
      <c r="J71" s="37"/>
      <c r="K71" s="36"/>
    </row>
    <row r="72" spans="1:11" ht="19.5" customHeight="1" x14ac:dyDescent="0.3">
      <c r="A72" s="80" t="s">
        <v>188</v>
      </c>
      <c r="B72" s="80"/>
      <c r="C72" s="80"/>
      <c r="D72" s="80"/>
      <c r="E72" s="80"/>
      <c r="F72" s="80"/>
      <c r="G72" s="80"/>
      <c r="H72" s="80"/>
      <c r="I72" s="80"/>
      <c r="J72" s="80"/>
      <c r="K72" s="80"/>
    </row>
    <row r="73" spans="1:11" ht="19.5" customHeight="1" x14ac:dyDescent="0.3">
      <c r="A73" s="35">
        <v>58</v>
      </c>
      <c r="B73" s="40" t="s">
        <v>189</v>
      </c>
      <c r="C73" s="40" t="s">
        <v>190</v>
      </c>
      <c r="D73" s="41" t="s">
        <v>119</v>
      </c>
      <c r="E73" s="38" t="s">
        <v>21</v>
      </c>
      <c r="F73" s="39"/>
      <c r="G73" s="41"/>
      <c r="H73" s="40"/>
      <c r="I73" s="40"/>
      <c r="J73" s="41"/>
      <c r="K73" s="40"/>
    </row>
    <row r="74" spans="1:11" ht="19.5" customHeight="1" x14ac:dyDescent="0.3">
      <c r="A74" s="35">
        <v>59</v>
      </c>
      <c r="B74" s="36" t="s">
        <v>189</v>
      </c>
      <c r="C74" s="36" t="s">
        <v>191</v>
      </c>
      <c r="D74" s="37" t="s">
        <v>119</v>
      </c>
      <c r="E74" s="38" t="s">
        <v>21</v>
      </c>
      <c r="F74" s="39"/>
      <c r="G74" s="37"/>
      <c r="H74" s="36"/>
      <c r="I74" s="36"/>
      <c r="J74" s="37"/>
      <c r="K74" s="36"/>
    </row>
    <row r="75" spans="1:11" ht="19.5" customHeight="1" x14ac:dyDescent="0.3">
      <c r="A75" s="35">
        <v>60</v>
      </c>
      <c r="B75" s="40" t="s">
        <v>189</v>
      </c>
      <c r="C75" s="40" t="s">
        <v>192</v>
      </c>
      <c r="D75" s="41" t="s">
        <v>119</v>
      </c>
      <c r="E75" s="38" t="s">
        <v>21</v>
      </c>
      <c r="F75" s="39"/>
      <c r="G75" s="41"/>
      <c r="H75" s="40"/>
      <c r="I75" s="40"/>
      <c r="J75" s="41"/>
      <c r="K75" s="40"/>
    </row>
    <row r="76" spans="1:11" ht="19.5" customHeight="1" x14ac:dyDescent="0.3">
      <c r="A76" s="35">
        <v>61</v>
      </c>
      <c r="B76" s="36" t="s">
        <v>189</v>
      </c>
      <c r="C76" s="36" t="s">
        <v>193</v>
      </c>
      <c r="D76" s="37" t="s">
        <v>119</v>
      </c>
      <c r="E76" s="38" t="s">
        <v>21</v>
      </c>
      <c r="F76" s="39"/>
      <c r="G76" s="37"/>
      <c r="H76" s="36"/>
      <c r="I76" s="36"/>
      <c r="J76" s="37"/>
      <c r="K76" s="36"/>
    </row>
    <row r="77" spans="1:11" ht="19.5" customHeight="1" x14ac:dyDescent="0.3">
      <c r="A77" s="35">
        <v>62</v>
      </c>
      <c r="B77" s="40" t="s">
        <v>189</v>
      </c>
      <c r="C77" s="40" t="s">
        <v>194</v>
      </c>
      <c r="D77" s="41" t="s">
        <v>119</v>
      </c>
      <c r="E77" s="38" t="s">
        <v>21</v>
      </c>
      <c r="F77" s="39"/>
      <c r="G77" s="41"/>
      <c r="H77" s="40"/>
      <c r="I77" s="40"/>
      <c r="J77" s="41"/>
      <c r="K77" s="40"/>
    </row>
    <row r="78" spans="1:11" ht="19.5" customHeight="1" x14ac:dyDescent="0.3">
      <c r="A78" s="35">
        <v>63</v>
      </c>
      <c r="B78" s="36" t="s">
        <v>189</v>
      </c>
      <c r="C78" s="36" t="s">
        <v>195</v>
      </c>
      <c r="D78" s="37" t="s">
        <v>119</v>
      </c>
      <c r="E78" s="38" t="s">
        <v>21</v>
      </c>
      <c r="F78" s="39"/>
      <c r="G78" s="37"/>
      <c r="H78" s="36"/>
      <c r="I78" s="36"/>
      <c r="J78" s="37"/>
      <c r="K78" s="36"/>
    </row>
    <row r="79" spans="1:11" ht="19.5" customHeight="1" x14ac:dyDescent="0.3">
      <c r="A79" s="35">
        <v>64</v>
      </c>
      <c r="B79" s="40" t="s">
        <v>189</v>
      </c>
      <c r="C79" s="40" t="s">
        <v>196</v>
      </c>
      <c r="D79" s="41" t="s">
        <v>119</v>
      </c>
      <c r="E79" s="38" t="s">
        <v>21</v>
      </c>
      <c r="F79" s="39"/>
      <c r="G79" s="41"/>
      <c r="H79" s="40"/>
      <c r="I79" s="40"/>
      <c r="J79" s="41"/>
      <c r="K79" s="40"/>
    </row>
    <row r="80" spans="1:11" ht="19.5" customHeight="1" x14ac:dyDescent="0.3">
      <c r="A80" s="35">
        <v>65</v>
      </c>
      <c r="B80" s="36" t="s">
        <v>189</v>
      </c>
      <c r="C80" s="36" t="s">
        <v>197</v>
      </c>
      <c r="D80" s="37" t="s">
        <v>119</v>
      </c>
      <c r="E80" s="38" t="s">
        <v>21</v>
      </c>
      <c r="F80" s="39"/>
      <c r="G80" s="37"/>
      <c r="H80" s="36"/>
      <c r="I80" s="36"/>
      <c r="J80" s="37"/>
      <c r="K80" s="36"/>
    </row>
    <row r="81" spans="1:11" ht="19.5" customHeight="1" x14ac:dyDescent="0.3">
      <c r="A81" s="35">
        <v>66</v>
      </c>
      <c r="B81" s="40" t="s">
        <v>189</v>
      </c>
      <c r="C81" s="40" t="s">
        <v>198</v>
      </c>
      <c r="D81" s="41" t="s">
        <v>119</v>
      </c>
      <c r="E81" s="38" t="s">
        <v>21</v>
      </c>
      <c r="F81" s="39"/>
      <c r="G81" s="41"/>
      <c r="H81" s="40"/>
      <c r="I81" s="40"/>
      <c r="J81" s="41"/>
      <c r="K81" s="40"/>
    </row>
    <row r="82" spans="1:11" ht="19.5" customHeight="1" x14ac:dyDescent="0.3">
      <c r="A82" s="35">
        <v>67</v>
      </c>
      <c r="B82" s="36" t="s">
        <v>189</v>
      </c>
      <c r="C82" s="36" t="s">
        <v>199</v>
      </c>
      <c r="D82" s="37" t="s">
        <v>119</v>
      </c>
      <c r="E82" s="38" t="s">
        <v>21</v>
      </c>
      <c r="F82" s="39"/>
      <c r="G82" s="37"/>
      <c r="H82" s="36"/>
      <c r="I82" s="36"/>
      <c r="J82" s="37"/>
      <c r="K82" s="36"/>
    </row>
    <row r="83" spans="1:11" ht="19.5" customHeight="1" x14ac:dyDescent="0.3">
      <c r="A83" s="35">
        <v>68</v>
      </c>
      <c r="B83" s="40" t="s">
        <v>189</v>
      </c>
      <c r="C83" s="40" t="s">
        <v>200</v>
      </c>
      <c r="D83" s="41" t="s">
        <v>119</v>
      </c>
      <c r="E83" s="38" t="s">
        <v>21</v>
      </c>
      <c r="F83" s="39"/>
      <c r="G83" s="41"/>
      <c r="H83" s="40"/>
      <c r="I83" s="40"/>
      <c r="J83" s="41"/>
      <c r="K83" s="40"/>
    </row>
    <row r="84" spans="1:11" ht="19.5" customHeight="1" x14ac:dyDescent="0.3">
      <c r="A84" s="35">
        <v>69</v>
      </c>
      <c r="B84" s="36" t="s">
        <v>189</v>
      </c>
      <c r="C84" s="36" t="s">
        <v>201</v>
      </c>
      <c r="D84" s="37" t="s">
        <v>119</v>
      </c>
      <c r="E84" s="38" t="s">
        <v>21</v>
      </c>
      <c r="F84" s="39"/>
      <c r="G84" s="37"/>
      <c r="H84" s="36"/>
      <c r="I84" s="36"/>
      <c r="J84" s="37"/>
      <c r="K84" s="36"/>
    </row>
    <row r="85" spans="1:11" ht="19.5" customHeight="1" x14ac:dyDescent="0.3">
      <c r="A85" s="35">
        <v>70</v>
      </c>
      <c r="B85" s="40" t="s">
        <v>189</v>
      </c>
      <c r="C85" s="40" t="s">
        <v>202</v>
      </c>
      <c r="D85" s="41" t="s">
        <v>119</v>
      </c>
      <c r="E85" s="38" t="s">
        <v>21</v>
      </c>
      <c r="F85" s="39"/>
      <c r="G85" s="41"/>
      <c r="H85" s="40"/>
      <c r="I85" s="40"/>
      <c r="J85" s="41"/>
      <c r="K85" s="40"/>
    </row>
    <row r="86" spans="1:11" ht="19.5" customHeight="1" x14ac:dyDescent="0.3">
      <c r="A86" s="35">
        <v>71</v>
      </c>
      <c r="B86" s="36" t="s">
        <v>189</v>
      </c>
      <c r="C86" s="36" t="s">
        <v>203</v>
      </c>
      <c r="D86" s="37" t="s">
        <v>119</v>
      </c>
      <c r="E86" s="38" t="s">
        <v>21</v>
      </c>
      <c r="F86" s="39"/>
      <c r="G86" s="37"/>
      <c r="H86" s="36"/>
      <c r="I86" s="36"/>
      <c r="J86" s="37"/>
      <c r="K86" s="36"/>
    </row>
    <row r="87" spans="1:11" ht="19.5" customHeight="1" x14ac:dyDescent="0.3">
      <c r="A87" s="35">
        <v>72</v>
      </c>
      <c r="B87" s="40" t="s">
        <v>189</v>
      </c>
      <c r="C87" s="40" t="s">
        <v>204</v>
      </c>
      <c r="D87" s="41" t="s">
        <v>119</v>
      </c>
      <c r="E87" s="38" t="s">
        <v>21</v>
      </c>
      <c r="F87" s="39"/>
      <c r="G87" s="41"/>
      <c r="H87" s="40"/>
      <c r="I87" s="40"/>
      <c r="J87" s="41"/>
      <c r="K87" s="40"/>
    </row>
    <row r="88" spans="1:11" ht="19.5" customHeight="1" x14ac:dyDescent="0.3">
      <c r="A88" s="35">
        <v>73</v>
      </c>
      <c r="B88" s="36" t="s">
        <v>189</v>
      </c>
      <c r="C88" s="36" t="s">
        <v>205</v>
      </c>
      <c r="D88" s="37" t="s">
        <v>119</v>
      </c>
      <c r="E88" s="38" t="s">
        <v>21</v>
      </c>
      <c r="F88" s="39"/>
      <c r="G88" s="37"/>
      <c r="H88" s="36"/>
      <c r="I88" s="36"/>
      <c r="J88" s="37"/>
      <c r="K88" s="36"/>
    </row>
    <row r="89" spans="1:11" ht="19.5" customHeight="1" x14ac:dyDescent="0.3">
      <c r="A89" s="35">
        <v>74</v>
      </c>
      <c r="B89" s="40" t="s">
        <v>189</v>
      </c>
      <c r="C89" s="40" t="s">
        <v>206</v>
      </c>
      <c r="D89" s="41" t="s">
        <v>119</v>
      </c>
      <c r="E89" s="38" t="s">
        <v>21</v>
      </c>
      <c r="F89" s="39"/>
      <c r="G89" s="41"/>
      <c r="H89" s="40"/>
      <c r="I89" s="40"/>
      <c r="J89" s="41"/>
      <c r="K89" s="40"/>
    </row>
    <row r="90" spans="1:11" ht="19.5" customHeight="1" x14ac:dyDescent="0.3">
      <c r="A90" s="35">
        <v>75</v>
      </c>
      <c r="B90" s="36" t="s">
        <v>189</v>
      </c>
      <c r="C90" s="36" t="s">
        <v>207</v>
      </c>
      <c r="D90" s="37" t="s">
        <v>119</v>
      </c>
      <c r="E90" s="38" t="s">
        <v>21</v>
      </c>
      <c r="F90" s="39"/>
      <c r="G90" s="37"/>
      <c r="H90" s="36"/>
      <c r="I90" s="36"/>
      <c r="J90" s="37"/>
      <c r="K90" s="36"/>
    </row>
    <row r="91" spans="1:11" ht="19.5" customHeight="1" x14ac:dyDescent="0.3">
      <c r="A91" s="35">
        <v>76</v>
      </c>
      <c r="B91" s="40" t="s">
        <v>189</v>
      </c>
      <c r="C91" s="40" t="s">
        <v>208</v>
      </c>
      <c r="D91" s="41" t="s">
        <v>119</v>
      </c>
      <c r="E91" s="38" t="s">
        <v>21</v>
      </c>
      <c r="F91" s="39"/>
      <c r="G91" s="41"/>
      <c r="H91" s="40"/>
      <c r="I91" s="40"/>
      <c r="J91" s="41"/>
      <c r="K91" s="40"/>
    </row>
    <row r="92" spans="1:11" ht="19.5" customHeight="1" x14ac:dyDescent="0.3">
      <c r="A92" s="35">
        <v>77</v>
      </c>
      <c r="B92" s="36" t="s">
        <v>189</v>
      </c>
      <c r="C92" s="36" t="s">
        <v>209</v>
      </c>
      <c r="D92" s="37" t="s">
        <v>119</v>
      </c>
      <c r="E92" s="38" t="s">
        <v>21</v>
      </c>
      <c r="F92" s="39"/>
      <c r="G92" s="37"/>
      <c r="H92" s="36"/>
      <c r="I92" s="36"/>
      <c r="J92" s="37"/>
      <c r="K92" s="36"/>
    </row>
    <row r="93" spans="1:11" ht="19.5" customHeight="1" x14ac:dyDescent="0.3">
      <c r="A93" s="35">
        <v>78</v>
      </c>
      <c r="B93" s="40" t="s">
        <v>189</v>
      </c>
      <c r="C93" s="40" t="s">
        <v>210</v>
      </c>
      <c r="D93" s="41" t="s">
        <v>119</v>
      </c>
      <c r="E93" s="38" t="s">
        <v>21</v>
      </c>
      <c r="F93" s="39"/>
      <c r="G93" s="41"/>
      <c r="H93" s="40"/>
      <c r="I93" s="40"/>
      <c r="J93" s="41"/>
      <c r="K93" s="40"/>
    </row>
    <row r="94" spans="1:11" ht="19.5" customHeight="1" x14ac:dyDescent="0.3">
      <c r="A94" s="35">
        <v>79</v>
      </c>
      <c r="B94" s="36" t="s">
        <v>189</v>
      </c>
      <c r="C94" s="36" t="s">
        <v>211</v>
      </c>
      <c r="D94" s="37" t="s">
        <v>119</v>
      </c>
      <c r="E94" s="38" t="s">
        <v>21</v>
      </c>
      <c r="F94" s="39"/>
      <c r="G94" s="37"/>
      <c r="H94" s="36"/>
      <c r="I94" s="36"/>
      <c r="J94" s="37"/>
      <c r="K94" s="36"/>
    </row>
    <row r="95" spans="1:11" ht="19.5" customHeight="1" x14ac:dyDescent="0.3">
      <c r="A95" s="35">
        <v>80</v>
      </c>
      <c r="B95" s="40" t="s">
        <v>189</v>
      </c>
      <c r="C95" s="40" t="s">
        <v>212</v>
      </c>
      <c r="D95" s="41" t="s">
        <v>119</v>
      </c>
      <c r="E95" s="38" t="s">
        <v>21</v>
      </c>
      <c r="F95" s="39"/>
      <c r="G95" s="41"/>
      <c r="H95" s="40"/>
      <c r="I95" s="40"/>
      <c r="J95" s="41"/>
      <c r="K95" s="40"/>
    </row>
    <row r="96" spans="1:11" ht="19.5" customHeight="1" x14ac:dyDescent="0.3">
      <c r="A96" s="35">
        <v>81</v>
      </c>
      <c r="B96" s="36" t="s">
        <v>189</v>
      </c>
      <c r="C96" s="36" t="s">
        <v>213</v>
      </c>
      <c r="D96" s="37" t="s">
        <v>119</v>
      </c>
      <c r="E96" s="38" t="s">
        <v>21</v>
      </c>
      <c r="F96" s="39"/>
      <c r="G96" s="37"/>
      <c r="H96" s="36"/>
      <c r="I96" s="36"/>
      <c r="J96" s="37"/>
      <c r="K96" s="36"/>
    </row>
    <row r="97" spans="1:11" ht="19.5" customHeight="1" x14ac:dyDescent="0.3">
      <c r="A97" s="35">
        <v>82</v>
      </c>
      <c r="B97" s="40" t="s">
        <v>189</v>
      </c>
      <c r="C97" s="40" t="s">
        <v>214</v>
      </c>
      <c r="D97" s="41" t="s">
        <v>119</v>
      </c>
      <c r="E97" s="38" t="s">
        <v>21</v>
      </c>
      <c r="F97" s="39"/>
      <c r="G97" s="41"/>
      <c r="H97" s="40"/>
      <c r="I97" s="40"/>
      <c r="J97" s="41"/>
      <c r="K97" s="40"/>
    </row>
    <row r="98" spans="1:11" ht="19.5" customHeight="1" x14ac:dyDescent="0.3">
      <c r="A98" s="80" t="s">
        <v>215</v>
      </c>
      <c r="B98" s="80"/>
      <c r="C98" s="80"/>
      <c r="D98" s="80"/>
      <c r="E98" s="80"/>
      <c r="F98" s="80"/>
      <c r="G98" s="80"/>
      <c r="H98" s="80"/>
      <c r="I98" s="80"/>
      <c r="J98" s="80"/>
      <c r="K98" s="80"/>
    </row>
    <row r="99" spans="1:11" ht="19.5" customHeight="1" x14ac:dyDescent="0.3">
      <c r="A99" s="35">
        <v>83</v>
      </c>
      <c r="B99" s="36" t="s">
        <v>216</v>
      </c>
      <c r="C99" s="36" t="s">
        <v>217</v>
      </c>
      <c r="D99" s="37" t="s">
        <v>119</v>
      </c>
      <c r="E99" s="38" t="s">
        <v>21</v>
      </c>
      <c r="F99" s="39"/>
      <c r="G99" s="37"/>
      <c r="H99" s="36"/>
      <c r="I99" s="36"/>
      <c r="J99" s="37"/>
      <c r="K99" s="36"/>
    </row>
    <row r="100" spans="1:11" ht="19.5" customHeight="1" x14ac:dyDescent="0.3">
      <c r="A100" s="35">
        <v>84</v>
      </c>
      <c r="B100" s="40" t="s">
        <v>216</v>
      </c>
      <c r="C100" s="40" t="s">
        <v>218</v>
      </c>
      <c r="D100" s="41" t="s">
        <v>119</v>
      </c>
      <c r="E100" s="38" t="s">
        <v>21</v>
      </c>
      <c r="F100" s="39"/>
      <c r="G100" s="41"/>
      <c r="H100" s="40"/>
      <c r="I100" s="40"/>
      <c r="J100" s="41"/>
      <c r="K100" s="40"/>
    </row>
    <row r="101" spans="1:11" ht="19.5" customHeight="1" x14ac:dyDescent="0.3">
      <c r="A101" s="35">
        <v>85</v>
      </c>
      <c r="B101" s="36" t="s">
        <v>216</v>
      </c>
      <c r="C101" s="36" t="s">
        <v>219</v>
      </c>
      <c r="D101" s="37" t="s">
        <v>119</v>
      </c>
      <c r="E101" s="38" t="s">
        <v>21</v>
      </c>
      <c r="F101" s="39"/>
      <c r="G101" s="37"/>
      <c r="H101" s="36"/>
      <c r="I101" s="36"/>
      <c r="J101" s="37"/>
      <c r="K101" s="36"/>
    </row>
    <row r="102" spans="1:11" ht="19.5" customHeight="1" x14ac:dyDescent="0.3">
      <c r="A102" s="35">
        <v>86</v>
      </c>
      <c r="B102" s="40" t="s">
        <v>216</v>
      </c>
      <c r="C102" s="40" t="s">
        <v>198</v>
      </c>
      <c r="D102" s="41" t="s">
        <v>119</v>
      </c>
      <c r="E102" s="38" t="s">
        <v>21</v>
      </c>
      <c r="F102" s="39"/>
      <c r="G102" s="41"/>
      <c r="H102" s="40"/>
      <c r="I102" s="40"/>
      <c r="J102" s="41"/>
      <c r="K102" s="40"/>
    </row>
    <row r="103" spans="1:11" ht="19.5" customHeight="1" x14ac:dyDescent="0.3">
      <c r="A103" s="35">
        <v>87</v>
      </c>
      <c r="B103" s="36" t="s">
        <v>216</v>
      </c>
      <c r="C103" s="36" t="s">
        <v>220</v>
      </c>
      <c r="D103" s="37" t="s">
        <v>119</v>
      </c>
      <c r="E103" s="38" t="s">
        <v>21</v>
      </c>
      <c r="F103" s="39"/>
      <c r="G103" s="37"/>
      <c r="H103" s="36"/>
      <c r="I103" s="36"/>
      <c r="J103" s="37"/>
      <c r="K103" s="36"/>
    </row>
    <row r="104" spans="1:11" ht="19.5" customHeight="1" x14ac:dyDescent="0.3">
      <c r="A104" s="35">
        <v>88</v>
      </c>
      <c r="B104" s="40" t="s">
        <v>216</v>
      </c>
      <c r="C104" s="40" t="s">
        <v>221</v>
      </c>
      <c r="D104" s="41" t="s">
        <v>119</v>
      </c>
      <c r="E104" s="38" t="s">
        <v>21</v>
      </c>
      <c r="F104" s="39"/>
      <c r="G104" s="41"/>
      <c r="H104" s="40"/>
      <c r="I104" s="40"/>
      <c r="J104" s="41"/>
      <c r="K104" s="40"/>
    </row>
    <row r="105" spans="1:11" ht="19.5" customHeight="1" x14ac:dyDescent="0.3">
      <c r="A105" s="80" t="s">
        <v>222</v>
      </c>
      <c r="B105" s="80"/>
      <c r="C105" s="80"/>
      <c r="D105" s="80"/>
      <c r="E105" s="80"/>
      <c r="F105" s="80"/>
      <c r="G105" s="80"/>
      <c r="H105" s="80"/>
      <c r="I105" s="80"/>
      <c r="J105" s="80"/>
      <c r="K105" s="80"/>
    </row>
    <row r="106" spans="1:11" ht="19.5" customHeight="1" x14ac:dyDescent="0.3">
      <c r="A106" s="35">
        <v>89</v>
      </c>
      <c r="B106" s="36" t="s">
        <v>223</v>
      </c>
      <c r="C106" s="36" t="s">
        <v>224</v>
      </c>
      <c r="D106" s="37" t="s">
        <v>119</v>
      </c>
      <c r="E106" s="38" t="s">
        <v>21</v>
      </c>
      <c r="F106" s="39"/>
      <c r="G106" s="37"/>
      <c r="H106" s="36"/>
      <c r="I106" s="36"/>
      <c r="J106" s="37"/>
      <c r="K106" s="36"/>
    </row>
    <row r="107" spans="1:11" ht="19.5" customHeight="1" x14ac:dyDescent="0.3">
      <c r="A107" s="80" t="s">
        <v>225</v>
      </c>
      <c r="B107" s="80"/>
      <c r="C107" s="80"/>
      <c r="D107" s="80"/>
      <c r="E107" s="80"/>
      <c r="F107" s="80"/>
      <c r="G107" s="80"/>
      <c r="H107" s="80"/>
      <c r="I107" s="80"/>
      <c r="J107" s="80"/>
      <c r="K107" s="80"/>
    </row>
    <row r="108" spans="1:11" ht="19.5" customHeight="1" x14ac:dyDescent="0.3">
      <c r="A108" s="35">
        <v>90</v>
      </c>
      <c r="B108" s="40" t="s">
        <v>226</v>
      </c>
      <c r="C108" s="40" t="s">
        <v>227</v>
      </c>
      <c r="D108" s="41" t="s">
        <v>119</v>
      </c>
      <c r="E108" s="38" t="s">
        <v>21</v>
      </c>
      <c r="F108" s="39"/>
      <c r="G108" s="41"/>
      <c r="H108" s="40"/>
      <c r="I108" s="40"/>
      <c r="J108" s="41"/>
      <c r="K108" s="40"/>
    </row>
    <row r="109" spans="1:11" ht="19.5" customHeight="1" x14ac:dyDescent="0.3">
      <c r="A109" s="35">
        <v>91</v>
      </c>
      <c r="B109" s="36" t="s">
        <v>226</v>
      </c>
      <c r="C109" s="36" t="s">
        <v>228</v>
      </c>
      <c r="D109" s="37" t="s">
        <v>119</v>
      </c>
      <c r="E109" s="38" t="s">
        <v>21</v>
      </c>
      <c r="F109" s="39"/>
      <c r="G109" s="37"/>
      <c r="H109" s="36"/>
      <c r="I109" s="36"/>
      <c r="J109" s="37"/>
      <c r="K109" s="36"/>
    </row>
    <row r="110" spans="1:11" ht="19.5" customHeight="1" x14ac:dyDescent="0.3">
      <c r="A110" s="35">
        <v>92</v>
      </c>
      <c r="B110" s="40" t="s">
        <v>226</v>
      </c>
      <c r="C110" s="40" t="s">
        <v>229</v>
      </c>
      <c r="D110" s="41" t="s">
        <v>119</v>
      </c>
      <c r="E110" s="38" t="s">
        <v>21</v>
      </c>
      <c r="F110" s="39"/>
      <c r="G110" s="41"/>
      <c r="H110" s="40"/>
      <c r="I110" s="40"/>
      <c r="J110" s="41"/>
      <c r="K110" s="40"/>
    </row>
    <row r="111" spans="1:11" ht="19.5" customHeight="1" x14ac:dyDescent="0.3">
      <c r="A111" s="35">
        <v>93</v>
      </c>
      <c r="B111" s="36" t="s">
        <v>226</v>
      </c>
      <c r="C111" s="36" t="s">
        <v>230</v>
      </c>
      <c r="D111" s="37" t="s">
        <v>119</v>
      </c>
      <c r="E111" s="38" t="s">
        <v>21</v>
      </c>
      <c r="F111" s="39"/>
      <c r="G111" s="37"/>
      <c r="H111" s="36"/>
      <c r="I111" s="36"/>
      <c r="J111" s="37"/>
      <c r="K111" s="36"/>
    </row>
    <row r="112" spans="1:11" ht="19.5" customHeight="1" x14ac:dyDescent="0.3">
      <c r="A112" s="35">
        <v>94</v>
      </c>
      <c r="B112" s="40" t="s">
        <v>226</v>
      </c>
      <c r="C112" s="40" t="s">
        <v>231</v>
      </c>
      <c r="D112" s="41" t="s">
        <v>119</v>
      </c>
      <c r="E112" s="38" t="s">
        <v>21</v>
      </c>
      <c r="F112" s="39"/>
      <c r="G112" s="41"/>
      <c r="H112" s="40"/>
      <c r="I112" s="40"/>
      <c r="J112" s="41"/>
      <c r="K112" s="40"/>
    </row>
    <row r="113" spans="1:11" ht="19.5" customHeight="1" x14ac:dyDescent="0.3">
      <c r="A113" s="35">
        <v>95</v>
      </c>
      <c r="B113" s="36" t="s">
        <v>226</v>
      </c>
      <c r="C113" s="36" t="s">
        <v>232</v>
      </c>
      <c r="D113" s="37" t="s">
        <v>119</v>
      </c>
      <c r="E113" s="38" t="s">
        <v>21</v>
      </c>
      <c r="F113" s="39"/>
      <c r="G113" s="37"/>
      <c r="H113" s="36"/>
      <c r="I113" s="36"/>
      <c r="J113" s="37"/>
      <c r="K113" s="36"/>
    </row>
    <row r="114" spans="1:11" ht="19.5" customHeight="1" x14ac:dyDescent="0.3">
      <c r="A114" s="35">
        <v>96</v>
      </c>
      <c r="B114" s="40" t="s">
        <v>226</v>
      </c>
      <c r="C114" s="40" t="s">
        <v>233</v>
      </c>
      <c r="D114" s="41" t="s">
        <v>119</v>
      </c>
      <c r="E114" s="38" t="s">
        <v>21</v>
      </c>
      <c r="F114" s="39"/>
      <c r="G114" s="41"/>
      <c r="H114" s="40"/>
      <c r="I114" s="40"/>
      <c r="J114" s="41"/>
      <c r="K114" s="40"/>
    </row>
    <row r="115" spans="1:11" ht="19.5" customHeight="1" x14ac:dyDescent="0.3">
      <c r="A115" s="35">
        <v>97</v>
      </c>
      <c r="B115" s="36" t="s">
        <v>226</v>
      </c>
      <c r="C115" s="36" t="s">
        <v>234</v>
      </c>
      <c r="D115" s="37" t="s">
        <v>119</v>
      </c>
      <c r="E115" s="38" t="s">
        <v>21</v>
      </c>
      <c r="F115" s="39"/>
      <c r="G115" s="37"/>
      <c r="H115" s="36"/>
      <c r="I115" s="36"/>
      <c r="J115" s="37"/>
      <c r="K115" s="36"/>
    </row>
    <row r="116" spans="1:11" ht="19.5" customHeight="1" x14ac:dyDescent="0.3">
      <c r="A116" s="80" t="s">
        <v>235</v>
      </c>
      <c r="B116" s="80"/>
      <c r="C116" s="80"/>
      <c r="D116" s="80"/>
      <c r="E116" s="80"/>
      <c r="F116" s="80"/>
      <c r="G116" s="80"/>
      <c r="H116" s="80"/>
      <c r="I116" s="80"/>
      <c r="J116" s="80"/>
      <c r="K116" s="80"/>
    </row>
    <row r="117" spans="1:11" ht="19.5" customHeight="1" x14ac:dyDescent="0.3">
      <c r="A117" s="35">
        <v>98</v>
      </c>
      <c r="B117" s="40" t="s">
        <v>236</v>
      </c>
      <c r="C117" s="40" t="s">
        <v>237</v>
      </c>
      <c r="D117" s="41" t="s">
        <v>119</v>
      </c>
      <c r="E117" s="38" t="s">
        <v>21</v>
      </c>
      <c r="F117" s="39"/>
      <c r="G117" s="41"/>
      <c r="H117" s="40"/>
      <c r="I117" s="40"/>
      <c r="J117" s="41"/>
      <c r="K117" s="40"/>
    </row>
    <row r="118" spans="1:11" ht="19.5" customHeight="1" x14ac:dyDescent="0.3">
      <c r="A118" s="35">
        <v>99</v>
      </c>
      <c r="B118" s="36" t="s">
        <v>236</v>
      </c>
      <c r="C118" s="36" t="s">
        <v>238</v>
      </c>
      <c r="D118" s="37" t="s">
        <v>119</v>
      </c>
      <c r="E118" s="38" t="s">
        <v>21</v>
      </c>
      <c r="F118" s="39"/>
      <c r="G118" s="37"/>
      <c r="H118" s="36"/>
      <c r="I118" s="36"/>
      <c r="J118" s="37"/>
      <c r="K118" s="36"/>
    </row>
    <row r="119" spans="1:11" ht="19.5" customHeight="1" x14ac:dyDescent="0.3">
      <c r="A119" s="35">
        <v>100</v>
      </c>
      <c r="B119" s="40" t="s">
        <v>236</v>
      </c>
      <c r="C119" s="40" t="s">
        <v>239</v>
      </c>
      <c r="D119" s="41" t="s">
        <v>119</v>
      </c>
      <c r="E119" s="38" t="s">
        <v>21</v>
      </c>
      <c r="F119" s="39"/>
      <c r="G119" s="41"/>
      <c r="H119" s="40"/>
      <c r="I119" s="40"/>
      <c r="J119" s="41"/>
      <c r="K119" s="40"/>
    </row>
    <row r="120" spans="1:11" ht="19.5" customHeight="1" x14ac:dyDescent="0.3">
      <c r="A120" s="35">
        <v>101</v>
      </c>
      <c r="B120" s="36" t="s">
        <v>236</v>
      </c>
      <c r="C120" s="36" t="s">
        <v>240</v>
      </c>
      <c r="D120" s="37" t="s">
        <v>119</v>
      </c>
      <c r="E120" s="38" t="s">
        <v>21</v>
      </c>
      <c r="F120" s="39"/>
      <c r="G120" s="37"/>
      <c r="H120" s="36"/>
      <c r="I120" s="36"/>
      <c r="J120" s="37"/>
      <c r="K120" s="36"/>
    </row>
    <row r="121" spans="1:11" ht="19.5" customHeight="1" x14ac:dyDescent="0.3">
      <c r="A121" s="35">
        <v>102</v>
      </c>
      <c r="B121" s="40" t="s">
        <v>236</v>
      </c>
      <c r="C121" s="40" t="s">
        <v>241</v>
      </c>
      <c r="D121" s="41" t="s">
        <v>119</v>
      </c>
      <c r="E121" s="38" t="s">
        <v>21</v>
      </c>
      <c r="F121" s="39"/>
      <c r="G121" s="41"/>
      <c r="H121" s="40"/>
      <c r="I121" s="40"/>
      <c r="J121" s="41"/>
      <c r="K121" s="40"/>
    </row>
    <row r="122" spans="1:11" ht="19.5" customHeight="1" x14ac:dyDescent="0.3">
      <c r="A122" s="35">
        <v>103</v>
      </c>
      <c r="B122" s="36" t="s">
        <v>236</v>
      </c>
      <c r="C122" s="36" t="s">
        <v>242</v>
      </c>
      <c r="D122" s="37" t="s">
        <v>119</v>
      </c>
      <c r="E122" s="38" t="s">
        <v>21</v>
      </c>
      <c r="F122" s="39"/>
      <c r="G122" s="37"/>
      <c r="H122" s="36"/>
      <c r="I122" s="36"/>
      <c r="J122" s="37"/>
      <c r="K122" s="36"/>
    </row>
    <row r="123" spans="1:11" ht="19.5" customHeight="1" x14ac:dyDescent="0.3">
      <c r="A123" s="35">
        <v>104</v>
      </c>
      <c r="B123" s="40" t="s">
        <v>236</v>
      </c>
      <c r="C123" s="40" t="s">
        <v>243</v>
      </c>
      <c r="D123" s="41" t="s">
        <v>119</v>
      </c>
      <c r="E123" s="38" t="s">
        <v>21</v>
      </c>
      <c r="F123" s="39"/>
      <c r="G123" s="41"/>
      <c r="H123" s="40"/>
      <c r="I123" s="40"/>
      <c r="J123" s="41"/>
      <c r="K123" s="40"/>
    </row>
    <row r="124" spans="1:11" ht="19.5" customHeight="1" x14ac:dyDescent="0.3">
      <c r="A124" s="35">
        <v>105</v>
      </c>
      <c r="B124" s="36" t="s">
        <v>236</v>
      </c>
      <c r="C124" s="36" t="s">
        <v>244</v>
      </c>
      <c r="D124" s="37" t="s">
        <v>119</v>
      </c>
      <c r="E124" s="38" t="s">
        <v>21</v>
      </c>
      <c r="F124" s="39"/>
      <c r="G124" s="37"/>
      <c r="H124" s="36"/>
      <c r="I124" s="36"/>
      <c r="J124" s="37"/>
      <c r="K124" s="36"/>
    </row>
    <row r="125" spans="1:11" ht="19.5" customHeight="1" x14ac:dyDescent="0.3">
      <c r="A125" s="35">
        <v>106</v>
      </c>
      <c r="B125" s="40" t="s">
        <v>236</v>
      </c>
      <c r="C125" s="40" t="s">
        <v>245</v>
      </c>
      <c r="D125" s="41" t="s">
        <v>119</v>
      </c>
      <c r="E125" s="38" t="s">
        <v>21</v>
      </c>
      <c r="F125" s="39"/>
      <c r="G125" s="41"/>
      <c r="H125" s="40"/>
      <c r="I125" s="40"/>
      <c r="J125" s="41"/>
      <c r="K125" s="40"/>
    </row>
    <row r="126" spans="1:11" ht="19.5" customHeight="1" x14ac:dyDescent="0.3">
      <c r="A126" s="35">
        <v>107</v>
      </c>
      <c r="B126" s="36" t="s">
        <v>236</v>
      </c>
      <c r="C126" s="36" t="s">
        <v>246</v>
      </c>
      <c r="D126" s="37" t="s">
        <v>119</v>
      </c>
      <c r="E126" s="38" t="s">
        <v>21</v>
      </c>
      <c r="F126" s="39"/>
      <c r="G126" s="37"/>
      <c r="H126" s="36"/>
      <c r="I126" s="36"/>
      <c r="J126" s="37"/>
      <c r="K126" s="36"/>
    </row>
    <row r="127" spans="1:11" ht="19.5" customHeight="1" x14ac:dyDescent="0.3">
      <c r="A127" s="35">
        <v>108</v>
      </c>
      <c r="B127" s="40" t="s">
        <v>236</v>
      </c>
      <c r="C127" s="40" t="s">
        <v>247</v>
      </c>
      <c r="D127" s="41" t="s">
        <v>119</v>
      </c>
      <c r="E127" s="38" t="s">
        <v>21</v>
      </c>
      <c r="F127" s="39"/>
      <c r="G127" s="41"/>
      <c r="H127" s="40"/>
      <c r="I127" s="40"/>
      <c r="J127" s="41"/>
      <c r="K127" s="40"/>
    </row>
    <row r="128" spans="1:11" ht="24" customHeight="1" x14ac:dyDescent="0.3">
      <c r="A128" s="106" t="s">
        <v>248</v>
      </c>
      <c r="B128" s="106"/>
      <c r="C128" s="106"/>
      <c r="D128" s="106"/>
      <c r="E128" s="42">
        <f>COUNTIF(E8:E127,"✅ CARGADO")</f>
        <v>0</v>
      </c>
      <c r="F128" s="43">
        <f>COUNTIF(E8:E127,"⏳ EN PROCESO")</f>
        <v>108</v>
      </c>
      <c r="G128" s="44">
        <f>COUNTIF(E8:E127,"❌ NO REALIZADO")</f>
        <v>0</v>
      </c>
      <c r="H128" s="45">
        <f>COUNTIF(E8:E127,"⚪ NO APLICA")</f>
        <v>0</v>
      </c>
      <c r="I128" s="46"/>
      <c r="J128" s="47">
        <f>IFERROR(COUNTIF(J8:J127,"✅ SÍ")/MAX(1,COUNTA(C8:C127)-COUNTBLANK(C8:C127)),0)</f>
        <v>0</v>
      </c>
      <c r="K128" s="46"/>
    </row>
    <row r="130" spans="1:11" ht="24.75" customHeight="1" x14ac:dyDescent="0.3">
      <c r="A130" s="74"/>
      <c r="B130" s="74"/>
      <c r="C130" s="74"/>
      <c r="D130" s="74"/>
      <c r="E130" s="74"/>
      <c r="F130" s="74"/>
      <c r="G130" s="74"/>
      <c r="H130" s="74"/>
      <c r="I130" s="74"/>
      <c r="J130" s="74"/>
      <c r="K130" s="74"/>
    </row>
  </sheetData>
  <mergeCells count="28">
    <mergeCell ref="A107:K107"/>
    <mergeCell ref="A116:K116"/>
    <mergeCell ref="A128:D128"/>
    <mergeCell ref="A130:K130"/>
    <mergeCell ref="A54:K54"/>
    <mergeCell ref="A62:K62"/>
    <mergeCell ref="A72:K72"/>
    <mergeCell ref="A98:K98"/>
    <mergeCell ref="A105:K105"/>
    <mergeCell ref="A8:K8"/>
    <mergeCell ref="A11:K11"/>
    <mergeCell ref="A19:K19"/>
    <mergeCell ref="A26:K26"/>
    <mergeCell ref="A38:K38"/>
    <mergeCell ref="A4:B4"/>
    <mergeCell ref="F4:G4"/>
    <mergeCell ref="H4:I4"/>
    <mergeCell ref="J4:K4"/>
    <mergeCell ref="A5:B5"/>
    <mergeCell ref="F5:G5"/>
    <mergeCell ref="H5:I5"/>
    <mergeCell ref="J5:K5"/>
    <mergeCell ref="A1:K1"/>
    <mergeCell ref="A2:K2"/>
    <mergeCell ref="A3:C3"/>
    <mergeCell ref="D3:F3"/>
    <mergeCell ref="G3:H3"/>
    <mergeCell ref="I3:J3"/>
  </mergeCells>
  <conditionalFormatting sqref="E8:E128">
    <cfRule type="containsText" dxfId="30" priority="2" operator="containsText" text="CARGADO">
      <formula>NOT(ISERROR(SEARCH("CARGADO",E8)))</formula>
    </cfRule>
    <cfRule type="containsText" dxfId="29" priority="3" operator="containsText" text="EN PROCESO">
      <formula>NOT(ISERROR(SEARCH("EN PROCESO",E8)))</formula>
    </cfRule>
    <cfRule type="containsText" dxfId="28" priority="4" operator="containsText" text="NO REALIZADO">
      <formula>NOT(ISERROR(SEARCH("NO REALIZADO",E8)))</formula>
    </cfRule>
    <cfRule type="containsText" dxfId="27" priority="5" operator="containsText" text="NO APLICA">
      <formula>NOT(ISERROR(SEARCH("NO APLICA",E8)))</formula>
    </cfRule>
  </conditionalFormatting>
  <conditionalFormatting sqref="J8:J128">
    <cfRule type="containsText" dxfId="26" priority="6" operator="containsText" text="SÍ">
      <formula>NOT(ISERROR(SEARCH("SÍ",J8)))</formula>
    </cfRule>
    <cfRule type="containsText" dxfId="25" priority="7" operator="containsText" text="NO">
      <formula>NOT(ISERROR(SEARCH("NO",J8)))</formula>
    </cfRule>
    <cfRule type="containsText" dxfId="24" priority="8" operator="containsText" text="N/A">
      <formula>NOT(ISERROR(SEARCH("N/A",J8)))</formula>
    </cfRule>
  </conditionalFormatting>
  <dataValidations count="3">
    <dataValidation type="list" sqref="D8:D500" xr:uid="{00000000-0002-0000-0200-000000000000}">
      <formula1>"S,N"</formula1>
      <formula2>0</formula2>
    </dataValidation>
    <dataValidation type="list" sqref="E8:E500" xr:uid="{00000000-0002-0000-0200-000001000000}">
      <formula1>"✅ CARGADO,⏳ EN PROCESO,❌ NO REALIZADO,⚪ NO APLICA"</formula1>
      <formula2>0</formula2>
    </dataValidation>
    <dataValidation type="list" sqref="J8:J500" xr:uid="{00000000-0002-0000-0200-000002000000}">
      <formula1>"✅ SÍ,❌ NO,⚪ N/A"</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2"/>
  <sheetViews>
    <sheetView showGridLines="0" zoomScaleNormal="100" workbookViewId="0">
      <pane ySplit="8" topLeftCell="A104" activePane="bottomLeft" state="frozen"/>
      <selection pane="bottomLeft" activeCell="A112" sqref="A112:M112"/>
    </sheetView>
  </sheetViews>
  <sheetFormatPr baseColWidth="10" defaultColWidth="8.6640625" defaultRowHeight="14.4" x14ac:dyDescent="0.3"/>
  <cols>
    <col min="1" max="1" width="5" customWidth="1"/>
    <col min="2" max="2" width="22" customWidth="1"/>
    <col min="3" max="3" width="36" customWidth="1"/>
    <col min="4" max="4" width="8" customWidth="1"/>
    <col min="5" max="5" width="16" customWidth="1"/>
    <col min="6" max="6" width="12" customWidth="1"/>
    <col min="7" max="7" width="18" customWidth="1"/>
    <col min="8" max="8" width="12" customWidth="1"/>
    <col min="9" max="9" width="15" customWidth="1"/>
    <col min="10" max="10" width="13" customWidth="1"/>
    <col min="11" max="12" width="12" customWidth="1"/>
    <col min="13" max="13" width="30" customWidth="1"/>
  </cols>
  <sheetData>
    <row r="1" spans="1:13" ht="36" customHeight="1" x14ac:dyDescent="0.3">
      <c r="A1" s="107" t="s">
        <v>249</v>
      </c>
      <c r="B1" s="107"/>
      <c r="C1" s="107"/>
      <c r="D1" s="107"/>
      <c r="E1" s="107"/>
      <c r="F1" s="107"/>
      <c r="G1" s="107"/>
      <c r="H1" s="107"/>
      <c r="I1" s="107"/>
      <c r="J1" s="107"/>
      <c r="K1" s="107"/>
      <c r="L1" s="107"/>
      <c r="M1" s="107"/>
    </row>
    <row r="2" spans="1:13" ht="21.75" customHeight="1" x14ac:dyDescent="0.3">
      <c r="A2" s="13" t="s">
        <v>250</v>
      </c>
      <c r="B2" s="13"/>
      <c r="C2" s="13"/>
      <c r="D2" s="13"/>
      <c r="E2" s="13"/>
      <c r="F2" s="13"/>
      <c r="G2" s="13"/>
      <c r="H2" s="13"/>
      <c r="I2" s="13"/>
      <c r="J2" s="13"/>
      <c r="K2" s="13"/>
      <c r="L2" s="13"/>
      <c r="M2" s="13"/>
    </row>
    <row r="3" spans="1:13" ht="21.75" customHeight="1" x14ac:dyDescent="0.3">
      <c r="A3" s="10" t="s">
        <v>98</v>
      </c>
      <c r="B3" s="10"/>
      <c r="C3" s="10"/>
      <c r="D3" s="97"/>
      <c r="E3" s="97"/>
      <c r="F3" s="97"/>
      <c r="G3" s="10" t="s">
        <v>251</v>
      </c>
      <c r="H3" s="10"/>
      <c r="I3" s="97"/>
      <c r="J3" s="97"/>
      <c r="K3" s="10" t="s">
        <v>252</v>
      </c>
      <c r="L3" s="10"/>
      <c r="M3" s="48"/>
    </row>
    <row r="4" spans="1:13" ht="27.75" customHeight="1" x14ac:dyDescent="0.3">
      <c r="A4" s="98" t="s">
        <v>253</v>
      </c>
      <c r="B4" s="98"/>
      <c r="C4" s="108" t="s">
        <v>254</v>
      </c>
      <c r="D4" s="108"/>
      <c r="E4" s="109" t="s">
        <v>255</v>
      </c>
      <c r="F4" s="109"/>
      <c r="G4" s="100" t="s">
        <v>256</v>
      </c>
      <c r="H4" s="100"/>
      <c r="I4" s="110" t="s">
        <v>257</v>
      </c>
      <c r="J4" s="110"/>
      <c r="K4" s="111" t="s">
        <v>258</v>
      </c>
      <c r="L4" s="111"/>
      <c r="M4" s="111"/>
    </row>
    <row r="5" spans="1:13" ht="36" customHeight="1" x14ac:dyDescent="0.3">
      <c r="A5" s="112">
        <f>COUNTA(C9:C300)-COUNTBLANK(C9:C300)</f>
        <v>-292</v>
      </c>
      <c r="B5" s="112"/>
      <c r="C5" s="113">
        <f>COUNTIF(K9:K300,"✅ SÍ")</f>
        <v>0</v>
      </c>
      <c r="D5" s="113"/>
      <c r="E5" s="114">
        <f>COUNTIF(K9:K300,"❌ NO")</f>
        <v>0</v>
      </c>
      <c r="F5" s="114"/>
      <c r="G5" s="115">
        <f>COUNTIF(L9:L300,"✅ SÍ")</f>
        <v>0</v>
      </c>
      <c r="H5" s="115"/>
      <c r="I5" s="116">
        <f>IFERROR(COUNTIF(K9:K300,"✅ SÍ")/MAX(1,COUNTA(C9:C300)-COUNTBLANK(C9:C300)),0)</f>
        <v>0</v>
      </c>
      <c r="J5" s="116"/>
      <c r="K5" s="117">
        <f>IFERROR(SUMPRODUCT((1/IF(COUNTIF(B9:B308,B9:B308)=0,1,COUNTIF(B9:B308,B9:B308)))*(B9:B308&lt;&gt;"")),0)</f>
        <v>0</v>
      </c>
      <c r="L5" s="117"/>
      <c r="M5" s="117"/>
    </row>
    <row r="6" spans="1:13" ht="7.5" customHeight="1" x14ac:dyDescent="0.3"/>
    <row r="7" spans="1:13" ht="19.5" customHeight="1" x14ac:dyDescent="0.3">
      <c r="A7" s="118" t="s">
        <v>259</v>
      </c>
      <c r="B7" s="118"/>
      <c r="C7" s="118"/>
      <c r="D7" s="118"/>
      <c r="E7" s="118"/>
      <c r="F7" s="118"/>
      <c r="G7" s="118"/>
      <c r="H7" s="118"/>
      <c r="I7" s="118"/>
      <c r="J7" s="118"/>
      <c r="K7" s="118"/>
      <c r="L7" s="118"/>
      <c r="M7" s="118"/>
    </row>
    <row r="8" spans="1:13" ht="33.75" customHeight="1" x14ac:dyDescent="0.3">
      <c r="A8" s="34" t="s">
        <v>260</v>
      </c>
      <c r="B8" s="34" t="s">
        <v>261</v>
      </c>
      <c r="C8" s="34" t="s">
        <v>262</v>
      </c>
      <c r="D8" s="34" t="s">
        <v>263</v>
      </c>
      <c r="E8" s="34" t="s">
        <v>264</v>
      </c>
      <c r="F8" s="34" t="s">
        <v>265</v>
      </c>
      <c r="G8" s="34" t="s">
        <v>266</v>
      </c>
      <c r="H8" s="34" t="s">
        <v>267</v>
      </c>
      <c r="I8" s="34" t="s">
        <v>268</v>
      </c>
      <c r="J8" s="34" t="s">
        <v>269</v>
      </c>
      <c r="K8" s="34" t="s">
        <v>270</v>
      </c>
      <c r="L8" s="34" t="s">
        <v>271</v>
      </c>
      <c r="M8" s="34" t="s">
        <v>272</v>
      </c>
    </row>
    <row r="9" spans="1:13" ht="19.5" customHeight="1" x14ac:dyDescent="0.3">
      <c r="A9" s="49">
        <v>1</v>
      </c>
      <c r="B9" s="50"/>
      <c r="C9" s="51"/>
      <c r="D9" s="52" t="str">
        <f>IFERROR(VLOOKUP(C9,_COD_!$A:$B,2,0),"")</f>
        <v/>
      </c>
      <c r="E9" s="53"/>
      <c r="F9" s="53"/>
      <c r="G9" s="53"/>
      <c r="H9" s="53"/>
      <c r="I9" s="53"/>
      <c r="J9" s="53"/>
      <c r="K9" s="53"/>
      <c r="L9" s="53"/>
      <c r="M9" s="53"/>
    </row>
    <row r="10" spans="1:13" ht="19.5" customHeight="1" x14ac:dyDescent="0.3">
      <c r="A10" s="54">
        <v>2</v>
      </c>
      <c r="B10" s="50"/>
      <c r="C10" s="51"/>
      <c r="D10" s="52" t="str">
        <f>IFERROR(VLOOKUP(C10,_COD_!$A:$B,2,0),"")</f>
        <v/>
      </c>
      <c r="E10" s="55"/>
      <c r="F10" s="55"/>
      <c r="G10" s="55"/>
      <c r="H10" s="55"/>
      <c r="I10" s="55"/>
      <c r="J10" s="55"/>
      <c r="K10" s="55"/>
      <c r="L10" s="55"/>
      <c r="M10" s="55"/>
    </row>
    <row r="11" spans="1:13" ht="19.5" customHeight="1" x14ac:dyDescent="0.3">
      <c r="A11" s="49">
        <v>3</v>
      </c>
      <c r="B11" s="50"/>
      <c r="C11" s="51"/>
      <c r="D11" s="52" t="str">
        <f>IFERROR(VLOOKUP(C11,_COD_!$A:$B,2,0),"")</f>
        <v/>
      </c>
      <c r="E11" s="53"/>
      <c r="F11" s="53"/>
      <c r="G11" s="53"/>
      <c r="H11" s="53"/>
      <c r="I11" s="53"/>
      <c r="J11" s="53"/>
      <c r="K11" s="53"/>
      <c r="L11" s="53"/>
      <c r="M11" s="53"/>
    </row>
    <row r="12" spans="1:13" ht="19.5" customHeight="1" x14ac:dyDescent="0.3">
      <c r="A12" s="54">
        <v>4</v>
      </c>
      <c r="B12" s="50"/>
      <c r="C12" s="51"/>
      <c r="D12" s="52" t="str">
        <f>IFERROR(VLOOKUP(C12,_COD_!$A:$B,2,0),"")</f>
        <v/>
      </c>
      <c r="E12" s="55"/>
      <c r="F12" s="55"/>
      <c r="G12" s="55"/>
      <c r="H12" s="55"/>
      <c r="I12" s="55"/>
      <c r="J12" s="55"/>
      <c r="K12" s="55"/>
      <c r="L12" s="55"/>
      <c r="M12" s="55"/>
    </row>
    <row r="13" spans="1:13" ht="19.5" customHeight="1" x14ac:dyDescent="0.3">
      <c r="A13" s="49">
        <v>5</v>
      </c>
      <c r="B13" s="50"/>
      <c r="C13" s="51"/>
      <c r="D13" s="52" t="str">
        <f>IFERROR(VLOOKUP(C13,_COD_!$A:$B,2,0),"")</f>
        <v/>
      </c>
      <c r="E13" s="53"/>
      <c r="F13" s="53"/>
      <c r="G13" s="53"/>
      <c r="H13" s="53"/>
      <c r="I13" s="53"/>
      <c r="J13" s="53"/>
      <c r="K13" s="53"/>
      <c r="L13" s="53"/>
      <c r="M13" s="53"/>
    </row>
    <row r="14" spans="1:13" ht="19.5" customHeight="1" x14ac:dyDescent="0.3">
      <c r="A14" s="54">
        <v>6</v>
      </c>
      <c r="B14" s="50"/>
      <c r="C14" s="51"/>
      <c r="D14" s="52" t="str">
        <f>IFERROR(VLOOKUP(C14,_COD_!$A:$B,2,0),"")</f>
        <v/>
      </c>
      <c r="E14" s="55"/>
      <c r="F14" s="55"/>
      <c r="G14" s="55"/>
      <c r="H14" s="55"/>
      <c r="I14" s="55"/>
      <c r="J14" s="55"/>
      <c r="K14" s="55"/>
      <c r="L14" s="55"/>
      <c r="M14" s="55"/>
    </row>
    <row r="15" spans="1:13" ht="19.5" customHeight="1" x14ac:dyDescent="0.3">
      <c r="A15" s="49">
        <v>7</v>
      </c>
      <c r="B15" s="50"/>
      <c r="C15" s="51"/>
      <c r="D15" s="52" t="str">
        <f>IFERROR(VLOOKUP(C15,_COD_!$A:$B,2,0),"")</f>
        <v/>
      </c>
      <c r="E15" s="53"/>
      <c r="F15" s="53"/>
      <c r="G15" s="53"/>
      <c r="H15" s="53"/>
      <c r="I15" s="53"/>
      <c r="J15" s="53"/>
      <c r="K15" s="53"/>
      <c r="L15" s="53"/>
      <c r="M15" s="53"/>
    </row>
    <row r="16" spans="1:13" ht="19.5" customHeight="1" x14ac:dyDescent="0.3">
      <c r="A16" s="54">
        <v>8</v>
      </c>
      <c r="B16" s="50"/>
      <c r="C16" s="51"/>
      <c r="D16" s="52" t="str">
        <f>IFERROR(VLOOKUP(C16,_COD_!$A:$B,2,0),"")</f>
        <v/>
      </c>
      <c r="E16" s="55"/>
      <c r="F16" s="55"/>
      <c r="G16" s="55"/>
      <c r="H16" s="55"/>
      <c r="I16" s="55"/>
      <c r="J16" s="55"/>
      <c r="K16" s="55"/>
      <c r="L16" s="55"/>
      <c r="M16" s="55"/>
    </row>
    <row r="17" spans="1:13" ht="19.5" customHeight="1" x14ac:dyDescent="0.3">
      <c r="A17" s="49">
        <v>9</v>
      </c>
      <c r="B17" s="50"/>
      <c r="C17" s="51"/>
      <c r="D17" s="52" t="str">
        <f>IFERROR(VLOOKUP(C17,_COD_!$A:$B,2,0),"")</f>
        <v/>
      </c>
      <c r="E17" s="53"/>
      <c r="F17" s="53"/>
      <c r="G17" s="53"/>
      <c r="H17" s="53"/>
      <c r="I17" s="53"/>
      <c r="J17" s="53"/>
      <c r="K17" s="53"/>
      <c r="L17" s="53"/>
      <c r="M17" s="53"/>
    </row>
    <row r="18" spans="1:13" ht="19.5" customHeight="1" x14ac:dyDescent="0.3">
      <c r="A18" s="54">
        <v>10</v>
      </c>
      <c r="B18" s="50"/>
      <c r="C18" s="51"/>
      <c r="D18" s="52" t="str">
        <f>IFERROR(VLOOKUP(C18,_COD_!$A:$B,2,0),"")</f>
        <v/>
      </c>
      <c r="E18" s="55"/>
      <c r="F18" s="55"/>
      <c r="G18" s="55"/>
      <c r="H18" s="55"/>
      <c r="I18" s="55"/>
      <c r="J18" s="55"/>
      <c r="K18" s="55"/>
      <c r="L18" s="55"/>
      <c r="M18" s="55"/>
    </row>
    <row r="19" spans="1:13" ht="19.5" customHeight="1" x14ac:dyDescent="0.3">
      <c r="A19" s="49">
        <v>11</v>
      </c>
      <c r="B19" s="50"/>
      <c r="C19" s="51"/>
      <c r="D19" s="52" t="str">
        <f>IFERROR(VLOOKUP(C19,_COD_!$A:$B,2,0),"")</f>
        <v/>
      </c>
      <c r="E19" s="53"/>
      <c r="F19" s="53"/>
      <c r="G19" s="53"/>
      <c r="H19" s="53"/>
      <c r="I19" s="53"/>
      <c r="J19" s="53"/>
      <c r="K19" s="53"/>
      <c r="L19" s="53"/>
      <c r="M19" s="53"/>
    </row>
    <row r="20" spans="1:13" ht="19.5" customHeight="1" x14ac:dyDescent="0.3">
      <c r="A20" s="54">
        <v>12</v>
      </c>
      <c r="B20" s="50"/>
      <c r="C20" s="51"/>
      <c r="D20" s="52" t="str">
        <f>IFERROR(VLOOKUP(C20,_COD_!$A:$B,2,0),"")</f>
        <v/>
      </c>
      <c r="E20" s="55"/>
      <c r="F20" s="55"/>
      <c r="G20" s="55"/>
      <c r="H20" s="55"/>
      <c r="I20" s="55"/>
      <c r="J20" s="55"/>
      <c r="K20" s="55"/>
      <c r="L20" s="55"/>
      <c r="M20" s="55"/>
    </row>
    <row r="21" spans="1:13" ht="19.5" customHeight="1" x14ac:dyDescent="0.3">
      <c r="A21" s="49">
        <v>13</v>
      </c>
      <c r="B21" s="50"/>
      <c r="C21" s="51"/>
      <c r="D21" s="52" t="str">
        <f>IFERROR(VLOOKUP(C21,_COD_!$A:$B,2,0),"")</f>
        <v/>
      </c>
      <c r="E21" s="53"/>
      <c r="F21" s="53"/>
      <c r="G21" s="53"/>
      <c r="H21" s="53"/>
      <c r="I21" s="53"/>
      <c r="J21" s="53"/>
      <c r="K21" s="53"/>
      <c r="L21" s="53"/>
      <c r="M21" s="53"/>
    </row>
    <row r="22" spans="1:13" ht="19.5" customHeight="1" x14ac:dyDescent="0.3">
      <c r="A22" s="54">
        <v>14</v>
      </c>
      <c r="B22" s="50"/>
      <c r="C22" s="51"/>
      <c r="D22" s="52" t="str">
        <f>IFERROR(VLOOKUP(C22,_COD_!$A:$B,2,0),"")</f>
        <v/>
      </c>
      <c r="E22" s="55"/>
      <c r="F22" s="55"/>
      <c r="G22" s="55"/>
      <c r="H22" s="55"/>
      <c r="I22" s="55"/>
      <c r="J22" s="55"/>
      <c r="K22" s="55"/>
      <c r="L22" s="55"/>
      <c r="M22" s="55"/>
    </row>
    <row r="23" spans="1:13" ht="19.5" customHeight="1" x14ac:dyDescent="0.3">
      <c r="A23" s="49">
        <v>15</v>
      </c>
      <c r="B23" s="50"/>
      <c r="C23" s="51"/>
      <c r="D23" s="52" t="str">
        <f>IFERROR(VLOOKUP(C23,_COD_!$A:$B,2,0),"")</f>
        <v/>
      </c>
      <c r="E23" s="53"/>
      <c r="F23" s="53"/>
      <c r="G23" s="53"/>
      <c r="H23" s="53"/>
      <c r="I23" s="53"/>
      <c r="J23" s="53"/>
      <c r="K23" s="53"/>
      <c r="L23" s="53"/>
      <c r="M23" s="53"/>
    </row>
    <row r="24" spans="1:13" ht="19.5" customHeight="1" x14ac:dyDescent="0.3">
      <c r="A24" s="54">
        <v>16</v>
      </c>
      <c r="B24" s="50"/>
      <c r="C24" s="51"/>
      <c r="D24" s="52" t="str">
        <f>IFERROR(VLOOKUP(C24,_COD_!$A:$B,2,0),"")</f>
        <v/>
      </c>
      <c r="E24" s="55"/>
      <c r="F24" s="55"/>
      <c r="G24" s="55"/>
      <c r="H24" s="55"/>
      <c r="I24" s="55"/>
      <c r="J24" s="55"/>
      <c r="K24" s="55"/>
      <c r="L24" s="55"/>
      <c r="M24" s="55"/>
    </row>
    <row r="25" spans="1:13" ht="19.5" customHeight="1" x14ac:dyDescent="0.3">
      <c r="A25" s="49">
        <v>17</v>
      </c>
      <c r="B25" s="50"/>
      <c r="C25" s="51"/>
      <c r="D25" s="52" t="str">
        <f>IFERROR(VLOOKUP(C25,_COD_!$A:$B,2,0),"")</f>
        <v/>
      </c>
      <c r="E25" s="53"/>
      <c r="F25" s="53"/>
      <c r="G25" s="53"/>
      <c r="H25" s="53"/>
      <c r="I25" s="53"/>
      <c r="J25" s="53"/>
      <c r="K25" s="53"/>
      <c r="L25" s="53"/>
      <c r="M25" s="53"/>
    </row>
    <row r="26" spans="1:13" ht="19.5" customHeight="1" x14ac:dyDescent="0.3">
      <c r="A26" s="54">
        <v>18</v>
      </c>
      <c r="B26" s="50"/>
      <c r="C26" s="51"/>
      <c r="D26" s="52" t="str">
        <f>IFERROR(VLOOKUP(C26,_COD_!$A:$B,2,0),"")</f>
        <v/>
      </c>
      <c r="E26" s="55"/>
      <c r="F26" s="55"/>
      <c r="G26" s="55"/>
      <c r="H26" s="55"/>
      <c r="I26" s="55"/>
      <c r="J26" s="55"/>
      <c r="K26" s="55"/>
      <c r="L26" s="55"/>
      <c r="M26" s="55"/>
    </row>
    <row r="27" spans="1:13" ht="19.5" customHeight="1" x14ac:dyDescent="0.3">
      <c r="A27" s="49">
        <v>19</v>
      </c>
      <c r="B27" s="50"/>
      <c r="C27" s="51"/>
      <c r="D27" s="52" t="str">
        <f>IFERROR(VLOOKUP(C27,_COD_!$A:$B,2,0),"")</f>
        <v/>
      </c>
      <c r="E27" s="53"/>
      <c r="F27" s="53"/>
      <c r="G27" s="53"/>
      <c r="H27" s="53"/>
      <c r="I27" s="53"/>
      <c r="J27" s="53"/>
      <c r="K27" s="53"/>
      <c r="L27" s="53"/>
      <c r="M27" s="53"/>
    </row>
    <row r="28" spans="1:13" ht="19.5" customHeight="1" x14ac:dyDescent="0.3">
      <c r="A28" s="54">
        <v>20</v>
      </c>
      <c r="B28" s="50"/>
      <c r="C28" s="51"/>
      <c r="D28" s="52" t="str">
        <f>IFERROR(VLOOKUP(C28,_COD_!$A:$B,2,0),"")</f>
        <v/>
      </c>
      <c r="E28" s="55"/>
      <c r="F28" s="55"/>
      <c r="G28" s="55"/>
      <c r="H28" s="55"/>
      <c r="I28" s="55"/>
      <c r="J28" s="55"/>
      <c r="K28" s="55"/>
      <c r="L28" s="55"/>
      <c r="M28" s="55"/>
    </row>
    <row r="29" spans="1:13" ht="19.5" customHeight="1" x14ac:dyDescent="0.3">
      <c r="A29" s="49">
        <v>21</v>
      </c>
      <c r="B29" s="50"/>
      <c r="C29" s="51"/>
      <c r="D29" s="52" t="str">
        <f>IFERROR(VLOOKUP(C29,_COD_!$A:$B,2,0),"")</f>
        <v/>
      </c>
      <c r="E29" s="53"/>
      <c r="F29" s="53"/>
      <c r="G29" s="53"/>
      <c r="H29" s="53"/>
      <c r="I29" s="53"/>
      <c r="J29" s="53"/>
      <c r="K29" s="53"/>
      <c r="L29" s="53"/>
      <c r="M29" s="53"/>
    </row>
    <row r="30" spans="1:13" ht="19.5" customHeight="1" x14ac:dyDescent="0.3">
      <c r="A30" s="54">
        <v>22</v>
      </c>
      <c r="B30" s="50"/>
      <c r="C30" s="51"/>
      <c r="D30" s="52" t="str">
        <f>IFERROR(VLOOKUP(C30,_COD_!$A:$B,2,0),"")</f>
        <v/>
      </c>
      <c r="E30" s="55"/>
      <c r="F30" s="55"/>
      <c r="G30" s="55"/>
      <c r="H30" s="55"/>
      <c r="I30" s="55"/>
      <c r="J30" s="55"/>
      <c r="K30" s="55"/>
      <c r="L30" s="55"/>
      <c r="M30" s="55"/>
    </row>
    <row r="31" spans="1:13" ht="19.5" customHeight="1" x14ac:dyDescent="0.3">
      <c r="A31" s="49">
        <v>23</v>
      </c>
      <c r="B31" s="50"/>
      <c r="C31" s="51"/>
      <c r="D31" s="52" t="str">
        <f>IFERROR(VLOOKUP(C31,_COD_!$A:$B,2,0),"")</f>
        <v/>
      </c>
      <c r="E31" s="53"/>
      <c r="F31" s="53"/>
      <c r="G31" s="53"/>
      <c r="H31" s="53"/>
      <c r="I31" s="53"/>
      <c r="J31" s="53"/>
      <c r="K31" s="53"/>
      <c r="L31" s="53"/>
      <c r="M31" s="53"/>
    </row>
    <row r="32" spans="1:13" ht="19.5" customHeight="1" x14ac:dyDescent="0.3">
      <c r="A32" s="54">
        <v>24</v>
      </c>
      <c r="B32" s="50"/>
      <c r="C32" s="51"/>
      <c r="D32" s="52" t="str">
        <f>IFERROR(VLOOKUP(C32,_COD_!$A:$B,2,0),"")</f>
        <v/>
      </c>
      <c r="E32" s="55"/>
      <c r="F32" s="55"/>
      <c r="G32" s="55"/>
      <c r="H32" s="55"/>
      <c r="I32" s="55"/>
      <c r="J32" s="55"/>
      <c r="K32" s="55"/>
      <c r="L32" s="55"/>
      <c r="M32" s="55"/>
    </row>
    <row r="33" spans="1:13" ht="19.5" customHeight="1" x14ac:dyDescent="0.3">
      <c r="A33" s="49">
        <v>25</v>
      </c>
      <c r="B33" s="50"/>
      <c r="C33" s="51"/>
      <c r="D33" s="52" t="str">
        <f>IFERROR(VLOOKUP(C33,_COD_!$A:$B,2,0),"")</f>
        <v/>
      </c>
      <c r="E33" s="53"/>
      <c r="F33" s="53"/>
      <c r="G33" s="53"/>
      <c r="H33" s="53"/>
      <c r="I33" s="53"/>
      <c r="J33" s="53"/>
      <c r="K33" s="53"/>
      <c r="L33" s="53"/>
      <c r="M33" s="53"/>
    </row>
    <row r="34" spans="1:13" ht="19.5" customHeight="1" x14ac:dyDescent="0.3">
      <c r="A34" s="54">
        <v>26</v>
      </c>
      <c r="B34" s="50"/>
      <c r="C34" s="51"/>
      <c r="D34" s="52" t="str">
        <f>IFERROR(VLOOKUP(C34,_COD_!$A:$B,2,0),"")</f>
        <v/>
      </c>
      <c r="E34" s="55"/>
      <c r="F34" s="55"/>
      <c r="G34" s="55"/>
      <c r="H34" s="55"/>
      <c r="I34" s="55"/>
      <c r="J34" s="55"/>
      <c r="K34" s="55"/>
      <c r="L34" s="55"/>
      <c r="M34" s="55"/>
    </row>
    <row r="35" spans="1:13" ht="19.5" customHeight="1" x14ac:dyDescent="0.3">
      <c r="A35" s="49">
        <v>27</v>
      </c>
      <c r="B35" s="50"/>
      <c r="C35" s="51"/>
      <c r="D35" s="52" t="str">
        <f>IFERROR(VLOOKUP(C35,_COD_!$A:$B,2,0),"")</f>
        <v/>
      </c>
      <c r="E35" s="53"/>
      <c r="F35" s="53"/>
      <c r="G35" s="53"/>
      <c r="H35" s="53"/>
      <c r="I35" s="53"/>
      <c r="J35" s="53"/>
      <c r="K35" s="53"/>
      <c r="L35" s="53"/>
      <c r="M35" s="53"/>
    </row>
    <row r="36" spans="1:13" ht="19.5" customHeight="1" x14ac:dyDescent="0.3">
      <c r="A36" s="54">
        <v>28</v>
      </c>
      <c r="B36" s="50"/>
      <c r="C36" s="51"/>
      <c r="D36" s="52" t="str">
        <f>IFERROR(VLOOKUP(C36,_COD_!$A:$B,2,0),"")</f>
        <v/>
      </c>
      <c r="E36" s="55"/>
      <c r="F36" s="55"/>
      <c r="G36" s="55"/>
      <c r="H36" s="55"/>
      <c r="I36" s="55"/>
      <c r="J36" s="55"/>
      <c r="K36" s="55"/>
      <c r="L36" s="55"/>
      <c r="M36" s="55"/>
    </row>
    <row r="37" spans="1:13" ht="19.5" customHeight="1" x14ac:dyDescent="0.3">
      <c r="A37" s="49">
        <v>29</v>
      </c>
      <c r="B37" s="50"/>
      <c r="C37" s="51"/>
      <c r="D37" s="52" t="str">
        <f>IFERROR(VLOOKUP(C37,_COD_!$A:$B,2,0),"")</f>
        <v/>
      </c>
      <c r="E37" s="53"/>
      <c r="F37" s="53"/>
      <c r="G37" s="53"/>
      <c r="H37" s="53"/>
      <c r="I37" s="53"/>
      <c r="J37" s="53"/>
      <c r="K37" s="53"/>
      <c r="L37" s="53"/>
      <c r="M37" s="53"/>
    </row>
    <row r="38" spans="1:13" ht="19.5" customHeight="1" x14ac:dyDescent="0.3">
      <c r="A38" s="54">
        <v>30</v>
      </c>
      <c r="B38" s="50"/>
      <c r="C38" s="51"/>
      <c r="D38" s="52" t="str">
        <f>IFERROR(VLOOKUP(C38,_COD_!$A:$B,2,0),"")</f>
        <v/>
      </c>
      <c r="E38" s="55"/>
      <c r="F38" s="55"/>
      <c r="G38" s="55"/>
      <c r="H38" s="55"/>
      <c r="I38" s="55"/>
      <c r="J38" s="55"/>
      <c r="K38" s="55"/>
      <c r="L38" s="55"/>
      <c r="M38" s="55"/>
    </row>
    <row r="39" spans="1:13" ht="19.5" customHeight="1" x14ac:dyDescent="0.3">
      <c r="A39" s="49">
        <v>31</v>
      </c>
      <c r="B39" s="50"/>
      <c r="C39" s="51"/>
      <c r="D39" s="52" t="str">
        <f>IFERROR(VLOOKUP(C39,_COD_!$A:$B,2,0),"")</f>
        <v/>
      </c>
      <c r="E39" s="53"/>
      <c r="F39" s="53"/>
      <c r="G39" s="53"/>
      <c r="H39" s="53"/>
      <c r="I39" s="53"/>
      <c r="J39" s="53"/>
      <c r="K39" s="53"/>
      <c r="L39" s="53"/>
      <c r="M39" s="53"/>
    </row>
    <row r="40" spans="1:13" ht="19.5" customHeight="1" x14ac:dyDescent="0.3">
      <c r="A40" s="54">
        <v>32</v>
      </c>
      <c r="B40" s="50"/>
      <c r="C40" s="51"/>
      <c r="D40" s="52" t="str">
        <f>IFERROR(VLOOKUP(C40,_COD_!$A:$B,2,0),"")</f>
        <v/>
      </c>
      <c r="E40" s="55"/>
      <c r="F40" s="55"/>
      <c r="G40" s="55"/>
      <c r="H40" s="55"/>
      <c r="I40" s="55"/>
      <c r="J40" s="55"/>
      <c r="K40" s="55"/>
      <c r="L40" s="55"/>
      <c r="M40" s="55"/>
    </row>
    <row r="41" spans="1:13" ht="19.5" customHeight="1" x14ac:dyDescent="0.3">
      <c r="A41" s="49">
        <v>33</v>
      </c>
      <c r="B41" s="50"/>
      <c r="C41" s="51"/>
      <c r="D41" s="52" t="str">
        <f>IFERROR(VLOOKUP(C41,_COD_!$A:$B,2,0),"")</f>
        <v/>
      </c>
      <c r="E41" s="53"/>
      <c r="F41" s="53"/>
      <c r="G41" s="53"/>
      <c r="H41" s="53"/>
      <c r="I41" s="53"/>
      <c r="J41" s="53"/>
      <c r="K41" s="53"/>
      <c r="L41" s="53"/>
      <c r="M41" s="53"/>
    </row>
    <row r="42" spans="1:13" ht="19.5" customHeight="1" x14ac:dyDescent="0.3">
      <c r="A42" s="54">
        <v>34</v>
      </c>
      <c r="B42" s="50"/>
      <c r="C42" s="51"/>
      <c r="D42" s="52" t="str">
        <f>IFERROR(VLOOKUP(C42,_COD_!$A:$B,2,0),"")</f>
        <v/>
      </c>
      <c r="E42" s="55"/>
      <c r="F42" s="55"/>
      <c r="G42" s="55"/>
      <c r="H42" s="55"/>
      <c r="I42" s="55"/>
      <c r="J42" s="55"/>
      <c r="K42" s="55"/>
      <c r="L42" s="55"/>
      <c r="M42" s="55"/>
    </row>
    <row r="43" spans="1:13" ht="19.5" customHeight="1" x14ac:dyDescent="0.3">
      <c r="A43" s="49">
        <v>35</v>
      </c>
      <c r="B43" s="50"/>
      <c r="C43" s="51"/>
      <c r="D43" s="52" t="str">
        <f>IFERROR(VLOOKUP(C43,_COD_!$A:$B,2,0),"")</f>
        <v/>
      </c>
      <c r="E43" s="53"/>
      <c r="F43" s="53"/>
      <c r="G43" s="53"/>
      <c r="H43" s="53"/>
      <c r="I43" s="53"/>
      <c r="J43" s="53"/>
      <c r="K43" s="53"/>
      <c r="L43" s="53"/>
      <c r="M43" s="53"/>
    </row>
    <row r="44" spans="1:13" ht="19.5" customHeight="1" x14ac:dyDescent="0.3">
      <c r="A44" s="54">
        <v>36</v>
      </c>
      <c r="B44" s="50"/>
      <c r="C44" s="51"/>
      <c r="D44" s="52" t="str">
        <f>IFERROR(VLOOKUP(C44,_COD_!$A:$B,2,0),"")</f>
        <v/>
      </c>
      <c r="E44" s="55"/>
      <c r="F44" s="55"/>
      <c r="G44" s="55"/>
      <c r="H44" s="55"/>
      <c r="I44" s="55"/>
      <c r="J44" s="55"/>
      <c r="K44" s="55"/>
      <c r="L44" s="55"/>
      <c r="M44" s="55"/>
    </row>
    <row r="45" spans="1:13" ht="19.5" customHeight="1" x14ac:dyDescent="0.3">
      <c r="A45" s="49">
        <v>37</v>
      </c>
      <c r="B45" s="50"/>
      <c r="C45" s="51"/>
      <c r="D45" s="52" t="str">
        <f>IFERROR(VLOOKUP(C45,_COD_!$A:$B,2,0),"")</f>
        <v/>
      </c>
      <c r="E45" s="53"/>
      <c r="F45" s="53"/>
      <c r="G45" s="53"/>
      <c r="H45" s="53"/>
      <c r="I45" s="53"/>
      <c r="J45" s="53"/>
      <c r="K45" s="53"/>
      <c r="L45" s="53"/>
      <c r="M45" s="53"/>
    </row>
    <row r="46" spans="1:13" ht="19.5" customHeight="1" x14ac:dyDescent="0.3">
      <c r="A46" s="54">
        <v>38</v>
      </c>
      <c r="B46" s="50"/>
      <c r="C46" s="51"/>
      <c r="D46" s="52" t="str">
        <f>IFERROR(VLOOKUP(C46,_COD_!$A:$B,2,0),"")</f>
        <v/>
      </c>
      <c r="E46" s="55"/>
      <c r="F46" s="55"/>
      <c r="G46" s="55"/>
      <c r="H46" s="55"/>
      <c r="I46" s="55"/>
      <c r="J46" s="55"/>
      <c r="K46" s="55"/>
      <c r="L46" s="55"/>
      <c r="M46" s="55"/>
    </row>
    <row r="47" spans="1:13" ht="19.5" customHeight="1" x14ac:dyDescent="0.3">
      <c r="A47" s="49">
        <v>39</v>
      </c>
      <c r="B47" s="50"/>
      <c r="C47" s="51"/>
      <c r="D47" s="52" t="str">
        <f>IFERROR(VLOOKUP(C47,_COD_!$A:$B,2,0),"")</f>
        <v/>
      </c>
      <c r="E47" s="53"/>
      <c r="F47" s="53"/>
      <c r="G47" s="53"/>
      <c r="H47" s="53"/>
      <c r="I47" s="53"/>
      <c r="J47" s="53"/>
      <c r="K47" s="53"/>
      <c r="L47" s="53"/>
      <c r="M47" s="53"/>
    </row>
    <row r="48" spans="1:13" ht="19.5" customHeight="1" x14ac:dyDescent="0.3">
      <c r="A48" s="54">
        <v>40</v>
      </c>
      <c r="B48" s="50"/>
      <c r="C48" s="51"/>
      <c r="D48" s="52" t="str">
        <f>IFERROR(VLOOKUP(C48,_COD_!$A:$B,2,0),"")</f>
        <v/>
      </c>
      <c r="E48" s="55"/>
      <c r="F48" s="55"/>
      <c r="G48" s="55"/>
      <c r="H48" s="55"/>
      <c r="I48" s="55"/>
      <c r="J48" s="55"/>
      <c r="K48" s="55"/>
      <c r="L48" s="55"/>
      <c r="M48" s="55"/>
    </row>
    <row r="49" spans="1:13" ht="19.5" customHeight="1" x14ac:dyDescent="0.3">
      <c r="A49" s="49">
        <v>41</v>
      </c>
      <c r="B49" s="50"/>
      <c r="C49" s="51"/>
      <c r="D49" s="52" t="str">
        <f>IFERROR(VLOOKUP(C49,_COD_!$A:$B,2,0),"")</f>
        <v/>
      </c>
      <c r="E49" s="53"/>
      <c r="F49" s="53"/>
      <c r="G49" s="53"/>
      <c r="H49" s="53"/>
      <c r="I49" s="53"/>
      <c r="J49" s="53"/>
      <c r="K49" s="53"/>
      <c r="L49" s="53"/>
      <c r="M49" s="53"/>
    </row>
    <row r="50" spans="1:13" ht="19.5" customHeight="1" x14ac:dyDescent="0.3">
      <c r="A50" s="54">
        <v>42</v>
      </c>
      <c r="B50" s="50"/>
      <c r="C50" s="51"/>
      <c r="D50" s="52" t="str">
        <f>IFERROR(VLOOKUP(C50,_COD_!$A:$B,2,0),"")</f>
        <v/>
      </c>
      <c r="E50" s="55"/>
      <c r="F50" s="55"/>
      <c r="G50" s="55"/>
      <c r="H50" s="55"/>
      <c r="I50" s="55"/>
      <c r="J50" s="55"/>
      <c r="K50" s="55"/>
      <c r="L50" s="55"/>
      <c r="M50" s="55"/>
    </row>
    <row r="51" spans="1:13" ht="19.5" customHeight="1" x14ac:dyDescent="0.3">
      <c r="A51" s="49">
        <v>43</v>
      </c>
      <c r="B51" s="50"/>
      <c r="C51" s="51"/>
      <c r="D51" s="52" t="str">
        <f>IFERROR(VLOOKUP(C51,_COD_!$A:$B,2,0),"")</f>
        <v/>
      </c>
      <c r="E51" s="53"/>
      <c r="F51" s="53"/>
      <c r="G51" s="53"/>
      <c r="H51" s="53"/>
      <c r="I51" s="53"/>
      <c r="J51" s="53"/>
      <c r="K51" s="53"/>
      <c r="L51" s="53"/>
      <c r="M51" s="53"/>
    </row>
    <row r="52" spans="1:13" ht="19.5" customHeight="1" x14ac:dyDescent="0.3">
      <c r="A52" s="54">
        <v>44</v>
      </c>
      <c r="B52" s="50"/>
      <c r="C52" s="51"/>
      <c r="D52" s="52" t="str">
        <f>IFERROR(VLOOKUP(C52,_COD_!$A:$B,2,0),"")</f>
        <v/>
      </c>
      <c r="E52" s="55"/>
      <c r="F52" s="55"/>
      <c r="G52" s="55"/>
      <c r="H52" s="55"/>
      <c r="I52" s="55"/>
      <c r="J52" s="55"/>
      <c r="K52" s="55"/>
      <c r="L52" s="55"/>
      <c r="M52" s="55"/>
    </row>
    <row r="53" spans="1:13" ht="19.5" customHeight="1" x14ac:dyDescent="0.3">
      <c r="A53" s="49">
        <v>45</v>
      </c>
      <c r="B53" s="50"/>
      <c r="C53" s="51"/>
      <c r="D53" s="52" t="str">
        <f>IFERROR(VLOOKUP(C53,_COD_!$A:$B,2,0),"")</f>
        <v/>
      </c>
      <c r="E53" s="53"/>
      <c r="F53" s="53"/>
      <c r="G53" s="53"/>
      <c r="H53" s="53"/>
      <c r="I53" s="53"/>
      <c r="J53" s="53"/>
      <c r="K53" s="53"/>
      <c r="L53" s="53"/>
      <c r="M53" s="53"/>
    </row>
    <row r="54" spans="1:13" ht="19.5" customHeight="1" x14ac:dyDescent="0.3">
      <c r="A54" s="54">
        <v>46</v>
      </c>
      <c r="B54" s="50"/>
      <c r="C54" s="51"/>
      <c r="D54" s="52" t="str">
        <f>IFERROR(VLOOKUP(C54,_COD_!$A:$B,2,0),"")</f>
        <v/>
      </c>
      <c r="E54" s="55"/>
      <c r="F54" s="55"/>
      <c r="G54" s="55"/>
      <c r="H54" s="55"/>
      <c r="I54" s="55"/>
      <c r="J54" s="55"/>
      <c r="K54" s="55"/>
      <c r="L54" s="55"/>
      <c r="M54" s="55"/>
    </row>
    <row r="55" spans="1:13" ht="19.5" customHeight="1" x14ac:dyDescent="0.3">
      <c r="A55" s="49">
        <v>47</v>
      </c>
      <c r="B55" s="50"/>
      <c r="C55" s="51"/>
      <c r="D55" s="52" t="str">
        <f>IFERROR(VLOOKUP(C55,_COD_!$A:$B,2,0),"")</f>
        <v/>
      </c>
      <c r="E55" s="53"/>
      <c r="F55" s="53"/>
      <c r="G55" s="53"/>
      <c r="H55" s="53"/>
      <c r="I55" s="53"/>
      <c r="J55" s="53"/>
      <c r="K55" s="53"/>
      <c r="L55" s="53"/>
      <c r="M55" s="53"/>
    </row>
    <row r="56" spans="1:13" ht="19.5" customHeight="1" x14ac:dyDescent="0.3">
      <c r="A56" s="54">
        <v>48</v>
      </c>
      <c r="B56" s="50"/>
      <c r="C56" s="51"/>
      <c r="D56" s="52" t="str">
        <f>IFERROR(VLOOKUP(C56,_COD_!$A:$B,2,0),"")</f>
        <v/>
      </c>
      <c r="E56" s="55"/>
      <c r="F56" s="55"/>
      <c r="G56" s="55"/>
      <c r="H56" s="55"/>
      <c r="I56" s="55"/>
      <c r="J56" s="55"/>
      <c r="K56" s="55"/>
      <c r="L56" s="55"/>
      <c r="M56" s="55"/>
    </row>
    <row r="57" spans="1:13" ht="19.5" customHeight="1" x14ac:dyDescent="0.3">
      <c r="A57" s="49">
        <v>49</v>
      </c>
      <c r="B57" s="50"/>
      <c r="C57" s="51"/>
      <c r="D57" s="52" t="str">
        <f>IFERROR(VLOOKUP(C57,_COD_!$A:$B,2,0),"")</f>
        <v/>
      </c>
      <c r="E57" s="53"/>
      <c r="F57" s="53"/>
      <c r="G57" s="53"/>
      <c r="H57" s="53"/>
      <c r="I57" s="53"/>
      <c r="J57" s="53"/>
      <c r="K57" s="53"/>
      <c r="L57" s="53"/>
      <c r="M57" s="53"/>
    </row>
    <row r="58" spans="1:13" ht="19.5" customHeight="1" x14ac:dyDescent="0.3">
      <c r="A58" s="54">
        <v>50</v>
      </c>
      <c r="B58" s="50"/>
      <c r="C58" s="51"/>
      <c r="D58" s="52" t="str">
        <f>IFERROR(VLOOKUP(C58,_COD_!$A:$B,2,0),"")</f>
        <v/>
      </c>
      <c r="E58" s="55"/>
      <c r="F58" s="55"/>
      <c r="G58" s="55"/>
      <c r="H58" s="55"/>
      <c r="I58" s="55"/>
      <c r="J58" s="55"/>
      <c r="K58" s="55"/>
      <c r="L58" s="55"/>
      <c r="M58" s="55"/>
    </row>
    <row r="59" spans="1:13" ht="19.5" customHeight="1" x14ac:dyDescent="0.3">
      <c r="A59" s="49">
        <v>51</v>
      </c>
      <c r="B59" s="50"/>
      <c r="C59" s="51"/>
      <c r="D59" s="52" t="str">
        <f>IFERROR(VLOOKUP(C59,_COD_!$A:$B,2,0),"")</f>
        <v/>
      </c>
      <c r="E59" s="53"/>
      <c r="F59" s="53"/>
      <c r="G59" s="53"/>
      <c r="H59" s="53"/>
      <c r="I59" s="53"/>
      <c r="J59" s="53"/>
      <c r="K59" s="53"/>
      <c r="L59" s="53"/>
      <c r="M59" s="53"/>
    </row>
    <row r="60" spans="1:13" ht="19.5" customHeight="1" x14ac:dyDescent="0.3">
      <c r="A60" s="54">
        <v>52</v>
      </c>
      <c r="B60" s="50"/>
      <c r="C60" s="51"/>
      <c r="D60" s="52" t="str">
        <f>IFERROR(VLOOKUP(C60,_COD_!$A:$B,2,0),"")</f>
        <v/>
      </c>
      <c r="E60" s="55"/>
      <c r="F60" s="55"/>
      <c r="G60" s="55"/>
      <c r="H60" s="55"/>
      <c r="I60" s="55"/>
      <c r="J60" s="55"/>
      <c r="K60" s="55"/>
      <c r="L60" s="55"/>
      <c r="M60" s="55"/>
    </row>
    <row r="61" spans="1:13" ht="19.5" customHeight="1" x14ac:dyDescent="0.3">
      <c r="A61" s="49">
        <v>53</v>
      </c>
      <c r="B61" s="50"/>
      <c r="C61" s="51"/>
      <c r="D61" s="52" t="str">
        <f>IFERROR(VLOOKUP(C61,_COD_!$A:$B,2,0),"")</f>
        <v/>
      </c>
      <c r="E61" s="53"/>
      <c r="F61" s="53"/>
      <c r="G61" s="53"/>
      <c r="H61" s="53"/>
      <c r="I61" s="53"/>
      <c r="J61" s="53"/>
      <c r="K61" s="53"/>
      <c r="L61" s="53"/>
      <c r="M61" s="53"/>
    </row>
    <row r="62" spans="1:13" ht="19.5" customHeight="1" x14ac:dyDescent="0.3">
      <c r="A62" s="54">
        <v>54</v>
      </c>
      <c r="B62" s="50"/>
      <c r="C62" s="51"/>
      <c r="D62" s="52" t="str">
        <f>IFERROR(VLOOKUP(C62,_COD_!$A:$B,2,0),"")</f>
        <v/>
      </c>
      <c r="E62" s="55"/>
      <c r="F62" s="55"/>
      <c r="G62" s="55"/>
      <c r="H62" s="55"/>
      <c r="I62" s="55"/>
      <c r="J62" s="55"/>
      <c r="K62" s="55"/>
      <c r="L62" s="55"/>
      <c r="M62" s="55"/>
    </row>
    <row r="63" spans="1:13" ht="19.5" customHeight="1" x14ac:dyDescent="0.3">
      <c r="A63" s="49">
        <v>55</v>
      </c>
      <c r="B63" s="50"/>
      <c r="C63" s="51"/>
      <c r="D63" s="52" t="str">
        <f>IFERROR(VLOOKUP(C63,_COD_!$A:$B,2,0),"")</f>
        <v/>
      </c>
      <c r="E63" s="53"/>
      <c r="F63" s="53"/>
      <c r="G63" s="53"/>
      <c r="H63" s="53"/>
      <c r="I63" s="53"/>
      <c r="J63" s="53"/>
      <c r="K63" s="53"/>
      <c r="L63" s="53"/>
      <c r="M63" s="53"/>
    </row>
    <row r="64" spans="1:13" ht="19.5" customHeight="1" x14ac:dyDescent="0.3">
      <c r="A64" s="54">
        <v>56</v>
      </c>
      <c r="B64" s="50"/>
      <c r="C64" s="51"/>
      <c r="D64" s="52" t="str">
        <f>IFERROR(VLOOKUP(C64,_COD_!$A:$B,2,0),"")</f>
        <v/>
      </c>
      <c r="E64" s="55"/>
      <c r="F64" s="55"/>
      <c r="G64" s="55"/>
      <c r="H64" s="55"/>
      <c r="I64" s="55"/>
      <c r="J64" s="55"/>
      <c r="K64" s="55"/>
      <c r="L64" s="55"/>
      <c r="M64" s="55"/>
    </row>
    <row r="65" spans="1:13" ht="19.5" customHeight="1" x14ac:dyDescent="0.3">
      <c r="A65" s="49">
        <v>57</v>
      </c>
      <c r="B65" s="50"/>
      <c r="C65" s="51"/>
      <c r="D65" s="52" t="str">
        <f>IFERROR(VLOOKUP(C65,_COD_!$A:$B,2,0),"")</f>
        <v/>
      </c>
      <c r="E65" s="53"/>
      <c r="F65" s="53"/>
      <c r="G65" s="53"/>
      <c r="H65" s="53"/>
      <c r="I65" s="53"/>
      <c r="J65" s="53"/>
      <c r="K65" s="53"/>
      <c r="L65" s="53"/>
      <c r="M65" s="53"/>
    </row>
    <row r="66" spans="1:13" ht="19.5" customHeight="1" x14ac:dyDescent="0.3">
      <c r="A66" s="54">
        <v>58</v>
      </c>
      <c r="B66" s="50"/>
      <c r="C66" s="51"/>
      <c r="D66" s="52" t="str">
        <f>IFERROR(VLOOKUP(C66,_COD_!$A:$B,2,0),"")</f>
        <v/>
      </c>
      <c r="E66" s="55"/>
      <c r="F66" s="55"/>
      <c r="G66" s="55"/>
      <c r="H66" s="55"/>
      <c r="I66" s="55"/>
      <c r="J66" s="55"/>
      <c r="K66" s="55"/>
      <c r="L66" s="55"/>
      <c r="M66" s="55"/>
    </row>
    <row r="67" spans="1:13" ht="19.5" customHeight="1" x14ac:dyDescent="0.3">
      <c r="A67" s="49">
        <v>59</v>
      </c>
      <c r="B67" s="50"/>
      <c r="C67" s="51"/>
      <c r="D67" s="52" t="str">
        <f>IFERROR(VLOOKUP(C67,_COD_!$A:$B,2,0),"")</f>
        <v/>
      </c>
      <c r="E67" s="53"/>
      <c r="F67" s="53"/>
      <c r="G67" s="53"/>
      <c r="H67" s="53"/>
      <c r="I67" s="53"/>
      <c r="J67" s="53"/>
      <c r="K67" s="53"/>
      <c r="L67" s="53"/>
      <c r="M67" s="53"/>
    </row>
    <row r="68" spans="1:13" ht="19.5" customHeight="1" x14ac:dyDescent="0.3">
      <c r="A68" s="54">
        <v>60</v>
      </c>
      <c r="B68" s="50"/>
      <c r="C68" s="51"/>
      <c r="D68" s="52" t="str">
        <f>IFERROR(VLOOKUP(C68,_COD_!$A:$B,2,0),"")</f>
        <v/>
      </c>
      <c r="E68" s="55"/>
      <c r="F68" s="55"/>
      <c r="G68" s="55"/>
      <c r="H68" s="55"/>
      <c r="I68" s="55"/>
      <c r="J68" s="55"/>
      <c r="K68" s="55"/>
      <c r="L68" s="55"/>
      <c r="M68" s="55"/>
    </row>
    <row r="69" spans="1:13" ht="19.5" customHeight="1" x14ac:dyDescent="0.3">
      <c r="A69" s="49">
        <v>61</v>
      </c>
      <c r="B69" s="50"/>
      <c r="C69" s="51"/>
      <c r="D69" s="52" t="str">
        <f>IFERROR(VLOOKUP(C69,_COD_!$A:$B,2,0),"")</f>
        <v/>
      </c>
      <c r="E69" s="53"/>
      <c r="F69" s="53"/>
      <c r="G69" s="53"/>
      <c r="H69" s="53"/>
      <c r="I69" s="53"/>
      <c r="J69" s="53"/>
      <c r="K69" s="53"/>
      <c r="L69" s="53"/>
      <c r="M69" s="53"/>
    </row>
    <row r="70" spans="1:13" ht="19.5" customHeight="1" x14ac:dyDescent="0.3">
      <c r="A70" s="54">
        <v>62</v>
      </c>
      <c r="B70" s="50"/>
      <c r="C70" s="51"/>
      <c r="D70" s="52" t="str">
        <f>IFERROR(VLOOKUP(C70,_COD_!$A:$B,2,0),"")</f>
        <v/>
      </c>
      <c r="E70" s="55"/>
      <c r="F70" s="55"/>
      <c r="G70" s="55"/>
      <c r="H70" s="55"/>
      <c r="I70" s="55"/>
      <c r="J70" s="55"/>
      <c r="K70" s="55"/>
      <c r="L70" s="55"/>
      <c r="M70" s="55"/>
    </row>
    <row r="71" spans="1:13" ht="19.5" customHeight="1" x14ac:dyDescent="0.3">
      <c r="A71" s="49">
        <v>63</v>
      </c>
      <c r="B71" s="50"/>
      <c r="C71" s="51"/>
      <c r="D71" s="52" t="str">
        <f>IFERROR(VLOOKUP(C71,_COD_!$A:$B,2,0),"")</f>
        <v/>
      </c>
      <c r="E71" s="53"/>
      <c r="F71" s="53"/>
      <c r="G71" s="53"/>
      <c r="H71" s="53"/>
      <c r="I71" s="53"/>
      <c r="J71" s="53"/>
      <c r="K71" s="53"/>
      <c r="L71" s="53"/>
      <c r="M71" s="53"/>
    </row>
    <row r="72" spans="1:13" ht="19.5" customHeight="1" x14ac:dyDescent="0.3">
      <c r="A72" s="54">
        <v>64</v>
      </c>
      <c r="B72" s="50"/>
      <c r="C72" s="51"/>
      <c r="D72" s="52" t="str">
        <f>IFERROR(VLOOKUP(C72,_COD_!$A:$B,2,0),"")</f>
        <v/>
      </c>
      <c r="E72" s="55"/>
      <c r="F72" s="55"/>
      <c r="G72" s="55"/>
      <c r="H72" s="55"/>
      <c r="I72" s="55"/>
      <c r="J72" s="55"/>
      <c r="K72" s="55"/>
      <c r="L72" s="55"/>
      <c r="M72" s="55"/>
    </row>
    <row r="73" spans="1:13" ht="19.5" customHeight="1" x14ac:dyDescent="0.3">
      <c r="A73" s="49">
        <v>65</v>
      </c>
      <c r="B73" s="50"/>
      <c r="C73" s="51"/>
      <c r="D73" s="52" t="str">
        <f>IFERROR(VLOOKUP(C73,_COD_!$A:$B,2,0),"")</f>
        <v/>
      </c>
      <c r="E73" s="53"/>
      <c r="F73" s="53"/>
      <c r="G73" s="53"/>
      <c r="H73" s="53"/>
      <c r="I73" s="53"/>
      <c r="J73" s="53"/>
      <c r="K73" s="53"/>
      <c r="L73" s="53"/>
      <c r="M73" s="53"/>
    </row>
    <row r="74" spans="1:13" ht="19.5" customHeight="1" x14ac:dyDescent="0.3">
      <c r="A74" s="54">
        <v>66</v>
      </c>
      <c r="B74" s="50"/>
      <c r="C74" s="51"/>
      <c r="D74" s="52" t="str">
        <f>IFERROR(VLOOKUP(C74,_COD_!$A:$B,2,0),"")</f>
        <v/>
      </c>
      <c r="E74" s="55"/>
      <c r="F74" s="55"/>
      <c r="G74" s="55"/>
      <c r="H74" s="55"/>
      <c r="I74" s="55"/>
      <c r="J74" s="55"/>
      <c r="K74" s="55"/>
      <c r="L74" s="55"/>
      <c r="M74" s="55"/>
    </row>
    <row r="75" spans="1:13" ht="19.5" customHeight="1" x14ac:dyDescent="0.3">
      <c r="A75" s="49">
        <v>67</v>
      </c>
      <c r="B75" s="50"/>
      <c r="C75" s="51"/>
      <c r="D75" s="52" t="str">
        <f>IFERROR(VLOOKUP(C75,_COD_!$A:$B,2,0),"")</f>
        <v/>
      </c>
      <c r="E75" s="53"/>
      <c r="F75" s="53"/>
      <c r="G75" s="53"/>
      <c r="H75" s="53"/>
      <c r="I75" s="53"/>
      <c r="J75" s="53"/>
      <c r="K75" s="53"/>
      <c r="L75" s="53"/>
      <c r="M75" s="53"/>
    </row>
    <row r="76" spans="1:13" ht="19.5" customHeight="1" x14ac:dyDescent="0.3">
      <c r="A76" s="54">
        <v>68</v>
      </c>
      <c r="B76" s="50"/>
      <c r="C76" s="51"/>
      <c r="D76" s="52" t="str">
        <f>IFERROR(VLOOKUP(C76,_COD_!$A:$B,2,0),"")</f>
        <v/>
      </c>
      <c r="E76" s="55"/>
      <c r="F76" s="55"/>
      <c r="G76" s="55"/>
      <c r="H76" s="55"/>
      <c r="I76" s="55"/>
      <c r="J76" s="55"/>
      <c r="K76" s="55"/>
      <c r="L76" s="55"/>
      <c r="M76" s="55"/>
    </row>
    <row r="77" spans="1:13" ht="19.5" customHeight="1" x14ac:dyDescent="0.3">
      <c r="A77" s="49">
        <v>69</v>
      </c>
      <c r="B77" s="50"/>
      <c r="C77" s="51"/>
      <c r="D77" s="52" t="str">
        <f>IFERROR(VLOOKUP(C77,_COD_!$A:$B,2,0),"")</f>
        <v/>
      </c>
      <c r="E77" s="53"/>
      <c r="F77" s="53"/>
      <c r="G77" s="53"/>
      <c r="H77" s="53"/>
      <c r="I77" s="53"/>
      <c r="J77" s="53"/>
      <c r="K77" s="53"/>
      <c r="L77" s="53"/>
      <c r="M77" s="53"/>
    </row>
    <row r="78" spans="1:13" ht="19.5" customHeight="1" x14ac:dyDescent="0.3">
      <c r="A78" s="54">
        <v>70</v>
      </c>
      <c r="B78" s="50"/>
      <c r="C78" s="51"/>
      <c r="D78" s="52" t="str">
        <f>IFERROR(VLOOKUP(C78,_COD_!$A:$B,2,0),"")</f>
        <v/>
      </c>
      <c r="E78" s="55"/>
      <c r="F78" s="55"/>
      <c r="G78" s="55"/>
      <c r="H78" s="55"/>
      <c r="I78" s="55"/>
      <c r="J78" s="55"/>
      <c r="K78" s="55"/>
      <c r="L78" s="55"/>
      <c r="M78" s="55"/>
    </row>
    <row r="79" spans="1:13" ht="19.5" customHeight="1" x14ac:dyDescent="0.3">
      <c r="A79" s="49">
        <v>71</v>
      </c>
      <c r="B79" s="50"/>
      <c r="C79" s="51"/>
      <c r="D79" s="52" t="str">
        <f>IFERROR(VLOOKUP(C79,_COD_!$A:$B,2,0),"")</f>
        <v/>
      </c>
      <c r="E79" s="53"/>
      <c r="F79" s="53"/>
      <c r="G79" s="53"/>
      <c r="H79" s="53"/>
      <c r="I79" s="53"/>
      <c r="J79" s="53"/>
      <c r="K79" s="53"/>
      <c r="L79" s="53"/>
      <c r="M79" s="53"/>
    </row>
    <row r="80" spans="1:13" ht="19.5" customHeight="1" x14ac:dyDescent="0.3">
      <c r="A80" s="54">
        <v>72</v>
      </c>
      <c r="B80" s="50"/>
      <c r="C80" s="51"/>
      <c r="D80" s="52" t="str">
        <f>IFERROR(VLOOKUP(C80,_COD_!$A:$B,2,0),"")</f>
        <v/>
      </c>
      <c r="E80" s="55"/>
      <c r="F80" s="55"/>
      <c r="G80" s="55"/>
      <c r="H80" s="55"/>
      <c r="I80" s="55"/>
      <c r="J80" s="55"/>
      <c r="K80" s="55"/>
      <c r="L80" s="55"/>
      <c r="M80" s="55"/>
    </row>
    <row r="81" spans="1:13" ht="19.5" customHeight="1" x14ac:dyDescent="0.3">
      <c r="A81" s="49">
        <v>73</v>
      </c>
      <c r="B81" s="50"/>
      <c r="C81" s="51"/>
      <c r="D81" s="52" t="str">
        <f>IFERROR(VLOOKUP(C81,_COD_!$A:$B,2,0),"")</f>
        <v/>
      </c>
      <c r="E81" s="53"/>
      <c r="F81" s="53"/>
      <c r="G81" s="53"/>
      <c r="H81" s="53"/>
      <c r="I81" s="53"/>
      <c r="J81" s="53"/>
      <c r="K81" s="53"/>
      <c r="L81" s="53"/>
      <c r="M81" s="53"/>
    </row>
    <row r="82" spans="1:13" ht="19.5" customHeight="1" x14ac:dyDescent="0.3">
      <c r="A82" s="54">
        <v>74</v>
      </c>
      <c r="B82" s="50"/>
      <c r="C82" s="51"/>
      <c r="D82" s="52" t="str">
        <f>IFERROR(VLOOKUP(C82,_COD_!$A:$B,2,0),"")</f>
        <v/>
      </c>
      <c r="E82" s="55"/>
      <c r="F82" s="55"/>
      <c r="G82" s="55"/>
      <c r="H82" s="55"/>
      <c r="I82" s="55"/>
      <c r="J82" s="55"/>
      <c r="K82" s="55"/>
      <c r="L82" s="55"/>
      <c r="M82" s="55"/>
    </row>
    <row r="83" spans="1:13" ht="19.5" customHeight="1" x14ac:dyDescent="0.3">
      <c r="A83" s="49">
        <v>75</v>
      </c>
      <c r="B83" s="50"/>
      <c r="C83" s="51"/>
      <c r="D83" s="52" t="str">
        <f>IFERROR(VLOOKUP(C83,_COD_!$A:$B,2,0),"")</f>
        <v/>
      </c>
      <c r="E83" s="53"/>
      <c r="F83" s="53"/>
      <c r="G83" s="53"/>
      <c r="H83" s="53"/>
      <c r="I83" s="53"/>
      <c r="J83" s="53"/>
      <c r="K83" s="53"/>
      <c r="L83" s="53"/>
      <c r="M83" s="53"/>
    </row>
    <row r="84" spans="1:13" ht="19.5" customHeight="1" x14ac:dyDescent="0.3">
      <c r="A84" s="54">
        <v>76</v>
      </c>
      <c r="B84" s="50"/>
      <c r="C84" s="51"/>
      <c r="D84" s="52" t="str">
        <f>IFERROR(VLOOKUP(C84,_COD_!$A:$B,2,0),"")</f>
        <v/>
      </c>
      <c r="E84" s="55"/>
      <c r="F84" s="55"/>
      <c r="G84" s="55"/>
      <c r="H84" s="55"/>
      <c r="I84" s="55"/>
      <c r="J84" s="55"/>
      <c r="K84" s="55"/>
      <c r="L84" s="55"/>
      <c r="M84" s="55"/>
    </row>
    <row r="85" spans="1:13" ht="19.5" customHeight="1" x14ac:dyDescent="0.3">
      <c r="A85" s="49">
        <v>77</v>
      </c>
      <c r="B85" s="50"/>
      <c r="C85" s="51"/>
      <c r="D85" s="52" t="str">
        <f>IFERROR(VLOOKUP(C85,_COD_!$A:$B,2,0),"")</f>
        <v/>
      </c>
      <c r="E85" s="53"/>
      <c r="F85" s="53"/>
      <c r="G85" s="53"/>
      <c r="H85" s="53"/>
      <c r="I85" s="53"/>
      <c r="J85" s="53"/>
      <c r="K85" s="53"/>
      <c r="L85" s="53"/>
      <c r="M85" s="53"/>
    </row>
    <row r="86" spans="1:13" ht="19.5" customHeight="1" x14ac:dyDescent="0.3">
      <c r="A86" s="54">
        <v>78</v>
      </c>
      <c r="B86" s="50"/>
      <c r="C86" s="51"/>
      <c r="D86" s="52" t="str">
        <f>IFERROR(VLOOKUP(C86,_COD_!$A:$B,2,0),"")</f>
        <v/>
      </c>
      <c r="E86" s="55"/>
      <c r="F86" s="55"/>
      <c r="G86" s="55"/>
      <c r="H86" s="55"/>
      <c r="I86" s="55"/>
      <c r="J86" s="55"/>
      <c r="K86" s="55"/>
      <c r="L86" s="55"/>
      <c r="M86" s="55"/>
    </row>
    <row r="87" spans="1:13" ht="19.5" customHeight="1" x14ac:dyDescent="0.3">
      <c r="A87" s="49">
        <v>79</v>
      </c>
      <c r="B87" s="50"/>
      <c r="C87" s="51"/>
      <c r="D87" s="52" t="str">
        <f>IFERROR(VLOOKUP(C87,_COD_!$A:$B,2,0),"")</f>
        <v/>
      </c>
      <c r="E87" s="53"/>
      <c r="F87" s="53"/>
      <c r="G87" s="53"/>
      <c r="H87" s="53"/>
      <c r="I87" s="53"/>
      <c r="J87" s="53"/>
      <c r="K87" s="53"/>
      <c r="L87" s="53"/>
      <c r="M87" s="53"/>
    </row>
    <row r="88" spans="1:13" ht="19.5" customHeight="1" x14ac:dyDescent="0.3">
      <c r="A88" s="54">
        <v>80</v>
      </c>
      <c r="B88" s="50"/>
      <c r="C88" s="51"/>
      <c r="D88" s="52" t="str">
        <f>IFERROR(VLOOKUP(C88,_COD_!$A:$B,2,0),"")</f>
        <v/>
      </c>
      <c r="E88" s="55"/>
      <c r="F88" s="55"/>
      <c r="G88" s="55"/>
      <c r="H88" s="55"/>
      <c r="I88" s="55"/>
      <c r="J88" s="55"/>
      <c r="K88" s="55"/>
      <c r="L88" s="55"/>
      <c r="M88" s="55"/>
    </row>
    <row r="89" spans="1:13" ht="19.5" customHeight="1" x14ac:dyDescent="0.3">
      <c r="A89" s="49">
        <v>81</v>
      </c>
      <c r="B89" s="50"/>
      <c r="C89" s="51"/>
      <c r="D89" s="52" t="str">
        <f>IFERROR(VLOOKUP(C89,_COD_!$A:$B,2,0),"")</f>
        <v/>
      </c>
      <c r="E89" s="53"/>
      <c r="F89" s="53"/>
      <c r="G89" s="53"/>
      <c r="H89" s="53"/>
      <c r="I89" s="53"/>
      <c r="J89" s="53"/>
      <c r="K89" s="53"/>
      <c r="L89" s="53"/>
      <c r="M89" s="53"/>
    </row>
    <row r="90" spans="1:13" ht="19.5" customHeight="1" x14ac:dyDescent="0.3">
      <c r="A90" s="54">
        <v>82</v>
      </c>
      <c r="B90" s="50"/>
      <c r="C90" s="51"/>
      <c r="D90" s="52" t="str">
        <f>IFERROR(VLOOKUP(C90,_COD_!$A:$B,2,0),"")</f>
        <v/>
      </c>
      <c r="E90" s="55"/>
      <c r="F90" s="55"/>
      <c r="G90" s="55"/>
      <c r="H90" s="55"/>
      <c r="I90" s="55"/>
      <c r="J90" s="55"/>
      <c r="K90" s="55"/>
      <c r="L90" s="55"/>
      <c r="M90" s="55"/>
    </row>
    <row r="91" spans="1:13" ht="19.5" customHeight="1" x14ac:dyDescent="0.3">
      <c r="A91" s="49">
        <v>83</v>
      </c>
      <c r="B91" s="50"/>
      <c r="C91" s="51"/>
      <c r="D91" s="52" t="str">
        <f>IFERROR(VLOOKUP(C91,_COD_!$A:$B,2,0),"")</f>
        <v/>
      </c>
      <c r="E91" s="53"/>
      <c r="F91" s="53"/>
      <c r="G91" s="53"/>
      <c r="H91" s="53"/>
      <c r="I91" s="53"/>
      <c r="J91" s="53"/>
      <c r="K91" s="53"/>
      <c r="L91" s="53"/>
      <c r="M91" s="53"/>
    </row>
    <row r="92" spans="1:13" ht="19.5" customHeight="1" x14ac:dyDescent="0.3">
      <c r="A92" s="54">
        <v>84</v>
      </c>
      <c r="B92" s="50"/>
      <c r="C92" s="51"/>
      <c r="D92" s="52" t="str">
        <f>IFERROR(VLOOKUP(C92,_COD_!$A:$B,2,0),"")</f>
        <v/>
      </c>
      <c r="E92" s="55"/>
      <c r="F92" s="55"/>
      <c r="G92" s="55"/>
      <c r="H92" s="55"/>
      <c r="I92" s="55"/>
      <c r="J92" s="55"/>
      <c r="K92" s="55"/>
      <c r="L92" s="55"/>
      <c r="M92" s="55"/>
    </row>
    <row r="93" spans="1:13" ht="19.5" customHeight="1" x14ac:dyDescent="0.3">
      <c r="A93" s="49">
        <v>85</v>
      </c>
      <c r="B93" s="50"/>
      <c r="C93" s="51"/>
      <c r="D93" s="52" t="str">
        <f>IFERROR(VLOOKUP(C93,_COD_!$A:$B,2,0),"")</f>
        <v/>
      </c>
      <c r="E93" s="53"/>
      <c r="F93" s="53"/>
      <c r="G93" s="53"/>
      <c r="H93" s="53"/>
      <c r="I93" s="53"/>
      <c r="J93" s="53"/>
      <c r="K93" s="53"/>
      <c r="L93" s="53"/>
      <c r="M93" s="53"/>
    </row>
    <row r="94" spans="1:13" ht="19.5" customHeight="1" x14ac:dyDescent="0.3">
      <c r="A94" s="54">
        <v>86</v>
      </c>
      <c r="B94" s="50"/>
      <c r="C94" s="51"/>
      <c r="D94" s="52" t="str">
        <f>IFERROR(VLOOKUP(C94,_COD_!$A:$B,2,0),"")</f>
        <v/>
      </c>
      <c r="E94" s="55"/>
      <c r="F94" s="55"/>
      <c r="G94" s="55"/>
      <c r="H94" s="55"/>
      <c r="I94" s="55"/>
      <c r="J94" s="55"/>
      <c r="K94" s="55"/>
      <c r="L94" s="55"/>
      <c r="M94" s="55"/>
    </row>
    <row r="95" spans="1:13" ht="19.5" customHeight="1" x14ac:dyDescent="0.3">
      <c r="A95" s="49">
        <v>87</v>
      </c>
      <c r="B95" s="50"/>
      <c r="C95" s="51"/>
      <c r="D95" s="52" t="str">
        <f>IFERROR(VLOOKUP(C95,_COD_!$A:$B,2,0),"")</f>
        <v/>
      </c>
      <c r="E95" s="53"/>
      <c r="F95" s="53"/>
      <c r="G95" s="53"/>
      <c r="H95" s="53"/>
      <c r="I95" s="53"/>
      <c r="J95" s="53"/>
      <c r="K95" s="53"/>
      <c r="L95" s="53"/>
      <c r="M95" s="53"/>
    </row>
    <row r="96" spans="1:13" ht="19.5" customHeight="1" x14ac:dyDescent="0.3">
      <c r="A96" s="54">
        <v>88</v>
      </c>
      <c r="B96" s="50"/>
      <c r="C96" s="51"/>
      <c r="D96" s="52" t="str">
        <f>IFERROR(VLOOKUP(C96,_COD_!$A:$B,2,0),"")</f>
        <v/>
      </c>
      <c r="E96" s="55"/>
      <c r="F96" s="55"/>
      <c r="G96" s="55"/>
      <c r="H96" s="55"/>
      <c r="I96" s="55"/>
      <c r="J96" s="55"/>
      <c r="K96" s="55"/>
      <c r="L96" s="55"/>
      <c r="M96" s="55"/>
    </row>
    <row r="97" spans="1:13" ht="19.5" customHeight="1" x14ac:dyDescent="0.3">
      <c r="A97" s="49">
        <v>89</v>
      </c>
      <c r="B97" s="50"/>
      <c r="C97" s="51"/>
      <c r="D97" s="52" t="str">
        <f>IFERROR(VLOOKUP(C97,_COD_!$A:$B,2,0),"")</f>
        <v/>
      </c>
      <c r="E97" s="53"/>
      <c r="F97" s="53"/>
      <c r="G97" s="53"/>
      <c r="H97" s="53"/>
      <c r="I97" s="53"/>
      <c r="J97" s="53"/>
      <c r="K97" s="53"/>
      <c r="L97" s="53"/>
      <c r="M97" s="53"/>
    </row>
    <row r="98" spans="1:13" ht="19.5" customHeight="1" x14ac:dyDescent="0.3">
      <c r="A98" s="54">
        <v>90</v>
      </c>
      <c r="B98" s="50"/>
      <c r="C98" s="51"/>
      <c r="D98" s="52" t="str">
        <f>IFERROR(VLOOKUP(C98,_COD_!$A:$B,2,0),"")</f>
        <v/>
      </c>
      <c r="E98" s="55"/>
      <c r="F98" s="55"/>
      <c r="G98" s="55"/>
      <c r="H98" s="55"/>
      <c r="I98" s="55"/>
      <c r="J98" s="55"/>
      <c r="K98" s="55"/>
      <c r="L98" s="55"/>
      <c r="M98" s="55"/>
    </row>
    <row r="99" spans="1:13" ht="19.5" customHeight="1" x14ac:dyDescent="0.3">
      <c r="A99" s="49">
        <v>91</v>
      </c>
      <c r="B99" s="50"/>
      <c r="C99" s="51"/>
      <c r="D99" s="52" t="str">
        <f>IFERROR(VLOOKUP(C99,_COD_!$A:$B,2,0),"")</f>
        <v/>
      </c>
      <c r="E99" s="53"/>
      <c r="F99" s="53"/>
      <c r="G99" s="53"/>
      <c r="H99" s="53"/>
      <c r="I99" s="53"/>
      <c r="J99" s="53"/>
      <c r="K99" s="53"/>
      <c r="L99" s="53"/>
      <c r="M99" s="53"/>
    </row>
    <row r="100" spans="1:13" ht="19.5" customHeight="1" x14ac:dyDescent="0.3">
      <c r="A100" s="54">
        <v>92</v>
      </c>
      <c r="B100" s="50"/>
      <c r="C100" s="51"/>
      <c r="D100" s="52" t="str">
        <f>IFERROR(VLOOKUP(C100,_COD_!$A:$B,2,0),"")</f>
        <v/>
      </c>
      <c r="E100" s="55"/>
      <c r="F100" s="55"/>
      <c r="G100" s="55"/>
      <c r="H100" s="55"/>
      <c r="I100" s="55"/>
      <c r="J100" s="55"/>
      <c r="K100" s="55"/>
      <c r="L100" s="55"/>
      <c r="M100" s="55"/>
    </row>
    <row r="101" spans="1:13" ht="19.5" customHeight="1" x14ac:dyDescent="0.3">
      <c r="A101" s="49">
        <v>93</v>
      </c>
      <c r="B101" s="50"/>
      <c r="C101" s="51"/>
      <c r="D101" s="52" t="str">
        <f>IFERROR(VLOOKUP(C101,_COD_!$A:$B,2,0),"")</f>
        <v/>
      </c>
      <c r="E101" s="53"/>
      <c r="F101" s="53"/>
      <c r="G101" s="53"/>
      <c r="H101" s="53"/>
      <c r="I101" s="53"/>
      <c r="J101" s="53"/>
      <c r="K101" s="53"/>
      <c r="L101" s="53"/>
      <c r="M101" s="53"/>
    </row>
    <row r="102" spans="1:13" ht="19.5" customHeight="1" x14ac:dyDescent="0.3">
      <c r="A102" s="54">
        <v>94</v>
      </c>
      <c r="B102" s="50"/>
      <c r="C102" s="51"/>
      <c r="D102" s="52" t="str">
        <f>IFERROR(VLOOKUP(C102,_COD_!$A:$B,2,0),"")</f>
        <v/>
      </c>
      <c r="E102" s="55"/>
      <c r="F102" s="55"/>
      <c r="G102" s="55"/>
      <c r="H102" s="55"/>
      <c r="I102" s="55"/>
      <c r="J102" s="55"/>
      <c r="K102" s="55"/>
      <c r="L102" s="55"/>
      <c r="M102" s="55"/>
    </row>
    <row r="103" spans="1:13" ht="19.5" customHeight="1" x14ac:dyDescent="0.3">
      <c r="A103" s="49">
        <v>95</v>
      </c>
      <c r="B103" s="50"/>
      <c r="C103" s="51"/>
      <c r="D103" s="52" t="str">
        <f>IFERROR(VLOOKUP(C103,_COD_!$A:$B,2,0),"")</f>
        <v/>
      </c>
      <c r="E103" s="53"/>
      <c r="F103" s="53"/>
      <c r="G103" s="53"/>
      <c r="H103" s="53"/>
      <c r="I103" s="53"/>
      <c r="J103" s="53"/>
      <c r="K103" s="53"/>
      <c r="L103" s="53"/>
      <c r="M103" s="53"/>
    </row>
    <row r="104" spans="1:13" ht="19.5" customHeight="1" x14ac:dyDescent="0.3">
      <c r="A104" s="54">
        <v>96</v>
      </c>
      <c r="B104" s="50"/>
      <c r="C104" s="51"/>
      <c r="D104" s="52" t="str">
        <f>IFERROR(VLOOKUP(C104,_COD_!$A:$B,2,0),"")</f>
        <v/>
      </c>
      <c r="E104" s="55"/>
      <c r="F104" s="55"/>
      <c r="G104" s="55"/>
      <c r="H104" s="55"/>
      <c r="I104" s="55"/>
      <c r="J104" s="55"/>
      <c r="K104" s="55"/>
      <c r="L104" s="55"/>
      <c r="M104" s="55"/>
    </row>
    <row r="105" spans="1:13" ht="19.5" customHeight="1" x14ac:dyDescent="0.3">
      <c r="A105" s="49">
        <v>97</v>
      </c>
      <c r="B105" s="50"/>
      <c r="C105" s="51"/>
      <c r="D105" s="52" t="str">
        <f>IFERROR(VLOOKUP(C105,_COD_!$A:$B,2,0),"")</f>
        <v/>
      </c>
      <c r="E105" s="53"/>
      <c r="F105" s="53"/>
      <c r="G105" s="53"/>
      <c r="H105" s="53"/>
      <c r="I105" s="53"/>
      <c r="J105" s="53"/>
      <c r="K105" s="53"/>
      <c r="L105" s="53"/>
      <c r="M105" s="53"/>
    </row>
    <row r="106" spans="1:13" ht="19.5" customHeight="1" x14ac:dyDescent="0.3">
      <c r="A106" s="54">
        <v>98</v>
      </c>
      <c r="B106" s="50"/>
      <c r="C106" s="51"/>
      <c r="D106" s="52" t="str">
        <f>IFERROR(VLOOKUP(C106,_COD_!$A:$B,2,0),"")</f>
        <v/>
      </c>
      <c r="E106" s="55"/>
      <c r="F106" s="55"/>
      <c r="G106" s="55"/>
      <c r="H106" s="55"/>
      <c r="I106" s="55"/>
      <c r="J106" s="55"/>
      <c r="K106" s="55"/>
      <c r="L106" s="55"/>
      <c r="M106" s="55"/>
    </row>
    <row r="107" spans="1:13" ht="19.5" customHeight="1" x14ac:dyDescent="0.3">
      <c r="A107" s="49">
        <v>99</v>
      </c>
      <c r="B107" s="50"/>
      <c r="C107" s="51"/>
      <c r="D107" s="52" t="str">
        <f>IFERROR(VLOOKUP(C107,_COD_!$A:$B,2,0),"")</f>
        <v/>
      </c>
      <c r="E107" s="53"/>
      <c r="F107" s="53"/>
      <c r="G107" s="53"/>
      <c r="H107" s="53"/>
      <c r="I107" s="53"/>
      <c r="J107" s="53"/>
      <c r="K107" s="53"/>
      <c r="L107" s="53"/>
      <c r="M107" s="53"/>
    </row>
    <row r="108" spans="1:13" ht="19.5" customHeight="1" x14ac:dyDescent="0.3">
      <c r="A108" s="54">
        <v>100</v>
      </c>
      <c r="B108" s="50"/>
      <c r="C108" s="51"/>
      <c r="D108" s="52" t="str">
        <f>IFERROR(VLOOKUP(C108,_COD_!$A:$B,2,0),"")</f>
        <v/>
      </c>
      <c r="E108" s="55"/>
      <c r="F108" s="55"/>
      <c r="G108" s="55"/>
      <c r="H108" s="55"/>
      <c r="I108" s="55"/>
      <c r="J108" s="55"/>
      <c r="K108" s="55"/>
      <c r="L108" s="55"/>
      <c r="M108" s="55"/>
    </row>
    <row r="112" spans="1:13" ht="24.75" customHeight="1" x14ac:dyDescent="0.3">
      <c r="A112" s="74"/>
      <c r="B112" s="74"/>
      <c r="C112" s="74"/>
      <c r="D112" s="74"/>
      <c r="E112" s="74"/>
      <c r="F112" s="74"/>
      <c r="G112" s="74"/>
      <c r="H112" s="74"/>
      <c r="I112" s="74"/>
      <c r="J112" s="74"/>
      <c r="K112" s="74"/>
      <c r="L112" s="74"/>
      <c r="M112" s="74"/>
    </row>
  </sheetData>
  <mergeCells count="21">
    <mergeCell ref="A7:M7"/>
    <mergeCell ref="A112:M112"/>
    <mergeCell ref="K4:M4"/>
    <mergeCell ref="A5:B5"/>
    <mergeCell ref="C5:D5"/>
    <mergeCell ref="E5:F5"/>
    <mergeCell ref="G5:H5"/>
    <mergeCell ref="I5:J5"/>
    <mergeCell ref="K5:M5"/>
    <mergeCell ref="A4:B4"/>
    <mergeCell ref="C4:D4"/>
    <mergeCell ref="E4:F4"/>
    <mergeCell ref="G4:H4"/>
    <mergeCell ref="I4:J4"/>
    <mergeCell ref="A1:M1"/>
    <mergeCell ref="A2:M2"/>
    <mergeCell ref="A3:C3"/>
    <mergeCell ref="D3:F3"/>
    <mergeCell ref="G3:H3"/>
    <mergeCell ref="I3:J3"/>
    <mergeCell ref="K3:L3"/>
  </mergeCells>
  <conditionalFormatting sqref="K9:L300">
    <cfRule type="containsText" dxfId="23" priority="2" operator="containsText" text="SÍ">
      <formula>NOT(ISERROR(SEARCH("SÍ",K9)))</formula>
    </cfRule>
    <cfRule type="containsText" dxfId="22" priority="3" operator="containsText" text="NO">
      <formula>NOT(ISERROR(SEARCH("NO",K9)))</formula>
    </cfRule>
    <cfRule type="containsText" dxfId="21" priority="4" operator="containsText" text="N/A">
      <formula>NOT(ISERROR(SEARCH("N/A",K9)))</formula>
    </cfRule>
  </conditionalFormatting>
  <dataValidations count="3">
    <dataValidation type="list" sqref="E9:E300" xr:uid="{00000000-0002-0000-0300-000002000000}">
      <formula1>"Intramural,Extramural,Unidad Móvil,Domiciliaria,Telemedicina Interactiva,Telemedicina No Interactiva"</formula1>
      <formula2>0</formula2>
    </dataValidation>
    <dataValidation type="list" sqref="F9:F300" xr:uid="{00000000-0002-0000-0300-000003000000}">
      <formula1>"Baja,Mediana,Alta,No Aplica"</formula1>
      <formula2>0</formula2>
    </dataValidation>
    <dataValidation type="list" sqref="K9:L300" xr:uid="{00000000-0002-0000-0300-000004000000}">
      <formula1>"✅ SÍ,❌ NO,⚪ N/A"</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xr:uid="{00000000-0002-0000-0300-000000000000}">
          <x14:formula1>
            <xm:f>_SVC_!$A$1:$E$1</xm:f>
          </x14:formula1>
          <x14:formula2>
            <xm:f>0</xm:f>
          </x14:formula2>
          <xm:sqref>B9:B300</xm:sqref>
        </x14:dataValidation>
        <x14:dataValidation type="list" xr:uid="{00000000-0002-0000-0300-000001000000}">
          <x14:formula1>
            <xm:f>INDIRECT(VLOOKUP(B9,_LK_!$A:$B,2,0))</xm:f>
          </x14:formula1>
          <x14:formula2>
            <xm:f>0</xm:f>
          </x14:formula2>
          <xm:sqref>C9:C300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4"/>
  <sheetViews>
    <sheetView showGridLines="0" zoomScaleNormal="100" workbookViewId="0">
      <pane ySplit="6" topLeftCell="A43" activePane="bottomLeft" state="frozen"/>
      <selection pane="bottomLeft" activeCell="A44" sqref="A44:H44"/>
    </sheetView>
  </sheetViews>
  <sheetFormatPr baseColWidth="10" defaultColWidth="8.6640625" defaultRowHeight="14.4" x14ac:dyDescent="0.3"/>
  <cols>
    <col min="1" max="1" width="5" customWidth="1"/>
    <col min="2" max="2" width="22" customWidth="1"/>
    <col min="3" max="3" width="30" customWidth="1"/>
    <col min="4" max="5" width="14" customWidth="1"/>
    <col min="6" max="6" width="12" customWidth="1"/>
    <col min="7" max="7" width="14" customWidth="1"/>
    <col min="8" max="8" width="35" customWidth="1"/>
  </cols>
  <sheetData>
    <row r="1" spans="1:8" ht="36" customHeight="1" x14ac:dyDescent="0.3">
      <c r="A1" s="107" t="s">
        <v>273</v>
      </c>
      <c r="B1" s="107"/>
      <c r="C1" s="107"/>
      <c r="D1" s="107"/>
      <c r="E1" s="107"/>
      <c r="F1" s="107"/>
      <c r="G1" s="107"/>
      <c r="H1" s="107"/>
    </row>
    <row r="2" spans="1:8" ht="19.5" customHeight="1" x14ac:dyDescent="0.3">
      <c r="A2" s="13" t="s">
        <v>274</v>
      </c>
      <c r="B2" s="13"/>
      <c r="C2" s="13"/>
      <c r="D2" s="13"/>
      <c r="E2" s="13"/>
      <c r="F2" s="13"/>
      <c r="G2" s="13"/>
      <c r="H2" s="13"/>
    </row>
    <row r="3" spans="1:8" ht="27.75" customHeight="1" x14ac:dyDescent="0.3">
      <c r="A3" s="119" t="s">
        <v>275</v>
      </c>
      <c r="B3" s="119"/>
      <c r="C3" s="120" t="s">
        <v>276</v>
      </c>
      <c r="D3" s="120"/>
      <c r="E3" s="121" t="s">
        <v>257</v>
      </c>
      <c r="F3" s="121"/>
      <c r="G3" s="122" t="s">
        <v>277</v>
      </c>
      <c r="H3" s="122"/>
    </row>
    <row r="4" spans="1:8" ht="36" customHeight="1" x14ac:dyDescent="0.3">
      <c r="A4" s="123">
        <f>COUNTIF(G7:G200,"✅ SÍ")</f>
        <v>0</v>
      </c>
      <c r="B4" s="123"/>
      <c r="C4" s="124">
        <f>COUNTIF(G7:G200,"❌ NO")</f>
        <v>0</v>
      </c>
      <c r="D4" s="124"/>
      <c r="E4" s="104">
        <f>IFERROR(COUNTIF(G7:G200,"✅ SÍ")/MAX(1,COUNTA(C7:C200)-COUNTBLANK(C7:C200)),0)</f>
        <v>0</v>
      </c>
      <c r="F4" s="104"/>
      <c r="G4" s="125">
        <f>IFERROR(SUMIF(G7:G200,"❌ NO",F7:F200),0)</f>
        <v>0</v>
      </c>
      <c r="H4" s="125"/>
    </row>
    <row r="5" spans="1:8" ht="19.5" customHeight="1" x14ac:dyDescent="0.3">
      <c r="A5" s="118" t="s">
        <v>278</v>
      </c>
      <c r="B5" s="118"/>
      <c r="C5" s="118"/>
      <c r="D5" s="118"/>
      <c r="E5" s="118"/>
      <c r="F5" s="118"/>
      <c r="G5" s="118"/>
      <c r="H5" s="118"/>
    </row>
    <row r="6" spans="1:8" ht="33.75" customHeight="1" x14ac:dyDescent="0.3">
      <c r="A6" s="34" t="s">
        <v>260</v>
      </c>
      <c r="B6" s="34" t="s">
        <v>261</v>
      </c>
      <c r="C6" s="34" t="s">
        <v>279</v>
      </c>
      <c r="D6" s="34" t="s">
        <v>280</v>
      </c>
      <c r="E6" s="34" t="s">
        <v>281</v>
      </c>
      <c r="F6" s="34" t="s">
        <v>282</v>
      </c>
      <c r="G6" s="34" t="s">
        <v>283</v>
      </c>
      <c r="H6" s="34" t="s">
        <v>272</v>
      </c>
    </row>
    <row r="7" spans="1:8" ht="21.75" customHeight="1" x14ac:dyDescent="0.3">
      <c r="A7" s="54">
        <v>1</v>
      </c>
      <c r="B7" s="56" t="s">
        <v>284</v>
      </c>
      <c r="C7" s="41"/>
      <c r="D7" s="41"/>
      <c r="E7" s="41"/>
      <c r="F7" s="52" t="str">
        <f t="shared" ref="F7:F41" si="0">IFERROR(IF(AND(ISNUMBER(D7),ISNUMBER(E7)),E7-D7,""),"")</f>
        <v/>
      </c>
      <c r="G7" s="57" t="str">
        <f t="shared" ref="G7:G41" si="1">IFERROR(IF(D7="","",IF(E7=D7,"✅ SÍ","❌ NO")),"")</f>
        <v/>
      </c>
      <c r="H7" s="58"/>
    </row>
    <row r="8" spans="1:8" ht="21.75" customHeight="1" x14ac:dyDescent="0.3">
      <c r="A8" s="49">
        <v>2</v>
      </c>
      <c r="B8" s="59" t="s">
        <v>285</v>
      </c>
      <c r="C8" s="37"/>
      <c r="D8" s="37"/>
      <c r="E8" s="37"/>
      <c r="F8" s="52" t="str">
        <f t="shared" si="0"/>
        <v/>
      </c>
      <c r="G8" s="60" t="str">
        <f t="shared" si="1"/>
        <v/>
      </c>
      <c r="H8" s="61"/>
    </row>
    <row r="9" spans="1:8" ht="21.75" customHeight="1" x14ac:dyDescent="0.3">
      <c r="A9" s="54">
        <v>3</v>
      </c>
      <c r="B9" s="56" t="s">
        <v>286</v>
      </c>
      <c r="C9" s="41"/>
      <c r="D9" s="41"/>
      <c r="E9" s="41"/>
      <c r="F9" s="52" t="str">
        <f t="shared" si="0"/>
        <v/>
      </c>
      <c r="G9" s="57" t="str">
        <f t="shared" si="1"/>
        <v/>
      </c>
      <c r="H9" s="58"/>
    </row>
    <row r="10" spans="1:8" ht="21.75" customHeight="1" x14ac:dyDescent="0.3">
      <c r="A10" s="49">
        <v>4</v>
      </c>
      <c r="B10" s="59" t="s">
        <v>287</v>
      </c>
      <c r="C10" s="37"/>
      <c r="D10" s="37"/>
      <c r="E10" s="37"/>
      <c r="F10" s="52" t="str">
        <f t="shared" si="0"/>
        <v/>
      </c>
      <c r="G10" s="60" t="str">
        <f t="shared" si="1"/>
        <v/>
      </c>
      <c r="H10" s="61"/>
    </row>
    <row r="11" spans="1:8" ht="21.75" customHeight="1" x14ac:dyDescent="0.3">
      <c r="A11" s="54">
        <v>5</v>
      </c>
      <c r="B11" s="56" t="s">
        <v>288</v>
      </c>
      <c r="C11" s="41"/>
      <c r="D11" s="41"/>
      <c r="E11" s="41"/>
      <c r="F11" s="52" t="str">
        <f t="shared" si="0"/>
        <v/>
      </c>
      <c r="G11" s="57" t="str">
        <f t="shared" si="1"/>
        <v/>
      </c>
      <c r="H11" s="58"/>
    </row>
    <row r="12" spans="1:8" ht="21.75" customHeight="1" x14ac:dyDescent="0.3">
      <c r="A12" s="49">
        <v>6</v>
      </c>
      <c r="B12" s="59" t="s">
        <v>289</v>
      </c>
      <c r="C12" s="37"/>
      <c r="D12" s="37"/>
      <c r="E12" s="37"/>
      <c r="F12" s="52" t="str">
        <f t="shared" si="0"/>
        <v/>
      </c>
      <c r="G12" s="60" t="str">
        <f t="shared" si="1"/>
        <v/>
      </c>
      <c r="H12" s="61"/>
    </row>
    <row r="13" spans="1:8" ht="21.75" customHeight="1" x14ac:dyDescent="0.3">
      <c r="A13" s="54">
        <v>7</v>
      </c>
      <c r="B13" s="56" t="s">
        <v>290</v>
      </c>
      <c r="C13" s="41"/>
      <c r="D13" s="41"/>
      <c r="E13" s="41"/>
      <c r="F13" s="52" t="str">
        <f t="shared" si="0"/>
        <v/>
      </c>
      <c r="G13" s="57" t="str">
        <f t="shared" si="1"/>
        <v/>
      </c>
      <c r="H13" s="58"/>
    </row>
    <row r="14" spans="1:8" ht="21.75" customHeight="1" x14ac:dyDescent="0.3">
      <c r="A14" s="49">
        <v>8</v>
      </c>
      <c r="B14" s="59" t="s">
        <v>291</v>
      </c>
      <c r="C14" s="37"/>
      <c r="D14" s="37"/>
      <c r="E14" s="37"/>
      <c r="F14" s="52" t="str">
        <f t="shared" si="0"/>
        <v/>
      </c>
      <c r="G14" s="60" t="str">
        <f t="shared" si="1"/>
        <v/>
      </c>
      <c r="H14" s="61"/>
    </row>
    <row r="15" spans="1:8" ht="21.75" customHeight="1" x14ac:dyDescent="0.3">
      <c r="A15" s="54">
        <v>9</v>
      </c>
      <c r="B15" s="56" t="s">
        <v>292</v>
      </c>
      <c r="C15" s="41"/>
      <c r="D15" s="41"/>
      <c r="E15" s="41"/>
      <c r="F15" s="52" t="str">
        <f t="shared" si="0"/>
        <v/>
      </c>
      <c r="G15" s="57" t="str">
        <f t="shared" si="1"/>
        <v/>
      </c>
      <c r="H15" s="58"/>
    </row>
    <row r="16" spans="1:8" ht="21.75" customHeight="1" x14ac:dyDescent="0.3">
      <c r="A16" s="49">
        <v>10</v>
      </c>
      <c r="B16" s="59" t="s">
        <v>293</v>
      </c>
      <c r="C16" s="37"/>
      <c r="D16" s="37"/>
      <c r="E16" s="37"/>
      <c r="F16" s="52" t="str">
        <f t="shared" si="0"/>
        <v/>
      </c>
      <c r="G16" s="60" t="str">
        <f t="shared" si="1"/>
        <v/>
      </c>
      <c r="H16" s="61"/>
    </row>
    <row r="17" spans="1:8" ht="21.75" customHeight="1" x14ac:dyDescent="0.3">
      <c r="A17" s="54">
        <v>11</v>
      </c>
      <c r="B17" s="56" t="s">
        <v>294</v>
      </c>
      <c r="C17" s="41"/>
      <c r="D17" s="41"/>
      <c r="E17" s="41"/>
      <c r="F17" s="52" t="str">
        <f t="shared" si="0"/>
        <v/>
      </c>
      <c r="G17" s="57" t="str">
        <f t="shared" si="1"/>
        <v/>
      </c>
      <c r="H17" s="58"/>
    </row>
    <row r="18" spans="1:8" ht="21.75" customHeight="1" x14ac:dyDescent="0.3">
      <c r="A18" s="49">
        <v>12</v>
      </c>
      <c r="B18" s="59" t="s">
        <v>295</v>
      </c>
      <c r="C18" s="37"/>
      <c r="D18" s="37"/>
      <c r="E18" s="37"/>
      <c r="F18" s="52" t="str">
        <f t="shared" si="0"/>
        <v/>
      </c>
      <c r="G18" s="60" t="str">
        <f t="shared" si="1"/>
        <v/>
      </c>
      <c r="H18" s="61"/>
    </row>
    <row r="19" spans="1:8" ht="21.75" customHeight="1" x14ac:dyDescent="0.3">
      <c r="A19" s="54">
        <v>13</v>
      </c>
      <c r="B19" s="56" t="s">
        <v>296</v>
      </c>
      <c r="C19" s="41"/>
      <c r="D19" s="41"/>
      <c r="E19" s="41"/>
      <c r="F19" s="52" t="str">
        <f t="shared" si="0"/>
        <v/>
      </c>
      <c r="G19" s="57" t="str">
        <f t="shared" si="1"/>
        <v/>
      </c>
      <c r="H19" s="58"/>
    </row>
    <row r="20" spans="1:8" ht="21.75" customHeight="1" x14ac:dyDescent="0.3">
      <c r="A20" s="49">
        <v>14</v>
      </c>
      <c r="B20" s="59" t="s">
        <v>297</v>
      </c>
      <c r="C20" s="37"/>
      <c r="D20" s="37"/>
      <c r="E20" s="37"/>
      <c r="F20" s="52" t="str">
        <f t="shared" si="0"/>
        <v/>
      </c>
      <c r="G20" s="60" t="str">
        <f t="shared" si="1"/>
        <v/>
      </c>
      <c r="H20" s="61"/>
    </row>
    <row r="21" spans="1:8" ht="21.75" customHeight="1" x14ac:dyDescent="0.3">
      <c r="A21" s="54">
        <v>15</v>
      </c>
      <c r="B21" s="56" t="s">
        <v>298</v>
      </c>
      <c r="C21" s="41"/>
      <c r="D21" s="41"/>
      <c r="E21" s="41"/>
      <c r="F21" s="52" t="str">
        <f t="shared" si="0"/>
        <v/>
      </c>
      <c r="G21" s="57" t="str">
        <f t="shared" si="1"/>
        <v/>
      </c>
      <c r="H21" s="58"/>
    </row>
    <row r="22" spans="1:8" ht="21.75" customHeight="1" x14ac:dyDescent="0.3">
      <c r="A22" s="49">
        <v>16</v>
      </c>
      <c r="B22" s="59"/>
      <c r="C22" s="37"/>
      <c r="D22" s="37"/>
      <c r="E22" s="37"/>
      <c r="F22" s="52" t="str">
        <f t="shared" si="0"/>
        <v/>
      </c>
      <c r="G22" s="60" t="str">
        <f t="shared" si="1"/>
        <v/>
      </c>
      <c r="H22" s="61"/>
    </row>
    <row r="23" spans="1:8" ht="21.75" customHeight="1" x14ac:dyDescent="0.3">
      <c r="A23" s="54">
        <v>17</v>
      </c>
      <c r="B23" s="56"/>
      <c r="C23" s="41"/>
      <c r="D23" s="41"/>
      <c r="E23" s="41"/>
      <c r="F23" s="52" t="str">
        <f t="shared" si="0"/>
        <v/>
      </c>
      <c r="G23" s="57" t="str">
        <f t="shared" si="1"/>
        <v/>
      </c>
      <c r="H23" s="58"/>
    </row>
    <row r="24" spans="1:8" ht="21.75" customHeight="1" x14ac:dyDescent="0.3">
      <c r="A24" s="49">
        <v>18</v>
      </c>
      <c r="B24" s="59"/>
      <c r="C24" s="37"/>
      <c r="D24" s="37"/>
      <c r="E24" s="37"/>
      <c r="F24" s="52" t="str">
        <f t="shared" si="0"/>
        <v/>
      </c>
      <c r="G24" s="60" t="str">
        <f t="shared" si="1"/>
        <v/>
      </c>
      <c r="H24" s="61"/>
    </row>
    <row r="25" spans="1:8" ht="21.75" customHeight="1" x14ac:dyDescent="0.3">
      <c r="A25" s="54">
        <v>19</v>
      </c>
      <c r="B25" s="56"/>
      <c r="C25" s="41"/>
      <c r="D25" s="41"/>
      <c r="E25" s="41"/>
      <c r="F25" s="52" t="str">
        <f t="shared" si="0"/>
        <v/>
      </c>
      <c r="G25" s="57" t="str">
        <f t="shared" si="1"/>
        <v/>
      </c>
      <c r="H25" s="58"/>
    </row>
    <row r="26" spans="1:8" ht="21.75" customHeight="1" x14ac:dyDescent="0.3">
      <c r="A26" s="49">
        <v>20</v>
      </c>
      <c r="B26" s="59"/>
      <c r="C26" s="37"/>
      <c r="D26" s="37"/>
      <c r="E26" s="37"/>
      <c r="F26" s="52" t="str">
        <f t="shared" si="0"/>
        <v/>
      </c>
      <c r="G26" s="60" t="str">
        <f t="shared" si="1"/>
        <v/>
      </c>
      <c r="H26" s="61"/>
    </row>
    <row r="27" spans="1:8" ht="21.75" customHeight="1" x14ac:dyDescent="0.3">
      <c r="A27" s="54">
        <v>21</v>
      </c>
      <c r="B27" s="56"/>
      <c r="C27" s="41"/>
      <c r="D27" s="41"/>
      <c r="E27" s="41"/>
      <c r="F27" s="52" t="str">
        <f t="shared" si="0"/>
        <v/>
      </c>
      <c r="G27" s="57" t="str">
        <f t="shared" si="1"/>
        <v/>
      </c>
      <c r="H27" s="58"/>
    </row>
    <row r="28" spans="1:8" ht="21.75" customHeight="1" x14ac:dyDescent="0.3">
      <c r="A28" s="49">
        <v>22</v>
      </c>
      <c r="B28" s="59"/>
      <c r="C28" s="37"/>
      <c r="D28" s="37"/>
      <c r="E28" s="37"/>
      <c r="F28" s="52" t="str">
        <f t="shared" si="0"/>
        <v/>
      </c>
      <c r="G28" s="60" t="str">
        <f t="shared" si="1"/>
        <v/>
      </c>
      <c r="H28" s="61"/>
    </row>
    <row r="29" spans="1:8" ht="21.75" customHeight="1" x14ac:dyDescent="0.3">
      <c r="A29" s="54">
        <v>23</v>
      </c>
      <c r="B29" s="56"/>
      <c r="C29" s="41"/>
      <c r="D29" s="41"/>
      <c r="E29" s="41"/>
      <c r="F29" s="52" t="str">
        <f t="shared" si="0"/>
        <v/>
      </c>
      <c r="G29" s="57" t="str">
        <f t="shared" si="1"/>
        <v/>
      </c>
      <c r="H29" s="58"/>
    </row>
    <row r="30" spans="1:8" ht="21.75" customHeight="1" x14ac:dyDescent="0.3">
      <c r="A30" s="49">
        <v>24</v>
      </c>
      <c r="B30" s="59"/>
      <c r="C30" s="37"/>
      <c r="D30" s="37"/>
      <c r="E30" s="37"/>
      <c r="F30" s="52" t="str">
        <f t="shared" si="0"/>
        <v/>
      </c>
      <c r="G30" s="60" t="str">
        <f t="shared" si="1"/>
        <v/>
      </c>
      <c r="H30" s="61"/>
    </row>
    <row r="31" spans="1:8" ht="21.75" customHeight="1" x14ac:dyDescent="0.3">
      <c r="A31" s="54">
        <v>25</v>
      </c>
      <c r="B31" s="56"/>
      <c r="C31" s="41"/>
      <c r="D31" s="41"/>
      <c r="E31" s="41"/>
      <c r="F31" s="52" t="str">
        <f t="shared" si="0"/>
        <v/>
      </c>
      <c r="G31" s="57" t="str">
        <f t="shared" si="1"/>
        <v/>
      </c>
      <c r="H31" s="58"/>
    </row>
    <row r="32" spans="1:8" ht="21.75" customHeight="1" x14ac:dyDescent="0.3">
      <c r="A32" s="49">
        <v>26</v>
      </c>
      <c r="B32" s="59"/>
      <c r="C32" s="37"/>
      <c r="D32" s="37"/>
      <c r="E32" s="37"/>
      <c r="F32" s="52" t="str">
        <f t="shared" si="0"/>
        <v/>
      </c>
      <c r="G32" s="60" t="str">
        <f t="shared" si="1"/>
        <v/>
      </c>
      <c r="H32" s="61"/>
    </row>
    <row r="33" spans="1:8" ht="21.75" customHeight="1" x14ac:dyDescent="0.3">
      <c r="A33" s="54">
        <v>27</v>
      </c>
      <c r="B33" s="56"/>
      <c r="C33" s="41"/>
      <c r="D33" s="41"/>
      <c r="E33" s="41"/>
      <c r="F33" s="52" t="str">
        <f t="shared" si="0"/>
        <v/>
      </c>
      <c r="G33" s="57" t="str">
        <f t="shared" si="1"/>
        <v/>
      </c>
      <c r="H33" s="58"/>
    </row>
    <row r="34" spans="1:8" ht="21.75" customHeight="1" x14ac:dyDescent="0.3">
      <c r="A34" s="49">
        <v>28</v>
      </c>
      <c r="B34" s="59"/>
      <c r="C34" s="37"/>
      <c r="D34" s="37"/>
      <c r="E34" s="37"/>
      <c r="F34" s="52" t="str">
        <f t="shared" si="0"/>
        <v/>
      </c>
      <c r="G34" s="60" t="str">
        <f t="shared" si="1"/>
        <v/>
      </c>
      <c r="H34" s="61"/>
    </row>
    <row r="35" spans="1:8" ht="21.75" customHeight="1" x14ac:dyDescent="0.3">
      <c r="A35" s="54">
        <v>29</v>
      </c>
      <c r="B35" s="56"/>
      <c r="C35" s="41"/>
      <c r="D35" s="41"/>
      <c r="E35" s="41"/>
      <c r="F35" s="52" t="str">
        <f t="shared" si="0"/>
        <v/>
      </c>
      <c r="G35" s="57" t="str">
        <f t="shared" si="1"/>
        <v/>
      </c>
      <c r="H35" s="58"/>
    </row>
    <row r="36" spans="1:8" ht="21.75" customHeight="1" x14ac:dyDescent="0.3">
      <c r="A36" s="49">
        <v>30</v>
      </c>
      <c r="B36" s="59"/>
      <c r="C36" s="37"/>
      <c r="D36" s="37"/>
      <c r="E36" s="37"/>
      <c r="F36" s="52" t="str">
        <f t="shared" si="0"/>
        <v/>
      </c>
      <c r="G36" s="60" t="str">
        <f t="shared" si="1"/>
        <v/>
      </c>
      <c r="H36" s="61"/>
    </row>
    <row r="37" spans="1:8" ht="21.75" customHeight="1" x14ac:dyDescent="0.3">
      <c r="A37" s="54">
        <v>31</v>
      </c>
      <c r="B37" s="56"/>
      <c r="C37" s="41"/>
      <c r="D37" s="41"/>
      <c r="E37" s="41"/>
      <c r="F37" s="52" t="str">
        <f t="shared" si="0"/>
        <v/>
      </c>
      <c r="G37" s="57" t="str">
        <f t="shared" si="1"/>
        <v/>
      </c>
      <c r="H37" s="58"/>
    </row>
    <row r="38" spans="1:8" ht="21.75" customHeight="1" x14ac:dyDescent="0.3">
      <c r="A38" s="49">
        <v>32</v>
      </c>
      <c r="B38" s="59"/>
      <c r="C38" s="37"/>
      <c r="D38" s="37"/>
      <c r="E38" s="37"/>
      <c r="F38" s="52" t="str">
        <f t="shared" si="0"/>
        <v/>
      </c>
      <c r="G38" s="60" t="str">
        <f t="shared" si="1"/>
        <v/>
      </c>
      <c r="H38" s="61"/>
    </row>
    <row r="39" spans="1:8" ht="21.75" customHeight="1" x14ac:dyDescent="0.3">
      <c r="A39" s="54">
        <v>33</v>
      </c>
      <c r="B39" s="56"/>
      <c r="C39" s="41"/>
      <c r="D39" s="41"/>
      <c r="E39" s="41"/>
      <c r="F39" s="52" t="str">
        <f t="shared" si="0"/>
        <v/>
      </c>
      <c r="G39" s="57" t="str">
        <f t="shared" si="1"/>
        <v/>
      </c>
      <c r="H39" s="58"/>
    </row>
    <row r="40" spans="1:8" ht="21.75" customHeight="1" x14ac:dyDescent="0.3">
      <c r="A40" s="49">
        <v>34</v>
      </c>
      <c r="B40" s="59"/>
      <c r="C40" s="37"/>
      <c r="D40" s="37"/>
      <c r="E40" s="37"/>
      <c r="F40" s="52" t="str">
        <f t="shared" si="0"/>
        <v/>
      </c>
      <c r="G40" s="60" t="str">
        <f t="shared" si="1"/>
        <v/>
      </c>
      <c r="H40" s="61"/>
    </row>
    <row r="41" spans="1:8" ht="21.75" customHeight="1" x14ac:dyDescent="0.3">
      <c r="A41" s="54">
        <v>35</v>
      </c>
      <c r="B41" s="56"/>
      <c r="C41" s="41"/>
      <c r="D41" s="41"/>
      <c r="E41" s="41"/>
      <c r="F41" s="52" t="str">
        <f t="shared" si="0"/>
        <v/>
      </c>
      <c r="G41" s="57" t="str">
        <f t="shared" si="1"/>
        <v/>
      </c>
      <c r="H41" s="58"/>
    </row>
    <row r="44" spans="1:8" ht="24.75" customHeight="1" x14ac:dyDescent="0.3">
      <c r="A44" s="74"/>
      <c r="B44" s="74"/>
      <c r="C44" s="74"/>
      <c r="D44" s="74"/>
      <c r="E44" s="74"/>
      <c r="F44" s="74"/>
      <c r="G44" s="74"/>
      <c r="H44" s="74"/>
    </row>
  </sheetData>
  <mergeCells count="12">
    <mergeCell ref="A44:H44"/>
    <mergeCell ref="A4:B4"/>
    <mergeCell ref="C4:D4"/>
    <mergeCell ref="E4:F4"/>
    <mergeCell ref="G4:H4"/>
    <mergeCell ref="A5:H5"/>
    <mergeCell ref="A1:H1"/>
    <mergeCell ref="A2:H2"/>
    <mergeCell ref="A3:B3"/>
    <mergeCell ref="C3:D3"/>
    <mergeCell ref="E3:F3"/>
    <mergeCell ref="G3:H3"/>
  </mergeCells>
  <conditionalFormatting sqref="G7:G200">
    <cfRule type="containsText" dxfId="20" priority="2" operator="containsText" text="SÍ">
      <formula>NOT(ISERROR(SEARCH("SÍ",G7)))</formula>
    </cfRule>
    <cfRule type="containsText" dxfId="19" priority="3" operator="containsText" text="NO">
      <formula>NOT(ISERROR(SEARCH("NO",G7)))</formula>
    </cfRule>
    <cfRule type="containsText" dxfId="18" priority="4" operator="containsText" text="N/A">
      <formula>NOT(ISERROR(SEARCH("N/A",G7)))</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4"/>
  <sheetViews>
    <sheetView showGridLines="0" zoomScaleNormal="100" workbookViewId="0">
      <pane ySplit="6" topLeftCell="A27" activePane="bottomLeft" state="frozen"/>
      <selection pane="bottomLeft" activeCell="A34" sqref="A34:G34"/>
    </sheetView>
  </sheetViews>
  <sheetFormatPr baseColWidth="10" defaultColWidth="8.6640625" defaultRowHeight="14.4" x14ac:dyDescent="0.3"/>
  <cols>
    <col min="1" max="1" width="5" customWidth="1"/>
    <col min="2" max="2" width="20" customWidth="1"/>
    <col min="3" max="3" width="42" customWidth="1"/>
    <col min="4" max="4" width="14" customWidth="1"/>
    <col min="5" max="5" width="16" customWidth="1"/>
    <col min="6" max="7" width="35" customWidth="1"/>
  </cols>
  <sheetData>
    <row r="1" spans="1:7" ht="36" customHeight="1" x14ac:dyDescent="0.3">
      <c r="A1" s="126" t="s">
        <v>299</v>
      </c>
      <c r="B1" s="126"/>
      <c r="C1" s="126"/>
      <c r="D1" s="126"/>
      <c r="E1" s="126"/>
      <c r="F1" s="126"/>
      <c r="G1" s="126"/>
    </row>
    <row r="2" spans="1:7" ht="19.5" customHeight="1" x14ac:dyDescent="0.3">
      <c r="A2" s="127" t="s">
        <v>300</v>
      </c>
      <c r="B2" s="127"/>
      <c r="C2" s="127"/>
      <c r="D2" s="127"/>
      <c r="E2" s="127"/>
      <c r="F2" s="127"/>
      <c r="G2" s="127"/>
    </row>
    <row r="3" spans="1:7" ht="27.75" customHeight="1" x14ac:dyDescent="0.3">
      <c r="A3" s="120" t="s">
        <v>301</v>
      </c>
      <c r="B3" s="120"/>
      <c r="C3" s="120" t="s">
        <v>302</v>
      </c>
      <c r="D3" s="120"/>
      <c r="E3" s="119" t="s">
        <v>303</v>
      </c>
      <c r="F3" s="119"/>
      <c r="G3" s="62" t="s">
        <v>304</v>
      </c>
    </row>
    <row r="4" spans="1:7" ht="36" customHeight="1" x14ac:dyDescent="0.3">
      <c r="A4" s="124">
        <f>COUNTA(B7:B100)-COUNTBLANK(B7:B100)</f>
        <v>-94</v>
      </c>
      <c r="B4" s="124"/>
      <c r="C4" s="124">
        <f>COUNTIF(E7:E100,"Activa")</f>
        <v>0</v>
      </c>
      <c r="D4" s="124"/>
      <c r="E4" s="123">
        <f>COUNTIF(E7:E100,"Levantada")</f>
        <v>0</v>
      </c>
      <c r="F4" s="123"/>
      <c r="G4" s="63">
        <f>COUNTIF(E7:E100,"En Apelación")</f>
        <v>0</v>
      </c>
    </row>
    <row r="5" spans="1:7" ht="7.5" customHeight="1" x14ac:dyDescent="0.3"/>
    <row r="6" spans="1:7" ht="33.75" customHeight="1" x14ac:dyDescent="0.3">
      <c r="A6" s="64" t="s">
        <v>260</v>
      </c>
      <c r="B6" s="64" t="s">
        <v>305</v>
      </c>
      <c r="C6" s="64" t="s">
        <v>306</v>
      </c>
      <c r="D6" s="64" t="s">
        <v>307</v>
      </c>
      <c r="E6" s="64" t="s">
        <v>109</v>
      </c>
      <c r="F6" s="64" t="s">
        <v>272</v>
      </c>
      <c r="G6" s="64" t="s">
        <v>308</v>
      </c>
    </row>
    <row r="7" spans="1:7" ht="21.75" customHeight="1" x14ac:dyDescent="0.3">
      <c r="A7" s="65">
        <v>1</v>
      </c>
      <c r="B7" s="66"/>
      <c r="C7" s="66"/>
      <c r="D7" s="66"/>
      <c r="E7" s="66"/>
      <c r="F7" s="66"/>
      <c r="G7" s="66"/>
    </row>
    <row r="8" spans="1:7" ht="21.75" customHeight="1" x14ac:dyDescent="0.3">
      <c r="A8" s="67">
        <v>2</v>
      </c>
      <c r="B8" s="36"/>
      <c r="C8" s="36"/>
      <c r="D8" s="36"/>
      <c r="E8" s="36"/>
      <c r="F8" s="36"/>
      <c r="G8" s="36"/>
    </row>
    <row r="9" spans="1:7" ht="21.75" customHeight="1" x14ac:dyDescent="0.3">
      <c r="A9" s="65">
        <v>3</v>
      </c>
      <c r="B9" s="66"/>
      <c r="C9" s="66"/>
      <c r="D9" s="66"/>
      <c r="E9" s="66"/>
      <c r="F9" s="66"/>
      <c r="G9" s="66"/>
    </row>
    <row r="10" spans="1:7" ht="21.75" customHeight="1" x14ac:dyDescent="0.3">
      <c r="A10" s="67">
        <v>4</v>
      </c>
      <c r="B10" s="36"/>
      <c r="C10" s="36"/>
      <c r="D10" s="36"/>
      <c r="E10" s="36"/>
      <c r="F10" s="36"/>
      <c r="G10" s="36"/>
    </row>
    <row r="11" spans="1:7" ht="21.75" customHeight="1" x14ac:dyDescent="0.3">
      <c r="A11" s="65">
        <v>5</v>
      </c>
      <c r="B11" s="66"/>
      <c r="C11" s="66"/>
      <c r="D11" s="66"/>
      <c r="E11" s="66"/>
      <c r="F11" s="66"/>
      <c r="G11" s="66"/>
    </row>
    <row r="12" spans="1:7" ht="21.75" customHeight="1" x14ac:dyDescent="0.3">
      <c r="A12" s="67">
        <v>6</v>
      </c>
      <c r="B12" s="36"/>
      <c r="C12" s="36"/>
      <c r="D12" s="36"/>
      <c r="E12" s="36"/>
      <c r="F12" s="36"/>
      <c r="G12" s="36"/>
    </row>
    <row r="13" spans="1:7" ht="21.75" customHeight="1" x14ac:dyDescent="0.3">
      <c r="A13" s="65">
        <v>7</v>
      </c>
      <c r="B13" s="66"/>
      <c r="C13" s="66"/>
      <c r="D13" s="66"/>
      <c r="E13" s="66"/>
      <c r="F13" s="66"/>
      <c r="G13" s="66"/>
    </row>
    <row r="14" spans="1:7" ht="21.75" customHeight="1" x14ac:dyDescent="0.3">
      <c r="A14" s="67">
        <v>8</v>
      </c>
      <c r="B14" s="36"/>
      <c r="C14" s="36"/>
      <c r="D14" s="36"/>
      <c r="E14" s="36"/>
      <c r="F14" s="36"/>
      <c r="G14" s="36"/>
    </row>
    <row r="15" spans="1:7" ht="21.75" customHeight="1" x14ac:dyDescent="0.3">
      <c r="A15" s="65">
        <v>9</v>
      </c>
      <c r="B15" s="66"/>
      <c r="C15" s="66"/>
      <c r="D15" s="66"/>
      <c r="E15" s="66"/>
      <c r="F15" s="66"/>
      <c r="G15" s="66"/>
    </row>
    <row r="16" spans="1:7" ht="21.75" customHeight="1" x14ac:dyDescent="0.3">
      <c r="A16" s="67">
        <v>10</v>
      </c>
      <c r="B16" s="36"/>
      <c r="C16" s="36"/>
      <c r="D16" s="36"/>
      <c r="E16" s="36"/>
      <c r="F16" s="36"/>
      <c r="G16" s="36"/>
    </row>
    <row r="17" spans="1:7" ht="21.75" customHeight="1" x14ac:dyDescent="0.3">
      <c r="A17" s="65">
        <v>11</v>
      </c>
      <c r="B17" s="66"/>
      <c r="C17" s="66"/>
      <c r="D17" s="66"/>
      <c r="E17" s="66"/>
      <c r="F17" s="66"/>
      <c r="G17" s="66"/>
    </row>
    <row r="18" spans="1:7" ht="21.75" customHeight="1" x14ac:dyDescent="0.3">
      <c r="A18" s="67">
        <v>12</v>
      </c>
      <c r="B18" s="36"/>
      <c r="C18" s="36"/>
      <c r="D18" s="36"/>
      <c r="E18" s="36"/>
      <c r="F18" s="36"/>
      <c r="G18" s="36"/>
    </row>
    <row r="19" spans="1:7" ht="21.75" customHeight="1" x14ac:dyDescent="0.3">
      <c r="A19" s="65">
        <v>13</v>
      </c>
      <c r="B19" s="66"/>
      <c r="C19" s="66"/>
      <c r="D19" s="66"/>
      <c r="E19" s="66"/>
      <c r="F19" s="66"/>
      <c r="G19" s="66"/>
    </row>
    <row r="20" spans="1:7" ht="21.75" customHeight="1" x14ac:dyDescent="0.3">
      <c r="A20" s="67">
        <v>14</v>
      </c>
      <c r="B20" s="36"/>
      <c r="C20" s="36"/>
      <c r="D20" s="36"/>
      <c r="E20" s="36"/>
      <c r="F20" s="36"/>
      <c r="G20" s="36"/>
    </row>
    <row r="21" spans="1:7" ht="21.75" customHeight="1" x14ac:dyDescent="0.3">
      <c r="A21" s="65">
        <v>15</v>
      </c>
      <c r="B21" s="66"/>
      <c r="C21" s="66"/>
      <c r="D21" s="66"/>
      <c r="E21" s="66"/>
      <c r="F21" s="66"/>
      <c r="G21" s="66"/>
    </row>
    <row r="22" spans="1:7" ht="21.75" customHeight="1" x14ac:dyDescent="0.3">
      <c r="A22" s="67">
        <v>16</v>
      </c>
      <c r="B22" s="36"/>
      <c r="C22" s="36"/>
      <c r="D22" s="36"/>
      <c r="E22" s="36"/>
      <c r="F22" s="36"/>
      <c r="G22" s="36"/>
    </row>
    <row r="23" spans="1:7" ht="21.75" customHeight="1" x14ac:dyDescent="0.3">
      <c r="A23" s="65">
        <v>17</v>
      </c>
      <c r="B23" s="66"/>
      <c r="C23" s="66"/>
      <c r="D23" s="66"/>
      <c r="E23" s="66"/>
      <c r="F23" s="66"/>
      <c r="G23" s="66"/>
    </row>
    <row r="24" spans="1:7" ht="21.75" customHeight="1" x14ac:dyDescent="0.3">
      <c r="A24" s="67">
        <v>18</v>
      </c>
      <c r="B24" s="36"/>
      <c r="C24" s="36"/>
      <c r="D24" s="36"/>
      <c r="E24" s="36"/>
      <c r="F24" s="36"/>
      <c r="G24" s="36"/>
    </row>
    <row r="25" spans="1:7" ht="21.75" customHeight="1" x14ac:dyDescent="0.3">
      <c r="A25" s="65">
        <v>19</v>
      </c>
      <c r="B25" s="66"/>
      <c r="C25" s="66"/>
      <c r="D25" s="66"/>
      <c r="E25" s="66"/>
      <c r="F25" s="66"/>
      <c r="G25" s="66"/>
    </row>
    <row r="26" spans="1:7" ht="21.75" customHeight="1" x14ac:dyDescent="0.3">
      <c r="A26" s="67">
        <v>20</v>
      </c>
      <c r="B26" s="36"/>
      <c r="C26" s="36"/>
      <c r="D26" s="36"/>
      <c r="E26" s="36"/>
      <c r="F26" s="36"/>
      <c r="G26" s="36"/>
    </row>
    <row r="27" spans="1:7" ht="21.75" customHeight="1" x14ac:dyDescent="0.3">
      <c r="A27" s="65">
        <v>21</v>
      </c>
      <c r="B27" s="66"/>
      <c r="C27" s="66"/>
      <c r="D27" s="66"/>
      <c r="E27" s="66"/>
      <c r="F27" s="66"/>
      <c r="G27" s="66"/>
    </row>
    <row r="28" spans="1:7" ht="21.75" customHeight="1" x14ac:dyDescent="0.3">
      <c r="A28" s="67">
        <v>22</v>
      </c>
      <c r="B28" s="36"/>
      <c r="C28" s="36"/>
      <c r="D28" s="36"/>
      <c r="E28" s="36"/>
      <c r="F28" s="36"/>
      <c r="G28" s="36"/>
    </row>
    <row r="29" spans="1:7" ht="21.75" customHeight="1" x14ac:dyDescent="0.3">
      <c r="A29" s="65">
        <v>23</v>
      </c>
      <c r="B29" s="66"/>
      <c r="C29" s="66"/>
      <c r="D29" s="66"/>
      <c r="E29" s="66"/>
      <c r="F29" s="66"/>
      <c r="G29" s="66"/>
    </row>
    <row r="30" spans="1:7" ht="21.75" customHeight="1" x14ac:dyDescent="0.3">
      <c r="A30" s="67">
        <v>24</v>
      </c>
      <c r="B30" s="36"/>
      <c r="C30" s="36"/>
      <c r="D30" s="36"/>
      <c r="E30" s="36"/>
      <c r="F30" s="36"/>
      <c r="G30" s="36"/>
    </row>
    <row r="31" spans="1:7" ht="21.75" customHeight="1" x14ac:dyDescent="0.3">
      <c r="A31" s="65">
        <v>25</v>
      </c>
      <c r="B31" s="66"/>
      <c r="C31" s="66"/>
      <c r="D31" s="66"/>
      <c r="E31" s="66"/>
      <c r="F31" s="66"/>
      <c r="G31" s="66"/>
    </row>
    <row r="34" spans="1:7" ht="24.75" customHeight="1" x14ac:dyDescent="0.3">
      <c r="A34" s="74"/>
      <c r="B34" s="74"/>
      <c r="C34" s="74"/>
      <c r="D34" s="74"/>
      <c r="E34" s="74"/>
      <c r="F34" s="74"/>
      <c r="G34" s="74"/>
    </row>
  </sheetData>
  <mergeCells count="9">
    <mergeCell ref="A4:B4"/>
    <mergeCell ref="C4:D4"/>
    <mergeCell ref="E4:F4"/>
    <mergeCell ref="A34:G34"/>
    <mergeCell ref="A1:G1"/>
    <mergeCell ref="A2:G2"/>
    <mergeCell ref="A3:B3"/>
    <mergeCell ref="C3:D3"/>
    <mergeCell ref="E3:F3"/>
  </mergeCells>
  <conditionalFormatting sqref="E7:E100">
    <cfRule type="containsText" dxfId="17" priority="2" operator="containsText" text="Activa">
      <formula>NOT(ISERROR(SEARCH("Activa",E7)))</formula>
    </cfRule>
    <cfRule type="containsText" dxfId="16" priority="3" operator="containsText" text="Levantada">
      <formula>NOT(ISERROR(SEARCH("Levantada",E7)))</formula>
    </cfRule>
    <cfRule type="containsText" dxfId="15" priority="4" operator="containsText" text="En Apelación">
      <formula>NOT(ISERROR(SEARCH("En Apelación",E7)))</formula>
    </cfRule>
    <cfRule type="containsText" dxfId="14" priority="5" operator="containsText" text="Cumplida">
      <formula>NOT(ISERROR(SEARCH("Cumplida",E7)))</formula>
    </cfRule>
  </conditionalFormatting>
  <dataValidations count="2">
    <dataValidation type="list" sqref="B7:B100" xr:uid="{00000000-0002-0000-0500-000000000000}">
      <formula1>"Medida de Seguridad,Sanción Pecuniaria,Suspensión,Clausura,Otra"</formula1>
      <formula2>0</formula2>
    </dataValidation>
    <dataValidation type="list" sqref="E7:E100" xr:uid="{00000000-0002-0000-0500-000001000000}">
      <formula1>"Activa,Levantada,En Apelación,Cumplida,Prescrita"</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63"/>
  <sheetViews>
    <sheetView showGridLines="0" zoomScaleNormal="100" workbookViewId="0">
      <selection sqref="A1:N1"/>
    </sheetView>
  </sheetViews>
  <sheetFormatPr baseColWidth="10" defaultColWidth="8.6640625" defaultRowHeight="14.4" x14ac:dyDescent="0.3"/>
  <cols>
    <col min="1" max="1" width="10.5546875" customWidth="1"/>
    <col min="2" max="2" width="20" customWidth="1"/>
    <col min="3" max="3" width="35" customWidth="1"/>
    <col min="4" max="4" width="10.5546875" customWidth="1"/>
    <col min="5" max="5" width="28" customWidth="1"/>
    <col min="6" max="8" width="10.5546875" customWidth="1"/>
    <col min="9" max="9" width="30" customWidth="1"/>
    <col min="10" max="13" width="10.5546875" customWidth="1"/>
    <col min="14" max="14" width="25" customWidth="1"/>
  </cols>
  <sheetData>
    <row r="1" spans="1:14" ht="42" customHeight="1" x14ac:dyDescent="0.3">
      <c r="A1" s="75" t="s">
        <v>309</v>
      </c>
      <c r="B1" s="75"/>
      <c r="C1" s="75"/>
      <c r="D1" s="75"/>
      <c r="E1" s="75"/>
      <c r="F1" s="75"/>
      <c r="G1" s="75"/>
      <c r="H1" s="75"/>
      <c r="I1" s="75"/>
      <c r="J1" s="75"/>
      <c r="K1" s="75"/>
      <c r="L1" s="75"/>
      <c r="M1" s="75"/>
      <c r="N1" s="75"/>
    </row>
    <row r="2" spans="1:14" ht="21.75" customHeight="1" x14ac:dyDescent="0.3">
      <c r="A2" s="13" t="s">
        <v>310</v>
      </c>
      <c r="B2" s="13"/>
      <c r="C2" s="13"/>
      <c r="D2" s="13"/>
      <c r="E2" s="13"/>
      <c r="F2" s="13"/>
      <c r="G2" s="13"/>
      <c r="H2" s="13"/>
      <c r="I2" s="13"/>
      <c r="J2" s="13"/>
      <c r="K2" s="13"/>
      <c r="L2" s="13"/>
      <c r="M2" s="13"/>
      <c r="N2" s="13"/>
    </row>
    <row r="3" spans="1:14" ht="9.75" customHeight="1" x14ac:dyDescent="0.3"/>
    <row r="4" spans="1:14" ht="30" customHeight="1" x14ac:dyDescent="0.3">
      <c r="A4" s="128" t="s">
        <v>311</v>
      </c>
      <c r="B4" s="128"/>
      <c r="C4" s="129" t="s">
        <v>101</v>
      </c>
      <c r="D4" s="129"/>
      <c r="E4" s="130" t="s">
        <v>21</v>
      </c>
      <c r="F4" s="130"/>
      <c r="G4" s="131" t="s">
        <v>312</v>
      </c>
      <c r="H4" s="131"/>
      <c r="I4" s="132" t="s">
        <v>24</v>
      </c>
      <c r="J4" s="132"/>
      <c r="K4" s="133" t="s">
        <v>313</v>
      </c>
      <c r="L4" s="133"/>
      <c r="M4" s="131" t="s">
        <v>314</v>
      </c>
      <c r="N4" s="131"/>
    </row>
    <row r="5" spans="1:14" ht="48" customHeight="1" x14ac:dyDescent="0.3">
      <c r="A5" s="134">
        <f>COUNTA('📄 MATRIZ DOCUMENTAL'!C8:C500)-COUNTBLANK('📄 MATRIZ DOCUMENTAL'!C8:C500)</f>
        <v>-277</v>
      </c>
      <c r="B5" s="134"/>
      <c r="C5" s="135">
        <f>COUNTIF('📄 MATRIZ DOCUMENTAL'!E8:E500,"✅ CARGADO")</f>
        <v>0</v>
      </c>
      <c r="D5" s="135"/>
      <c r="E5" s="136">
        <f>COUNTIF('📄 MATRIZ DOCUMENTAL'!E8:E500,"⏳ EN PROCESO")</f>
        <v>108</v>
      </c>
      <c r="F5" s="136"/>
      <c r="G5" s="137">
        <f>COUNTIF('📄 MATRIZ DOCUMENTAL'!E8:E500,"❌ NO REALIZADO")</f>
        <v>0</v>
      </c>
      <c r="H5" s="137"/>
      <c r="I5" s="138">
        <f>COUNTIF('📄 MATRIZ DOCUMENTAL'!E8:E500,"⚪ NO APLICA")</f>
        <v>0</v>
      </c>
      <c r="J5" s="138"/>
      <c r="K5" s="139">
        <f>IFERROR(COUNTIF('📄 MATRIZ DOCUMENTAL'!E8:E500,"✅ CARGADO")/MAX(1,COUNTA('📄 MATRIZ DOCUMENTAL'!C8:C500)-COUNTBLANK('📄 MATRIZ DOCUMENTAL'!C8:C500)),0)</f>
        <v>0</v>
      </c>
      <c r="L5" s="139"/>
      <c r="M5" s="137">
        <f>COUNTIF(H20:H100,"Abierto")</f>
        <v>0</v>
      </c>
      <c r="N5" s="137"/>
    </row>
    <row r="6" spans="1:14" ht="7.5" customHeight="1" x14ac:dyDescent="0.3"/>
    <row r="7" spans="1:14" ht="24" customHeight="1" x14ac:dyDescent="0.3">
      <c r="A7" s="140" t="s">
        <v>315</v>
      </c>
      <c r="B7" s="140"/>
      <c r="C7" s="140"/>
      <c r="D7" s="140"/>
      <c r="E7" s="140"/>
      <c r="F7" s="140"/>
      <c r="G7" s="140"/>
      <c r="H7" s="140"/>
      <c r="I7" s="140"/>
      <c r="J7" s="140"/>
      <c r="K7" s="140"/>
      <c r="L7" s="140"/>
      <c r="M7" s="140"/>
      <c r="N7" s="140"/>
    </row>
    <row r="8" spans="1:14" ht="25.5" customHeight="1" x14ac:dyDescent="0.3">
      <c r="A8" s="141" t="s">
        <v>316</v>
      </c>
      <c r="B8" s="141"/>
      <c r="C8" s="141"/>
      <c r="D8" s="141"/>
      <c r="E8" s="141"/>
      <c r="F8" s="141"/>
      <c r="G8" s="141"/>
      <c r="H8" s="141"/>
      <c r="I8" s="142">
        <f>IFERROR(COUNTIF('📄 MATRIZ DOCUMENTAL'!E8:E500,"✅ CARGADO")/MAX(1,COUNTA('📄 MATRIZ DOCUMENTAL'!C8:C500)-COUNTBLANK('📄 MATRIZ DOCUMENTAL'!C8:C500)),0)</f>
        <v>0</v>
      </c>
      <c r="J8" s="142"/>
      <c r="K8" s="142"/>
      <c r="L8" s="143">
        <f>IFERROR(COUNTIF('📄 MATRIZ DOCUMENTAL'!E8:E500,"✅ CARGADO")/MAX(1,COUNTA('📄 MATRIZ DOCUMENTAL'!C8:C500)-COUNTBLANK('📄 MATRIZ DOCUMENTAL'!C8:C500)),0)</f>
        <v>0</v>
      </c>
      <c r="M8" s="143"/>
      <c r="N8" s="143"/>
    </row>
    <row r="9" spans="1:14" ht="25.5" customHeight="1" x14ac:dyDescent="0.3">
      <c r="A9" s="144" t="s">
        <v>317</v>
      </c>
      <c r="B9" s="144"/>
      <c r="C9" s="144"/>
      <c r="D9" s="144"/>
      <c r="E9" s="144"/>
      <c r="F9" s="144"/>
      <c r="G9" s="144"/>
      <c r="H9" s="144"/>
      <c r="I9" s="142">
        <f>IFERROR(COUNTIF('📄 MATRIZ DOCUMENTAL'!E8:E500,"⏳ EN PROCESO")/MAX(1,COUNTA('📄 MATRIZ DOCUMENTAL'!C8:C500)-COUNTBLANK('📄 MATRIZ DOCUMENTAL'!C8:C500)),0)</f>
        <v>108</v>
      </c>
      <c r="J9" s="142"/>
      <c r="K9" s="142"/>
      <c r="L9" s="145">
        <f>IFERROR(COUNTIF('📄 MATRIZ DOCUMENTAL'!E8:E500,"⏳ EN PROCESO")/MAX(1,COUNTA('📄 MATRIZ DOCUMENTAL'!C8:C500)-COUNTBLANK('📄 MATRIZ DOCUMENTAL'!C8:C500)),0)</f>
        <v>108</v>
      </c>
      <c r="M9" s="145"/>
      <c r="N9" s="145"/>
    </row>
    <row r="10" spans="1:14" ht="25.5" customHeight="1" x14ac:dyDescent="0.3">
      <c r="A10" s="141" t="s">
        <v>318</v>
      </c>
      <c r="B10" s="141"/>
      <c r="C10" s="141"/>
      <c r="D10" s="141"/>
      <c r="E10" s="141"/>
      <c r="F10" s="141"/>
      <c r="G10" s="141"/>
      <c r="H10" s="141"/>
      <c r="I10" s="142">
        <f>IFERROR(COUNTIF('📄 MATRIZ DOCUMENTAL'!E8:E500,"❌ NO REALIZADO")/MAX(1,COUNTA('📄 MATRIZ DOCUMENTAL'!C8:C500)-COUNTBLANK('📄 MATRIZ DOCUMENTAL'!C8:C500)),0)</f>
        <v>0</v>
      </c>
      <c r="J10" s="142"/>
      <c r="K10" s="142"/>
      <c r="L10" s="143">
        <f>IFERROR(COUNTIF('📄 MATRIZ DOCUMENTAL'!E8:E500,"❌ NO REALIZADO")/MAX(1,COUNTA('📄 MATRIZ DOCUMENTAL'!C8:C500)-COUNTBLANK('📄 MATRIZ DOCUMENTAL'!C8:C500)),0)</f>
        <v>0</v>
      </c>
      <c r="M10" s="143"/>
      <c r="N10" s="143"/>
    </row>
    <row r="11" spans="1:14" ht="25.5" customHeight="1" x14ac:dyDescent="0.3">
      <c r="A11" s="144" t="s">
        <v>319</v>
      </c>
      <c r="B11" s="144"/>
      <c r="C11" s="144"/>
      <c r="D11" s="144"/>
      <c r="E11" s="144"/>
      <c r="F11" s="144"/>
      <c r="G11" s="144"/>
      <c r="H11" s="144"/>
      <c r="I11" s="142">
        <f>IFERROR(COUNTIF('📄 MATRIZ DOCUMENTAL'!J8:J500,"✅ SÍ")/MAX(1,COUNTA('📄 MATRIZ DOCUMENTAL'!C8:C500)-COUNTBLANK('📄 MATRIZ DOCUMENTAL'!C8:C500)),0)</f>
        <v>0</v>
      </c>
      <c r="J11" s="142"/>
      <c r="K11" s="142"/>
      <c r="L11" s="145">
        <f>IFERROR(COUNTIF('📄 MATRIZ DOCUMENTAL'!J8:J500,"✅ SÍ")/MAX(1,COUNTA('📄 MATRIZ DOCUMENTAL'!C8:C500)-COUNTBLANK('📄 MATRIZ DOCUMENTAL'!C8:C500)),0)</f>
        <v>0</v>
      </c>
      <c r="M11" s="145"/>
      <c r="N11" s="145"/>
    </row>
    <row r="12" spans="1:14" ht="25.5" customHeight="1" x14ac:dyDescent="0.3">
      <c r="A12" s="141" t="s">
        <v>320</v>
      </c>
      <c r="B12" s="141"/>
      <c r="C12" s="141"/>
      <c r="D12" s="141"/>
      <c r="E12" s="141"/>
      <c r="F12" s="141"/>
      <c r="G12" s="141"/>
      <c r="H12" s="141"/>
      <c r="I12" s="142">
        <f>IFERROR(COUNTIF('⚕ REPS – Servicios'!K9:K300,"✅ SÍ")/MAX(1,COUNTA('⚕ REPS – Servicios'!C9:C300)-COUNTBLANK('⚕ REPS – Servicios'!C9:C300)),0)</f>
        <v>0</v>
      </c>
      <c r="J12" s="142"/>
      <c r="K12" s="142"/>
      <c r="L12" s="143">
        <f>IFERROR(COUNTIF('⚕ REPS – Servicios'!K9:K300,"✅ SÍ")/MAX(1,COUNTA('⚕ REPS – Servicios'!C9:C300)-COUNTBLANK('⚕ REPS – Servicios'!C9:C300)),0)</f>
        <v>0</v>
      </c>
      <c r="M12" s="143"/>
      <c r="N12" s="143"/>
    </row>
    <row r="13" spans="1:14" ht="25.5" customHeight="1" x14ac:dyDescent="0.3">
      <c r="A13" s="144" t="s">
        <v>321</v>
      </c>
      <c r="B13" s="144"/>
      <c r="C13" s="144"/>
      <c r="D13" s="144"/>
      <c r="E13" s="144"/>
      <c r="F13" s="144"/>
      <c r="G13" s="144"/>
      <c r="H13" s="144"/>
      <c r="I13" s="142">
        <f>IFERROR(COUNTIF('⚕ REPS – Servicios'!L9:L300,"✅ SÍ")/MAX(1,COUNTA('⚕ REPS – Servicios'!C9:C300)-COUNTBLANK('⚕ REPS – Servicios'!C9:C300)),0)</f>
        <v>0</v>
      </c>
      <c r="J13" s="142"/>
      <c r="K13" s="142"/>
      <c r="L13" s="145">
        <f>IFERROR(COUNTIF('⚕ REPS – Servicios'!L9:L300,"✅ SÍ")/MAX(1,COUNTA('⚕ REPS – Servicios'!C9:C300)-COUNTBLANK('⚕ REPS – Servicios'!C9:C300)),0)</f>
        <v>0</v>
      </c>
      <c r="M13" s="145"/>
      <c r="N13" s="145"/>
    </row>
    <row r="14" spans="1:14" ht="25.5" customHeight="1" x14ac:dyDescent="0.3">
      <c r="A14" s="141" t="s">
        <v>322</v>
      </c>
      <c r="B14" s="141"/>
      <c r="C14" s="141"/>
      <c r="D14" s="141"/>
      <c r="E14" s="141"/>
      <c r="F14" s="141"/>
      <c r="G14" s="141"/>
      <c r="H14" s="141"/>
      <c r="I14" s="142">
        <f>IFERROR(COUNTIF('🏗 REPS – Capacidad'!G7:G200,"✅ SÍ")/MAX(1,COUNTA('🏗 REPS – Capacidad'!C7:C200)-COUNTBLANK('🏗 REPS – Capacidad'!C7:C200)),0)</f>
        <v>0</v>
      </c>
      <c r="J14" s="142"/>
      <c r="K14" s="142"/>
      <c r="L14" s="143">
        <f>IFERROR(COUNTIF('🏗 REPS – Capacidad'!G7:G200,"✅ SÍ")/MAX(1,COUNTA('🏗 REPS – Capacidad'!C7:C200)-COUNTBLANK('🏗 REPS – Capacidad'!C7:C200)),0)</f>
        <v>0</v>
      </c>
      <c r="M14" s="143"/>
      <c r="N14" s="143"/>
    </row>
    <row r="15" spans="1:14" ht="25.5" customHeight="1" x14ac:dyDescent="0.3">
      <c r="A15" s="144" t="s">
        <v>323</v>
      </c>
      <c r="B15" s="144"/>
      <c r="C15" s="144"/>
      <c r="D15" s="144"/>
      <c r="E15" s="144"/>
      <c r="F15" s="144"/>
      <c r="G15" s="144"/>
      <c r="H15" s="144"/>
      <c r="I15" s="142">
        <f>IFERROR(COUNTIF('⚠ REPS – Sanciones'!E7:E100,"Activa")/MAX(1,COUNTA('⚠ REPS – Sanciones'!B7:B100)-COUNTBLANK('⚠ REPS – Sanciones'!B7:B100)),0)</f>
        <v>0</v>
      </c>
      <c r="J15" s="142"/>
      <c r="K15" s="142"/>
      <c r="L15" s="145">
        <f>IFERROR(COUNTIF('⚠ REPS – Sanciones'!E7:E100,"Activa")/MAX(1,COUNTA('⚠ REPS – Sanciones'!B7:B100)-COUNTBLANK('⚠ REPS – Sanciones'!B7:B100)),0)</f>
        <v>0</v>
      </c>
      <c r="M15" s="145"/>
      <c r="N15" s="145"/>
    </row>
    <row r="17" spans="1:14" ht="25.5" customHeight="1" x14ac:dyDescent="0.3">
      <c r="A17" s="146" t="s">
        <v>324</v>
      </c>
      <c r="B17" s="146"/>
      <c r="C17" s="146"/>
      <c r="D17" s="146"/>
      <c r="E17" s="146"/>
      <c r="F17" s="146"/>
      <c r="G17" s="146"/>
      <c r="H17" s="146"/>
      <c r="I17" s="146"/>
      <c r="J17" s="146"/>
      <c r="K17" s="146"/>
      <c r="L17" s="146"/>
      <c r="M17" s="146"/>
      <c r="N17" s="146"/>
    </row>
    <row r="18" spans="1:14" ht="7.5" customHeight="1" x14ac:dyDescent="0.3"/>
    <row r="19" spans="1:14" ht="33.75" customHeight="1" x14ac:dyDescent="0.3">
      <c r="A19" s="68" t="s">
        <v>260</v>
      </c>
      <c r="B19" s="68" t="s">
        <v>325</v>
      </c>
      <c r="C19" s="68" t="s">
        <v>326</v>
      </c>
      <c r="D19" s="68" t="s">
        <v>327</v>
      </c>
      <c r="E19" s="68" t="s">
        <v>115</v>
      </c>
      <c r="F19" s="68" t="s">
        <v>112</v>
      </c>
      <c r="G19" s="68" t="s">
        <v>328</v>
      </c>
      <c r="H19" s="68" t="s">
        <v>109</v>
      </c>
      <c r="I19" s="68" t="s">
        <v>329</v>
      </c>
      <c r="J19" s="68" t="s">
        <v>330</v>
      </c>
      <c r="K19" s="68" t="s">
        <v>331</v>
      </c>
      <c r="L19" s="68" t="s">
        <v>332</v>
      </c>
      <c r="M19" s="68" t="s">
        <v>333</v>
      </c>
      <c r="N19" s="68" t="s">
        <v>272</v>
      </c>
    </row>
    <row r="20" spans="1:14" ht="21.75" customHeight="1" x14ac:dyDescent="0.3">
      <c r="A20" s="54">
        <v>1</v>
      </c>
      <c r="B20" s="40"/>
      <c r="C20" s="40"/>
      <c r="D20" s="40"/>
      <c r="E20" s="40"/>
      <c r="F20" s="40"/>
      <c r="G20" s="40"/>
      <c r="H20" s="40"/>
      <c r="I20" s="40"/>
      <c r="J20" s="40"/>
      <c r="K20" s="40"/>
      <c r="L20" s="40"/>
      <c r="M20" s="40"/>
      <c r="N20" s="40"/>
    </row>
    <row r="21" spans="1:14" ht="21.75" customHeight="1" x14ac:dyDescent="0.3">
      <c r="A21" s="49">
        <v>2</v>
      </c>
      <c r="B21" s="36"/>
      <c r="C21" s="36"/>
      <c r="D21" s="36"/>
      <c r="E21" s="36"/>
      <c r="F21" s="36"/>
      <c r="G21" s="36"/>
      <c r="H21" s="36"/>
      <c r="I21" s="36"/>
      <c r="J21" s="36"/>
      <c r="K21" s="36"/>
      <c r="L21" s="36"/>
      <c r="M21" s="36"/>
      <c r="N21" s="36"/>
    </row>
    <row r="22" spans="1:14" ht="21.75" customHeight="1" x14ac:dyDescent="0.3">
      <c r="A22" s="54">
        <v>3</v>
      </c>
      <c r="B22" s="40"/>
      <c r="C22" s="40"/>
      <c r="D22" s="40"/>
      <c r="E22" s="40"/>
      <c r="F22" s="40"/>
      <c r="G22" s="40"/>
      <c r="H22" s="40"/>
      <c r="I22" s="40"/>
      <c r="J22" s="40"/>
      <c r="K22" s="40"/>
      <c r="L22" s="40"/>
      <c r="M22" s="40"/>
      <c r="N22" s="40"/>
    </row>
    <row r="23" spans="1:14" ht="21.75" customHeight="1" x14ac:dyDescent="0.3">
      <c r="A23" s="49">
        <v>4</v>
      </c>
      <c r="B23" s="36"/>
      <c r="C23" s="36"/>
      <c r="D23" s="36"/>
      <c r="E23" s="36"/>
      <c r="F23" s="36"/>
      <c r="G23" s="36"/>
      <c r="H23" s="36"/>
      <c r="I23" s="36"/>
      <c r="J23" s="36"/>
      <c r="K23" s="36"/>
      <c r="L23" s="36"/>
      <c r="M23" s="36"/>
      <c r="N23" s="36"/>
    </row>
    <row r="24" spans="1:14" ht="21.75" customHeight="1" x14ac:dyDescent="0.3">
      <c r="A24" s="54">
        <v>5</v>
      </c>
      <c r="B24" s="40"/>
      <c r="C24" s="40"/>
      <c r="D24" s="40"/>
      <c r="E24" s="40"/>
      <c r="F24" s="40"/>
      <c r="G24" s="40"/>
      <c r="H24" s="40"/>
      <c r="I24" s="40"/>
      <c r="J24" s="40"/>
      <c r="K24" s="40"/>
      <c r="L24" s="40"/>
      <c r="M24" s="40"/>
      <c r="N24" s="40"/>
    </row>
    <row r="25" spans="1:14" ht="21.75" customHeight="1" x14ac:dyDescent="0.3">
      <c r="A25" s="49">
        <v>6</v>
      </c>
      <c r="B25" s="36"/>
      <c r="C25" s="36"/>
      <c r="D25" s="36"/>
      <c r="E25" s="36"/>
      <c r="F25" s="36"/>
      <c r="G25" s="36"/>
      <c r="H25" s="36"/>
      <c r="I25" s="36"/>
      <c r="J25" s="36"/>
      <c r="K25" s="36"/>
      <c r="L25" s="36"/>
      <c r="M25" s="36"/>
      <c r="N25" s="36"/>
    </row>
    <row r="26" spans="1:14" ht="21.75" customHeight="1" x14ac:dyDescent="0.3">
      <c r="A26" s="54">
        <v>7</v>
      </c>
      <c r="B26" s="40"/>
      <c r="C26" s="40"/>
      <c r="D26" s="40"/>
      <c r="E26" s="40"/>
      <c r="F26" s="40"/>
      <c r="G26" s="40"/>
      <c r="H26" s="40"/>
      <c r="I26" s="40"/>
      <c r="J26" s="40"/>
      <c r="K26" s="40"/>
      <c r="L26" s="40"/>
      <c r="M26" s="40"/>
      <c r="N26" s="40"/>
    </row>
    <row r="27" spans="1:14" ht="21.75" customHeight="1" x14ac:dyDescent="0.3">
      <c r="A27" s="49">
        <v>8</v>
      </c>
      <c r="B27" s="36"/>
      <c r="C27" s="36"/>
      <c r="D27" s="36"/>
      <c r="E27" s="36"/>
      <c r="F27" s="36"/>
      <c r="G27" s="36"/>
      <c r="H27" s="36"/>
      <c r="I27" s="36"/>
      <c r="J27" s="36"/>
      <c r="K27" s="36"/>
      <c r="L27" s="36"/>
      <c r="M27" s="36"/>
      <c r="N27" s="36"/>
    </row>
    <row r="28" spans="1:14" ht="21.75" customHeight="1" x14ac:dyDescent="0.3">
      <c r="A28" s="54">
        <v>9</v>
      </c>
      <c r="B28" s="40"/>
      <c r="C28" s="40"/>
      <c r="D28" s="40"/>
      <c r="E28" s="40"/>
      <c r="F28" s="40"/>
      <c r="G28" s="40"/>
      <c r="H28" s="40"/>
      <c r="I28" s="40"/>
      <c r="J28" s="40"/>
      <c r="K28" s="40"/>
      <c r="L28" s="40"/>
      <c r="M28" s="40"/>
      <c r="N28" s="40"/>
    </row>
    <row r="29" spans="1:14" ht="21.75" customHeight="1" x14ac:dyDescent="0.3">
      <c r="A29" s="49">
        <v>10</v>
      </c>
      <c r="B29" s="36"/>
      <c r="C29" s="36"/>
      <c r="D29" s="36"/>
      <c r="E29" s="36"/>
      <c r="F29" s="36"/>
      <c r="G29" s="36"/>
      <c r="H29" s="36"/>
      <c r="I29" s="36"/>
      <c r="J29" s="36"/>
      <c r="K29" s="36"/>
      <c r="L29" s="36"/>
      <c r="M29" s="36"/>
      <c r="N29" s="36"/>
    </row>
    <row r="30" spans="1:14" ht="21.75" customHeight="1" x14ac:dyDescent="0.3">
      <c r="A30" s="54">
        <v>11</v>
      </c>
      <c r="B30" s="40"/>
      <c r="C30" s="40"/>
      <c r="D30" s="40"/>
      <c r="E30" s="40"/>
      <c r="F30" s="40"/>
      <c r="G30" s="40"/>
      <c r="H30" s="40"/>
      <c r="I30" s="40"/>
      <c r="J30" s="40"/>
      <c r="K30" s="40"/>
      <c r="L30" s="40"/>
      <c r="M30" s="40"/>
      <c r="N30" s="40"/>
    </row>
    <row r="31" spans="1:14" ht="21.75" customHeight="1" x14ac:dyDescent="0.3">
      <c r="A31" s="49">
        <v>12</v>
      </c>
      <c r="B31" s="36"/>
      <c r="C31" s="36"/>
      <c r="D31" s="36"/>
      <c r="E31" s="36"/>
      <c r="F31" s="36"/>
      <c r="G31" s="36"/>
      <c r="H31" s="36"/>
      <c r="I31" s="36"/>
      <c r="J31" s="36"/>
      <c r="K31" s="36"/>
      <c r="L31" s="36"/>
      <c r="M31" s="36"/>
      <c r="N31" s="36"/>
    </row>
    <row r="32" spans="1:14" ht="21.75" customHeight="1" x14ac:dyDescent="0.3">
      <c r="A32" s="54">
        <v>13</v>
      </c>
      <c r="B32" s="40"/>
      <c r="C32" s="40"/>
      <c r="D32" s="40"/>
      <c r="E32" s="40"/>
      <c r="F32" s="40"/>
      <c r="G32" s="40"/>
      <c r="H32" s="40"/>
      <c r="I32" s="40"/>
      <c r="J32" s="40"/>
      <c r="K32" s="40"/>
      <c r="L32" s="40"/>
      <c r="M32" s="40"/>
      <c r="N32" s="40"/>
    </row>
    <row r="33" spans="1:14" ht="21.75" customHeight="1" x14ac:dyDescent="0.3">
      <c r="A33" s="49">
        <v>14</v>
      </c>
      <c r="B33" s="36"/>
      <c r="C33" s="36"/>
      <c r="D33" s="36"/>
      <c r="E33" s="36"/>
      <c r="F33" s="36"/>
      <c r="G33" s="36"/>
      <c r="H33" s="36"/>
      <c r="I33" s="36"/>
      <c r="J33" s="36"/>
      <c r="K33" s="36"/>
      <c r="L33" s="36"/>
      <c r="M33" s="36"/>
      <c r="N33" s="36"/>
    </row>
    <row r="34" spans="1:14" ht="21.75" customHeight="1" x14ac:dyDescent="0.3">
      <c r="A34" s="54">
        <v>15</v>
      </c>
      <c r="B34" s="40"/>
      <c r="C34" s="40"/>
      <c r="D34" s="40"/>
      <c r="E34" s="40"/>
      <c r="F34" s="40"/>
      <c r="G34" s="40"/>
      <c r="H34" s="40"/>
      <c r="I34" s="40"/>
      <c r="J34" s="40"/>
      <c r="K34" s="40"/>
      <c r="L34" s="40"/>
      <c r="M34" s="40"/>
      <c r="N34" s="40"/>
    </row>
    <row r="35" spans="1:14" ht="21.75" customHeight="1" x14ac:dyDescent="0.3">
      <c r="A35" s="49">
        <v>16</v>
      </c>
      <c r="B35" s="36"/>
      <c r="C35" s="36"/>
      <c r="D35" s="36"/>
      <c r="E35" s="36"/>
      <c r="F35" s="36"/>
      <c r="G35" s="36"/>
      <c r="H35" s="36"/>
      <c r="I35" s="36"/>
      <c r="J35" s="36"/>
      <c r="K35" s="36"/>
      <c r="L35" s="36"/>
      <c r="M35" s="36"/>
      <c r="N35" s="36"/>
    </row>
    <row r="36" spans="1:14" ht="21.75" customHeight="1" x14ac:dyDescent="0.3">
      <c r="A36" s="54">
        <v>17</v>
      </c>
      <c r="B36" s="40"/>
      <c r="C36" s="40"/>
      <c r="D36" s="40"/>
      <c r="E36" s="40"/>
      <c r="F36" s="40"/>
      <c r="G36" s="40"/>
      <c r="H36" s="40"/>
      <c r="I36" s="40"/>
      <c r="J36" s="40"/>
      <c r="K36" s="40"/>
      <c r="L36" s="40"/>
      <c r="M36" s="40"/>
      <c r="N36" s="40"/>
    </row>
    <row r="37" spans="1:14" ht="21.75" customHeight="1" x14ac:dyDescent="0.3">
      <c r="A37" s="49">
        <v>18</v>
      </c>
      <c r="B37" s="36"/>
      <c r="C37" s="36"/>
      <c r="D37" s="36"/>
      <c r="E37" s="36"/>
      <c r="F37" s="36"/>
      <c r="G37" s="36"/>
      <c r="H37" s="36"/>
      <c r="I37" s="36"/>
      <c r="J37" s="36"/>
      <c r="K37" s="36"/>
      <c r="L37" s="36"/>
      <c r="M37" s="36"/>
      <c r="N37" s="36"/>
    </row>
    <row r="38" spans="1:14" ht="21.75" customHeight="1" x14ac:dyDescent="0.3">
      <c r="A38" s="54">
        <v>19</v>
      </c>
      <c r="B38" s="40"/>
      <c r="C38" s="40"/>
      <c r="D38" s="40"/>
      <c r="E38" s="40"/>
      <c r="F38" s="40"/>
      <c r="G38" s="40"/>
      <c r="H38" s="40"/>
      <c r="I38" s="40"/>
      <c r="J38" s="40"/>
      <c r="K38" s="40"/>
      <c r="L38" s="40"/>
      <c r="M38" s="40"/>
      <c r="N38" s="40"/>
    </row>
    <row r="39" spans="1:14" ht="21.75" customHeight="1" x14ac:dyDescent="0.3">
      <c r="A39" s="49">
        <v>20</v>
      </c>
      <c r="B39" s="36"/>
      <c r="C39" s="36"/>
      <c r="D39" s="36"/>
      <c r="E39" s="36"/>
      <c r="F39" s="36"/>
      <c r="G39" s="36"/>
      <c r="H39" s="36"/>
      <c r="I39" s="36"/>
      <c r="J39" s="36"/>
      <c r="K39" s="36"/>
      <c r="L39" s="36"/>
      <c r="M39" s="36"/>
      <c r="N39" s="36"/>
    </row>
    <row r="40" spans="1:14" ht="21.75" customHeight="1" x14ac:dyDescent="0.3">
      <c r="A40" s="54">
        <v>21</v>
      </c>
      <c r="B40" s="40"/>
      <c r="C40" s="40"/>
      <c r="D40" s="40"/>
      <c r="E40" s="40"/>
      <c r="F40" s="40"/>
      <c r="G40" s="40"/>
      <c r="H40" s="40"/>
      <c r="I40" s="40"/>
      <c r="J40" s="40"/>
      <c r="K40" s="40"/>
      <c r="L40" s="40"/>
      <c r="M40" s="40"/>
      <c r="N40" s="40"/>
    </row>
    <row r="41" spans="1:14" ht="21.75" customHeight="1" x14ac:dyDescent="0.3">
      <c r="A41" s="49">
        <v>22</v>
      </c>
      <c r="B41" s="36"/>
      <c r="C41" s="36"/>
      <c r="D41" s="36"/>
      <c r="E41" s="36"/>
      <c r="F41" s="36"/>
      <c r="G41" s="36"/>
      <c r="H41" s="36"/>
      <c r="I41" s="36"/>
      <c r="J41" s="36"/>
      <c r="K41" s="36"/>
      <c r="L41" s="36"/>
      <c r="M41" s="36"/>
      <c r="N41" s="36"/>
    </row>
    <row r="42" spans="1:14" ht="21.75" customHeight="1" x14ac:dyDescent="0.3">
      <c r="A42" s="54">
        <v>23</v>
      </c>
      <c r="B42" s="40"/>
      <c r="C42" s="40"/>
      <c r="D42" s="40"/>
      <c r="E42" s="40"/>
      <c r="F42" s="40"/>
      <c r="G42" s="40"/>
      <c r="H42" s="40"/>
      <c r="I42" s="40"/>
      <c r="J42" s="40"/>
      <c r="K42" s="40"/>
      <c r="L42" s="40"/>
      <c r="M42" s="40"/>
      <c r="N42" s="40"/>
    </row>
    <row r="43" spans="1:14" ht="21.75" customHeight="1" x14ac:dyDescent="0.3">
      <c r="A43" s="49">
        <v>24</v>
      </c>
      <c r="B43" s="36"/>
      <c r="C43" s="36"/>
      <c r="D43" s="36"/>
      <c r="E43" s="36"/>
      <c r="F43" s="36"/>
      <c r="G43" s="36"/>
      <c r="H43" s="36"/>
      <c r="I43" s="36"/>
      <c r="J43" s="36"/>
      <c r="K43" s="36"/>
      <c r="L43" s="36"/>
      <c r="M43" s="36"/>
      <c r="N43" s="36"/>
    </row>
    <row r="44" spans="1:14" ht="21.75" customHeight="1" x14ac:dyDescent="0.3">
      <c r="A44" s="54">
        <v>25</v>
      </c>
      <c r="B44" s="40"/>
      <c r="C44" s="40"/>
      <c r="D44" s="40"/>
      <c r="E44" s="40"/>
      <c r="F44" s="40"/>
      <c r="G44" s="40"/>
      <c r="H44" s="40"/>
      <c r="I44" s="40"/>
      <c r="J44" s="40"/>
      <c r="K44" s="40"/>
      <c r="L44" s="40"/>
      <c r="M44" s="40"/>
      <c r="N44" s="40"/>
    </row>
    <row r="45" spans="1:14" ht="21.75" customHeight="1" x14ac:dyDescent="0.3">
      <c r="A45" s="49">
        <v>26</v>
      </c>
      <c r="B45" s="36"/>
      <c r="C45" s="36"/>
      <c r="D45" s="36"/>
      <c r="E45" s="36"/>
      <c r="F45" s="36"/>
      <c r="G45" s="36"/>
      <c r="H45" s="36"/>
      <c r="I45" s="36"/>
      <c r="J45" s="36"/>
      <c r="K45" s="36"/>
      <c r="L45" s="36"/>
      <c r="M45" s="36"/>
      <c r="N45" s="36"/>
    </row>
    <row r="46" spans="1:14" ht="21.75" customHeight="1" x14ac:dyDescent="0.3">
      <c r="A46" s="54">
        <v>27</v>
      </c>
      <c r="B46" s="40"/>
      <c r="C46" s="40"/>
      <c r="D46" s="40"/>
      <c r="E46" s="40"/>
      <c r="F46" s="40"/>
      <c r="G46" s="40"/>
      <c r="H46" s="40"/>
      <c r="I46" s="40"/>
      <c r="J46" s="40"/>
      <c r="K46" s="40"/>
      <c r="L46" s="40"/>
      <c r="M46" s="40"/>
      <c r="N46" s="40"/>
    </row>
    <row r="47" spans="1:14" ht="21.75" customHeight="1" x14ac:dyDescent="0.3">
      <c r="A47" s="49">
        <v>28</v>
      </c>
      <c r="B47" s="36"/>
      <c r="C47" s="36"/>
      <c r="D47" s="36"/>
      <c r="E47" s="36"/>
      <c r="F47" s="36"/>
      <c r="G47" s="36"/>
      <c r="H47" s="36"/>
      <c r="I47" s="36"/>
      <c r="J47" s="36"/>
      <c r="K47" s="36"/>
      <c r="L47" s="36"/>
      <c r="M47" s="36"/>
      <c r="N47" s="36"/>
    </row>
    <row r="48" spans="1:14" ht="21.75" customHeight="1" x14ac:dyDescent="0.3">
      <c r="A48" s="54">
        <v>29</v>
      </c>
      <c r="B48" s="40"/>
      <c r="C48" s="40"/>
      <c r="D48" s="40"/>
      <c r="E48" s="40"/>
      <c r="F48" s="40"/>
      <c r="G48" s="40"/>
      <c r="H48" s="40"/>
      <c r="I48" s="40"/>
      <c r="J48" s="40"/>
      <c r="K48" s="40"/>
      <c r="L48" s="40"/>
      <c r="M48" s="40"/>
      <c r="N48" s="40"/>
    </row>
    <row r="49" spans="1:14" ht="21.75" customHeight="1" x14ac:dyDescent="0.3">
      <c r="A49" s="49">
        <v>30</v>
      </c>
      <c r="B49" s="36"/>
      <c r="C49" s="36"/>
      <c r="D49" s="36"/>
      <c r="E49" s="36"/>
      <c r="F49" s="36"/>
      <c r="G49" s="36"/>
      <c r="H49" s="36"/>
      <c r="I49" s="36"/>
      <c r="J49" s="36"/>
      <c r="K49" s="36"/>
      <c r="L49" s="36"/>
      <c r="M49" s="36"/>
      <c r="N49" s="36"/>
    </row>
    <row r="50" spans="1:14" ht="21.75" customHeight="1" x14ac:dyDescent="0.3">
      <c r="A50" s="54">
        <v>31</v>
      </c>
      <c r="B50" s="40"/>
      <c r="C50" s="40"/>
      <c r="D50" s="40"/>
      <c r="E50" s="40"/>
      <c r="F50" s="40"/>
      <c r="G50" s="40"/>
      <c r="H50" s="40"/>
      <c r="I50" s="40"/>
      <c r="J50" s="40"/>
      <c r="K50" s="40"/>
      <c r="L50" s="40"/>
      <c r="M50" s="40"/>
      <c r="N50" s="40"/>
    </row>
    <row r="51" spans="1:14" ht="21.75" customHeight="1" x14ac:dyDescent="0.3">
      <c r="A51" s="49">
        <v>32</v>
      </c>
      <c r="B51" s="36"/>
      <c r="C51" s="36"/>
      <c r="D51" s="36"/>
      <c r="E51" s="36"/>
      <c r="F51" s="36"/>
      <c r="G51" s="36"/>
      <c r="H51" s="36"/>
      <c r="I51" s="36"/>
      <c r="J51" s="36"/>
      <c r="K51" s="36"/>
      <c r="L51" s="36"/>
      <c r="M51" s="36"/>
      <c r="N51" s="36"/>
    </row>
    <row r="52" spans="1:14" ht="21.75" customHeight="1" x14ac:dyDescent="0.3">
      <c r="A52" s="54">
        <v>33</v>
      </c>
      <c r="B52" s="40"/>
      <c r="C52" s="40"/>
      <c r="D52" s="40"/>
      <c r="E52" s="40"/>
      <c r="F52" s="40"/>
      <c r="G52" s="40"/>
      <c r="H52" s="40"/>
      <c r="I52" s="40"/>
      <c r="J52" s="40"/>
      <c r="K52" s="40"/>
      <c r="L52" s="40"/>
      <c r="M52" s="40"/>
      <c r="N52" s="40"/>
    </row>
    <row r="53" spans="1:14" ht="21.75" customHeight="1" x14ac:dyDescent="0.3">
      <c r="A53" s="49">
        <v>34</v>
      </c>
      <c r="B53" s="36"/>
      <c r="C53" s="36"/>
      <c r="D53" s="36"/>
      <c r="E53" s="36"/>
      <c r="F53" s="36"/>
      <c r="G53" s="36"/>
      <c r="H53" s="36"/>
      <c r="I53" s="36"/>
      <c r="J53" s="36"/>
      <c r="K53" s="36"/>
      <c r="L53" s="36"/>
      <c r="M53" s="36"/>
      <c r="N53" s="36"/>
    </row>
    <row r="54" spans="1:14" ht="21.75" customHeight="1" x14ac:dyDescent="0.3">
      <c r="A54" s="54">
        <v>35</v>
      </c>
      <c r="B54" s="40"/>
      <c r="C54" s="40"/>
      <c r="D54" s="40"/>
      <c r="E54" s="40"/>
      <c r="F54" s="40"/>
      <c r="G54" s="40"/>
      <c r="H54" s="40"/>
      <c r="I54" s="40"/>
      <c r="J54" s="40"/>
      <c r="K54" s="40"/>
      <c r="L54" s="40"/>
      <c r="M54" s="40"/>
      <c r="N54" s="40"/>
    </row>
    <row r="55" spans="1:14" ht="21.75" customHeight="1" x14ac:dyDescent="0.3">
      <c r="A55" s="49">
        <v>36</v>
      </c>
      <c r="B55" s="36"/>
      <c r="C55" s="36"/>
      <c r="D55" s="36"/>
      <c r="E55" s="36"/>
      <c r="F55" s="36"/>
      <c r="G55" s="36"/>
      <c r="H55" s="36"/>
      <c r="I55" s="36"/>
      <c r="J55" s="36"/>
      <c r="K55" s="36"/>
      <c r="L55" s="36"/>
      <c r="M55" s="36"/>
      <c r="N55" s="36"/>
    </row>
    <row r="56" spans="1:14" ht="21.75" customHeight="1" x14ac:dyDescent="0.3">
      <c r="A56" s="54">
        <v>37</v>
      </c>
      <c r="B56" s="40"/>
      <c r="C56" s="40"/>
      <c r="D56" s="40"/>
      <c r="E56" s="40"/>
      <c r="F56" s="40"/>
      <c r="G56" s="40"/>
      <c r="H56" s="40"/>
      <c r="I56" s="40"/>
      <c r="J56" s="40"/>
      <c r="K56" s="40"/>
      <c r="L56" s="40"/>
      <c r="M56" s="40"/>
      <c r="N56" s="40"/>
    </row>
    <row r="57" spans="1:14" ht="21.75" customHeight="1" x14ac:dyDescent="0.3">
      <c r="A57" s="49">
        <v>38</v>
      </c>
      <c r="B57" s="36"/>
      <c r="C57" s="36"/>
      <c r="D57" s="36"/>
      <c r="E57" s="36"/>
      <c r="F57" s="36"/>
      <c r="G57" s="36"/>
      <c r="H57" s="36"/>
      <c r="I57" s="36"/>
      <c r="J57" s="36"/>
      <c r="K57" s="36"/>
      <c r="L57" s="36"/>
      <c r="M57" s="36"/>
      <c r="N57" s="36"/>
    </row>
    <row r="58" spans="1:14" ht="21.75" customHeight="1" x14ac:dyDescent="0.3">
      <c r="A58" s="54">
        <v>39</v>
      </c>
      <c r="B58" s="40"/>
      <c r="C58" s="40"/>
      <c r="D58" s="40"/>
      <c r="E58" s="40"/>
      <c r="F58" s="40"/>
      <c r="G58" s="40"/>
      <c r="H58" s="40"/>
      <c r="I58" s="40"/>
      <c r="J58" s="40"/>
      <c r="K58" s="40"/>
      <c r="L58" s="40"/>
      <c r="M58" s="40"/>
      <c r="N58" s="40"/>
    </row>
    <row r="59" spans="1:14" ht="21.75" customHeight="1" x14ac:dyDescent="0.3">
      <c r="A59" s="49">
        <v>40</v>
      </c>
      <c r="B59" s="36"/>
      <c r="C59" s="36"/>
      <c r="D59" s="36"/>
      <c r="E59" s="36"/>
      <c r="F59" s="36"/>
      <c r="G59" s="36"/>
      <c r="H59" s="36"/>
      <c r="I59" s="36"/>
      <c r="J59" s="36"/>
      <c r="K59" s="36"/>
      <c r="L59" s="36"/>
      <c r="M59" s="36"/>
      <c r="N59" s="36"/>
    </row>
    <row r="63" spans="1:14" ht="24.75" customHeight="1" x14ac:dyDescent="0.3">
      <c r="A63" s="74" t="s">
        <v>25</v>
      </c>
      <c r="B63" s="74"/>
      <c r="C63" s="74"/>
      <c r="D63" s="74"/>
      <c r="E63" s="74"/>
      <c r="F63" s="74"/>
      <c r="G63" s="74"/>
      <c r="H63" s="74"/>
      <c r="I63" s="74"/>
      <c r="J63" s="74"/>
      <c r="K63" s="74"/>
      <c r="L63" s="74"/>
      <c r="M63" s="74"/>
      <c r="N63" s="74"/>
    </row>
  </sheetData>
  <mergeCells count="43">
    <mergeCell ref="A15:H15"/>
    <mergeCell ref="I15:K15"/>
    <mergeCell ref="L15:N15"/>
    <mergeCell ref="A17:N17"/>
    <mergeCell ref="A63:N63"/>
    <mergeCell ref="A13:H13"/>
    <mergeCell ref="I13:K13"/>
    <mergeCell ref="L13:N13"/>
    <mergeCell ref="A14:H14"/>
    <mergeCell ref="I14:K14"/>
    <mergeCell ref="L14:N14"/>
    <mergeCell ref="A11:H11"/>
    <mergeCell ref="I11:K11"/>
    <mergeCell ref="L11:N11"/>
    <mergeCell ref="A12:H12"/>
    <mergeCell ref="I12:K12"/>
    <mergeCell ref="L12:N12"/>
    <mergeCell ref="A9:H9"/>
    <mergeCell ref="I9:K9"/>
    <mergeCell ref="L9:N9"/>
    <mergeCell ref="A10:H10"/>
    <mergeCell ref="I10:K10"/>
    <mergeCell ref="L10:N10"/>
    <mergeCell ref="K5:L5"/>
    <mergeCell ref="M5:N5"/>
    <mergeCell ref="A7:N7"/>
    <mergeCell ref="A8:H8"/>
    <mergeCell ref="I8:K8"/>
    <mergeCell ref="L8:N8"/>
    <mergeCell ref="A5:B5"/>
    <mergeCell ref="C5:D5"/>
    <mergeCell ref="E5:F5"/>
    <mergeCell ref="G5:H5"/>
    <mergeCell ref="I5:J5"/>
    <mergeCell ref="A1:N1"/>
    <mergeCell ref="A2:N2"/>
    <mergeCell ref="A4:B4"/>
    <mergeCell ref="C4:D4"/>
    <mergeCell ref="E4:F4"/>
    <mergeCell ref="G4:H4"/>
    <mergeCell ref="I4:J4"/>
    <mergeCell ref="K4:L4"/>
    <mergeCell ref="M4:N4"/>
  </mergeCells>
  <conditionalFormatting sqref="D20:D100">
    <cfRule type="containsText" dxfId="13" priority="44" operator="containsText" text="Oportunidad de Mejora">
      <formula>NOT(ISERROR(SEARCH("Oportunidad de Mejora",D20)))</formula>
    </cfRule>
    <cfRule type="containsText" dxfId="12" priority="41" operator="containsText" text="No Conformidad Mayor">
      <formula>NOT(ISERROR(SEARCH("No Conformidad Mayor",D20)))</formula>
    </cfRule>
    <cfRule type="containsText" dxfId="11" priority="42" operator="containsText" text="No Conformidad Menor">
      <formula>NOT(ISERROR(SEARCH("No Conformidad Menor",D20)))</formula>
    </cfRule>
    <cfRule type="containsText" dxfId="10" priority="43" operator="containsText" text="Observación">
      <formula>NOT(ISERROR(SEARCH("Observación",D20)))</formula>
    </cfRule>
  </conditionalFormatting>
  <conditionalFormatting sqref="H20:H100">
    <cfRule type="containsText" dxfId="9" priority="34" operator="containsText" text="Abierto">
      <formula>NOT(ISERROR(SEARCH("Abierto",H20)))</formula>
    </cfRule>
    <cfRule type="containsText" dxfId="8" priority="35" operator="containsText" text="En Proceso">
      <formula>NOT(ISERROR(SEARCH("En Proceso",H20)))</formula>
    </cfRule>
    <cfRule type="containsText" dxfId="7" priority="36" operator="containsText" text="Cerrado">
      <formula>NOT(ISERROR(SEARCH("Cerrado",H20)))</formula>
    </cfRule>
    <cfRule type="containsText" dxfId="6" priority="37" operator="containsText" text="Verificado">
      <formula>NOT(ISERROR(SEARCH("Verificado",H20)))</formula>
    </cfRule>
  </conditionalFormatting>
  <conditionalFormatting sqref="I8:K15">
    <cfRule type="cellIs" dxfId="5" priority="2" operator="greaterThanOrEqual">
      <formula>0.8</formula>
    </cfRule>
    <cfRule type="cellIs" dxfId="4" priority="3" operator="between">
      <formula>0.5</formula>
      <formula>0.8</formula>
    </cfRule>
    <cfRule type="cellIs" dxfId="3" priority="4" operator="lessThan">
      <formula>0.5</formula>
    </cfRule>
  </conditionalFormatting>
  <conditionalFormatting sqref="K20:K100">
    <cfRule type="containsText" dxfId="2" priority="38" operator="containsText" text="Alto">
      <formula>NOT(ISERROR(SEARCH("Alto",K20)))</formula>
    </cfRule>
    <cfRule type="containsText" dxfId="1" priority="40" operator="containsText" text="Bajo">
      <formula>NOT(ISERROR(SEARCH("Bajo",K20)))</formula>
    </cfRule>
    <cfRule type="containsText" dxfId="0" priority="39" operator="containsText" text="Medio">
      <formula>NOT(ISERROR(SEARCH("Medio",K20)))</formula>
    </cfRule>
  </conditionalFormatting>
  <conditionalFormatting sqref="L8:N8">
    <cfRule type="dataBar" priority="5">
      <dataBar>
        <cfvo type="num" val="0"/>
        <cfvo type="num" val="1"/>
        <color rgb="FF1565C0"/>
      </dataBar>
      <extLst>
        <ext xmlns:x14="http://schemas.microsoft.com/office/spreadsheetml/2009/9/main" uri="{B025F937-C7B1-47D3-B67F-A62EFF666E3E}">
          <x14:id>{93242533-9438-4C1C-B34E-F14E9F52C3C5}</x14:id>
        </ext>
      </extLst>
    </cfRule>
  </conditionalFormatting>
  <conditionalFormatting sqref="L9:N9">
    <cfRule type="dataBar" priority="9">
      <dataBar>
        <cfvo type="num" val="0"/>
        <cfvo type="num" val="1"/>
        <color rgb="FF1565C0"/>
      </dataBar>
      <extLst>
        <ext xmlns:x14="http://schemas.microsoft.com/office/spreadsheetml/2009/9/main" uri="{B025F937-C7B1-47D3-B67F-A62EFF666E3E}">
          <x14:id>{8FBEB7E0-2F1B-4FB2-A2C7-3EDBD05DC825}</x14:id>
        </ext>
      </extLst>
    </cfRule>
  </conditionalFormatting>
  <conditionalFormatting sqref="L10:N10">
    <cfRule type="dataBar" priority="13">
      <dataBar>
        <cfvo type="num" val="0"/>
        <cfvo type="num" val="1"/>
        <color rgb="FF1565C0"/>
      </dataBar>
      <extLst>
        <ext xmlns:x14="http://schemas.microsoft.com/office/spreadsheetml/2009/9/main" uri="{B025F937-C7B1-47D3-B67F-A62EFF666E3E}">
          <x14:id>{C6904747-4CFA-471B-AF36-E85AD4B02FAA}</x14:id>
        </ext>
      </extLst>
    </cfRule>
  </conditionalFormatting>
  <conditionalFormatting sqref="L11:N11">
    <cfRule type="dataBar" priority="17">
      <dataBar>
        <cfvo type="num" val="0"/>
        <cfvo type="num" val="1"/>
        <color rgb="FF1565C0"/>
      </dataBar>
      <extLst>
        <ext xmlns:x14="http://schemas.microsoft.com/office/spreadsheetml/2009/9/main" uri="{B025F937-C7B1-47D3-B67F-A62EFF666E3E}">
          <x14:id>{2C3D89AC-7596-48C9-8591-5025A93AF2FF}</x14:id>
        </ext>
      </extLst>
    </cfRule>
  </conditionalFormatting>
  <conditionalFormatting sqref="L12:N12">
    <cfRule type="dataBar" priority="21">
      <dataBar>
        <cfvo type="num" val="0"/>
        <cfvo type="num" val="1"/>
        <color rgb="FF1565C0"/>
      </dataBar>
      <extLst>
        <ext xmlns:x14="http://schemas.microsoft.com/office/spreadsheetml/2009/9/main" uri="{B025F937-C7B1-47D3-B67F-A62EFF666E3E}">
          <x14:id>{A04F99D4-84F0-4315-92D0-6FB17F64B194}</x14:id>
        </ext>
      </extLst>
    </cfRule>
  </conditionalFormatting>
  <conditionalFormatting sqref="L13:N13">
    <cfRule type="dataBar" priority="25">
      <dataBar>
        <cfvo type="num" val="0"/>
        <cfvo type="num" val="1"/>
        <color rgb="FF1565C0"/>
      </dataBar>
      <extLst>
        <ext xmlns:x14="http://schemas.microsoft.com/office/spreadsheetml/2009/9/main" uri="{B025F937-C7B1-47D3-B67F-A62EFF666E3E}">
          <x14:id>{4ACC56EA-1420-46A3-BFA3-8A18E0C61C30}</x14:id>
        </ext>
      </extLst>
    </cfRule>
  </conditionalFormatting>
  <conditionalFormatting sqref="L14:N14">
    <cfRule type="dataBar" priority="29">
      <dataBar>
        <cfvo type="num" val="0"/>
        <cfvo type="num" val="1"/>
        <color rgb="FF1565C0"/>
      </dataBar>
      <extLst>
        <ext xmlns:x14="http://schemas.microsoft.com/office/spreadsheetml/2009/9/main" uri="{B025F937-C7B1-47D3-B67F-A62EFF666E3E}">
          <x14:id>{9D7B3298-F063-45C5-A395-2EAEAED49B84}</x14:id>
        </ext>
      </extLst>
    </cfRule>
  </conditionalFormatting>
  <conditionalFormatting sqref="L15:N15">
    <cfRule type="dataBar" priority="33">
      <dataBar>
        <cfvo type="num" val="0"/>
        <cfvo type="num" val="1"/>
        <color rgb="FF1565C0"/>
      </dataBar>
      <extLst>
        <ext xmlns:x14="http://schemas.microsoft.com/office/spreadsheetml/2009/9/main" uri="{B025F937-C7B1-47D3-B67F-A62EFF666E3E}">
          <x14:id>{407052C2-2A65-4C11-B244-154D1ACFE860}</x14:id>
        </ext>
      </extLst>
    </cfRule>
  </conditionalFormatting>
  <dataValidations count="5">
    <dataValidation type="list" sqref="B20:B100" xr:uid="{00000000-0002-0000-0600-000000000000}">
      <formula1>"Cond. Técnico-Admin.,Suficiencia Patrimonial,Talento Humano,Infraestructura,Concepto Sanitario,Dotación y Mant.,Medicamentos e Insumos,Procesos Prioritarios,Historia Clínica,Interdependencia,Reportes Obligatorios,PAMEC,REPS Servicios,REPS Capacidad,REPS S"</formula1>
      <formula2>0</formula2>
    </dataValidation>
    <dataValidation type="list" sqref="D20:D100" xr:uid="{00000000-0002-0000-0600-000001000000}">
      <formula1>"No Conformidad Mayor,No Conformidad Menor,Observación,Oportunidad de Mejora"</formula1>
      <formula2>0</formula2>
    </dataValidation>
    <dataValidation type="list" sqref="H20:H100" xr:uid="{00000000-0002-0000-0600-000002000000}">
      <formula1>"Abierto,En Proceso,Cerrado,Verificado"</formula1>
      <formula2>0</formula2>
    </dataValidation>
    <dataValidation type="list" sqref="K20:K100" xr:uid="{00000000-0002-0000-0600-000003000000}">
      <formula1>"Alto,Medio,Bajo"</formula1>
      <formula2>0</formula2>
    </dataValidation>
    <dataValidation type="list" sqref="L20:L100" xr:uid="{00000000-0002-0000-0600-000004000000}">
      <formula1>"🔴 Crítica,🟠 Alta,🟡 Media,🟢 Baja"</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93242533-9438-4C1C-B34E-F14E9F52C3C5}">
            <x14:dataBar axisPosition="none">
              <x14:cfvo type="num">
                <xm:f>0</xm:f>
              </x14:cfvo>
              <x14:cfvo type="num">
                <xm:f>1</xm:f>
              </x14:cfvo>
              <x14:negativeFillColor rgb="FF1565C0"/>
            </x14:dataBar>
          </x14:cfRule>
          <xm:sqref>L8:N8</xm:sqref>
        </x14:conditionalFormatting>
        <x14:conditionalFormatting xmlns:xm="http://schemas.microsoft.com/office/excel/2006/main">
          <x14:cfRule type="dataBar" id="{8FBEB7E0-2F1B-4FB2-A2C7-3EDBD05DC825}">
            <x14:dataBar axisPosition="none">
              <x14:cfvo type="num">
                <xm:f>0</xm:f>
              </x14:cfvo>
              <x14:cfvo type="num">
                <xm:f>1</xm:f>
              </x14:cfvo>
              <x14:negativeFillColor rgb="FF1565C0"/>
            </x14:dataBar>
          </x14:cfRule>
          <xm:sqref>L9:N9</xm:sqref>
        </x14:conditionalFormatting>
        <x14:conditionalFormatting xmlns:xm="http://schemas.microsoft.com/office/excel/2006/main">
          <x14:cfRule type="dataBar" id="{C6904747-4CFA-471B-AF36-E85AD4B02FAA}">
            <x14:dataBar axisPosition="none">
              <x14:cfvo type="num">
                <xm:f>0</xm:f>
              </x14:cfvo>
              <x14:cfvo type="num">
                <xm:f>1</xm:f>
              </x14:cfvo>
              <x14:negativeFillColor rgb="FF1565C0"/>
            </x14:dataBar>
          </x14:cfRule>
          <xm:sqref>L10:N10</xm:sqref>
        </x14:conditionalFormatting>
        <x14:conditionalFormatting xmlns:xm="http://schemas.microsoft.com/office/excel/2006/main">
          <x14:cfRule type="dataBar" id="{2C3D89AC-7596-48C9-8591-5025A93AF2FF}">
            <x14:dataBar axisPosition="none">
              <x14:cfvo type="num">
                <xm:f>0</xm:f>
              </x14:cfvo>
              <x14:cfvo type="num">
                <xm:f>1</xm:f>
              </x14:cfvo>
              <x14:negativeFillColor rgb="FF1565C0"/>
            </x14:dataBar>
          </x14:cfRule>
          <xm:sqref>L11:N11</xm:sqref>
        </x14:conditionalFormatting>
        <x14:conditionalFormatting xmlns:xm="http://schemas.microsoft.com/office/excel/2006/main">
          <x14:cfRule type="dataBar" id="{A04F99D4-84F0-4315-92D0-6FB17F64B194}">
            <x14:dataBar axisPosition="none">
              <x14:cfvo type="num">
                <xm:f>0</xm:f>
              </x14:cfvo>
              <x14:cfvo type="num">
                <xm:f>1</xm:f>
              </x14:cfvo>
              <x14:negativeFillColor rgb="FF1565C0"/>
            </x14:dataBar>
          </x14:cfRule>
          <xm:sqref>L12:N12</xm:sqref>
        </x14:conditionalFormatting>
        <x14:conditionalFormatting xmlns:xm="http://schemas.microsoft.com/office/excel/2006/main">
          <x14:cfRule type="dataBar" id="{4ACC56EA-1420-46A3-BFA3-8A18E0C61C30}">
            <x14:dataBar axisPosition="none">
              <x14:cfvo type="num">
                <xm:f>0</xm:f>
              </x14:cfvo>
              <x14:cfvo type="num">
                <xm:f>1</xm:f>
              </x14:cfvo>
              <x14:negativeFillColor rgb="FF1565C0"/>
            </x14:dataBar>
          </x14:cfRule>
          <xm:sqref>L13:N13</xm:sqref>
        </x14:conditionalFormatting>
        <x14:conditionalFormatting xmlns:xm="http://schemas.microsoft.com/office/excel/2006/main">
          <x14:cfRule type="dataBar" id="{9D7B3298-F063-45C5-A395-2EAEAED49B84}">
            <x14:dataBar axisPosition="none">
              <x14:cfvo type="num">
                <xm:f>0</xm:f>
              </x14:cfvo>
              <x14:cfvo type="num">
                <xm:f>1</xm:f>
              </x14:cfvo>
              <x14:negativeFillColor rgb="FF1565C0"/>
            </x14:dataBar>
          </x14:cfRule>
          <xm:sqref>L14:N14</xm:sqref>
        </x14:conditionalFormatting>
        <x14:conditionalFormatting xmlns:xm="http://schemas.microsoft.com/office/excel/2006/main">
          <x14:cfRule type="dataBar" id="{407052C2-2A65-4C11-B244-154D1ACFE860}">
            <x14:dataBar axisPosition="none">
              <x14:cfvo type="num">
                <xm:f>0</xm:f>
              </x14:cfvo>
              <x14:cfvo type="num">
                <xm:f>1</xm:f>
              </x14:cfvo>
              <x14:negativeFillColor rgb="FF1565C0"/>
            </x14:dataBar>
          </x14:cfRule>
          <xm:sqref>L15:N15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1"/>
  <sheetViews>
    <sheetView showGridLines="0" topLeftCell="A8" zoomScaleNormal="100" workbookViewId="0">
      <selection activeCell="A41" sqref="A41:J41"/>
    </sheetView>
  </sheetViews>
  <sheetFormatPr baseColWidth="10" defaultColWidth="8.6640625" defaultRowHeight="14.4" x14ac:dyDescent="0.3"/>
  <cols>
    <col min="1" max="1" width="5" customWidth="1"/>
    <col min="2" max="2" width="12" customWidth="1"/>
    <col min="3" max="3" width="28" customWidth="1"/>
    <col min="4" max="6" width="12" customWidth="1"/>
    <col min="7" max="7" width="10" customWidth="1"/>
    <col min="8" max="10" width="12" customWidth="1"/>
  </cols>
  <sheetData>
    <row r="1" spans="1:10" ht="39.75" customHeight="1" x14ac:dyDescent="0.3">
      <c r="A1" s="75" t="s">
        <v>334</v>
      </c>
      <c r="B1" s="75"/>
      <c r="C1" s="75"/>
      <c r="D1" s="75"/>
      <c r="E1" s="75"/>
      <c r="F1" s="75"/>
      <c r="G1" s="75"/>
      <c r="H1" s="75"/>
      <c r="I1" s="75"/>
      <c r="J1" s="75"/>
    </row>
    <row r="2" spans="1:10" ht="19.5" customHeight="1" x14ac:dyDescent="0.3">
      <c r="A2" s="13" t="s">
        <v>335</v>
      </c>
      <c r="B2" s="13"/>
      <c r="C2" s="13"/>
      <c r="D2" s="13"/>
      <c r="E2" s="13"/>
      <c r="F2" s="13"/>
      <c r="G2" s="13"/>
      <c r="H2" s="13"/>
      <c r="I2" s="13"/>
      <c r="J2" s="13"/>
    </row>
    <row r="3" spans="1:10" ht="9.75" customHeight="1" x14ac:dyDescent="0.3"/>
    <row r="4" spans="1:10" ht="24" customHeight="1" x14ac:dyDescent="0.3">
      <c r="A4" s="140" t="s">
        <v>336</v>
      </c>
      <c r="B4" s="140"/>
      <c r="C4" s="140"/>
      <c r="D4" s="140"/>
      <c r="E4" s="140"/>
      <c r="F4" s="140"/>
      <c r="G4" s="140"/>
      <c r="H4" s="140"/>
      <c r="I4" s="140"/>
      <c r="J4" s="140"/>
    </row>
    <row r="5" spans="1:10" ht="21.75" customHeight="1" x14ac:dyDescent="0.3">
      <c r="A5" s="147" t="s">
        <v>5</v>
      </c>
      <c r="B5" s="147"/>
      <c r="C5" s="147"/>
      <c r="D5" s="9">
        <f>'🏠 PORTADA'!I5</f>
        <v>0</v>
      </c>
      <c r="E5" s="9"/>
      <c r="F5" s="9"/>
      <c r="G5" s="9"/>
      <c r="H5" s="9"/>
      <c r="I5" s="9"/>
      <c r="J5" s="9"/>
    </row>
    <row r="6" spans="1:10" ht="21.75" customHeight="1" x14ac:dyDescent="0.3">
      <c r="A6" s="148" t="s">
        <v>6</v>
      </c>
      <c r="B6" s="148"/>
      <c r="C6" s="148"/>
      <c r="D6" s="9">
        <f>'🏠 PORTADA'!I6</f>
        <v>0</v>
      </c>
      <c r="E6" s="9"/>
      <c r="F6" s="9"/>
      <c r="G6" s="9"/>
      <c r="H6" s="9"/>
      <c r="I6" s="9"/>
      <c r="J6" s="9"/>
    </row>
    <row r="7" spans="1:10" ht="21.75" customHeight="1" x14ac:dyDescent="0.3">
      <c r="A7" s="147" t="s">
        <v>337</v>
      </c>
      <c r="B7" s="147"/>
      <c r="C7" s="147"/>
      <c r="D7" s="9">
        <f>'🏠 PORTADA'!I8</f>
        <v>0</v>
      </c>
      <c r="E7" s="9"/>
      <c r="F7" s="9"/>
      <c r="G7" s="9"/>
      <c r="H7" s="9"/>
      <c r="I7" s="9"/>
      <c r="J7" s="9"/>
    </row>
    <row r="8" spans="1:10" ht="21.75" customHeight="1" x14ac:dyDescent="0.3">
      <c r="A8" s="148" t="s">
        <v>338</v>
      </c>
      <c r="B8" s="148"/>
      <c r="C8" s="148"/>
      <c r="D8" s="9">
        <f>'🏠 PORTADA'!I9</f>
        <v>0</v>
      </c>
      <c r="E8" s="9"/>
      <c r="F8" s="9"/>
      <c r="G8" s="9"/>
      <c r="H8" s="9"/>
      <c r="I8" s="9"/>
      <c r="J8" s="9"/>
    </row>
    <row r="9" spans="1:10" ht="21.75" customHeight="1" x14ac:dyDescent="0.3">
      <c r="A9" s="147" t="s">
        <v>339</v>
      </c>
      <c r="B9" s="147"/>
      <c r="C9" s="147"/>
      <c r="D9" s="9">
        <f>'🏠 PORTADA'!I15</f>
        <v>0</v>
      </c>
      <c r="E9" s="9"/>
      <c r="F9" s="9"/>
      <c r="G9" s="9"/>
      <c r="H9" s="9"/>
      <c r="I9" s="9"/>
      <c r="J9" s="9"/>
    </row>
    <row r="10" spans="1:10" ht="21.75" customHeight="1" x14ac:dyDescent="0.3">
      <c r="A10" s="148" t="s">
        <v>340</v>
      </c>
      <c r="B10" s="148"/>
      <c r="C10" s="148"/>
      <c r="D10" s="9">
        <f>'🏠 PORTADA'!I17</f>
        <v>0</v>
      </c>
      <c r="E10" s="9"/>
      <c r="F10" s="9"/>
      <c r="G10" s="9"/>
      <c r="H10" s="9"/>
      <c r="I10" s="9"/>
      <c r="J10" s="9"/>
    </row>
    <row r="12" spans="1:10" ht="27.75" customHeight="1" x14ac:dyDescent="0.3">
      <c r="A12" s="149" t="s">
        <v>341</v>
      </c>
      <c r="B12" s="149"/>
      <c r="C12" s="149"/>
      <c r="D12" s="149"/>
      <c r="E12" s="149"/>
      <c r="F12" s="149"/>
      <c r="G12" s="149"/>
      <c r="H12" s="149"/>
      <c r="I12" s="149"/>
      <c r="J12" s="149"/>
    </row>
    <row r="13" spans="1:10" ht="24" customHeight="1" x14ac:dyDescent="0.3">
      <c r="A13" s="141" t="s">
        <v>342</v>
      </c>
      <c r="B13" s="141"/>
      <c r="C13" s="141"/>
      <c r="D13" s="141"/>
      <c r="E13" s="141"/>
      <c r="F13" s="141"/>
      <c r="G13" s="150">
        <f>COUNTA('📄 MATRIZ DOCUMENTAL'!C8:C500)-COUNTBLANK('📄 MATRIZ DOCUMENTAL'!C8:C500)</f>
        <v>-277</v>
      </c>
      <c r="H13" s="150"/>
      <c r="I13" s="151"/>
      <c r="J13" s="151"/>
    </row>
    <row r="14" spans="1:10" ht="24" customHeight="1" x14ac:dyDescent="0.3">
      <c r="A14" s="144" t="s">
        <v>343</v>
      </c>
      <c r="B14" s="144"/>
      <c r="C14" s="144"/>
      <c r="D14" s="144"/>
      <c r="E14" s="144"/>
      <c r="F14" s="144"/>
      <c r="G14" s="152">
        <f>COUNTIF('📄 MATRIZ DOCUMENTAL'!E8:E500,"✅ CARGADO")</f>
        <v>0</v>
      </c>
      <c r="H14" s="152"/>
      <c r="I14" s="153"/>
      <c r="J14" s="153"/>
    </row>
    <row r="15" spans="1:10" ht="24" customHeight="1" x14ac:dyDescent="0.3">
      <c r="A15" s="141" t="s">
        <v>344</v>
      </c>
      <c r="B15" s="141"/>
      <c r="C15" s="141"/>
      <c r="D15" s="141"/>
      <c r="E15" s="141"/>
      <c r="F15" s="141"/>
      <c r="G15" s="154">
        <f>COUNTIF('📄 MATRIZ DOCUMENTAL'!E8:E500,"⏳ EN PROCESO")</f>
        <v>108</v>
      </c>
      <c r="H15" s="154"/>
      <c r="I15" s="151"/>
      <c r="J15" s="151"/>
    </row>
    <row r="16" spans="1:10" ht="24" customHeight="1" x14ac:dyDescent="0.3">
      <c r="A16" s="144" t="s">
        <v>345</v>
      </c>
      <c r="B16" s="144"/>
      <c r="C16" s="144"/>
      <c r="D16" s="144"/>
      <c r="E16" s="144"/>
      <c r="F16" s="144"/>
      <c r="G16" s="126">
        <f>COUNTIF('📄 MATRIZ DOCUMENTAL'!E8:E500,"❌ NO REALIZADO")</f>
        <v>0</v>
      </c>
      <c r="H16" s="126"/>
      <c r="I16" s="153"/>
      <c r="J16" s="153"/>
    </row>
    <row r="17" spans="1:10" ht="24" customHeight="1" x14ac:dyDescent="0.3">
      <c r="A17" s="141" t="s">
        <v>346</v>
      </c>
      <c r="B17" s="141"/>
      <c r="C17" s="141"/>
      <c r="D17" s="141"/>
      <c r="E17" s="141"/>
      <c r="F17" s="141"/>
      <c r="G17" s="155">
        <f>IFERROR(COUNTIF('📄 MATRIZ DOCUMENTAL'!E8:E500,"✅ CARGADO")/MAX(1,COUNTA('📄 MATRIZ DOCUMENTAL'!C8:C500)-COUNTBLANK('📄 MATRIZ DOCUMENTAL'!C8:C500)),0)</f>
        <v>0</v>
      </c>
      <c r="H17" s="155"/>
      <c r="I17" s="151"/>
      <c r="J17" s="151"/>
    </row>
    <row r="18" spans="1:10" ht="24" customHeight="1" x14ac:dyDescent="0.3">
      <c r="A18" s="144" t="s">
        <v>347</v>
      </c>
      <c r="B18" s="144"/>
      <c r="C18" s="144"/>
      <c r="D18" s="144"/>
      <c r="E18" s="144"/>
      <c r="F18" s="144"/>
      <c r="G18" s="152">
        <f>COUNTIF('⚕ REPS – Servicios'!K9:K300,"✅ SÍ")</f>
        <v>0</v>
      </c>
      <c r="H18" s="152"/>
      <c r="I18" s="153"/>
      <c r="J18" s="153"/>
    </row>
    <row r="19" spans="1:10" ht="24" customHeight="1" x14ac:dyDescent="0.3">
      <c r="A19" s="141" t="s">
        <v>348</v>
      </c>
      <c r="B19" s="141"/>
      <c r="C19" s="141"/>
      <c r="D19" s="141"/>
      <c r="E19" s="141"/>
      <c r="F19" s="141"/>
      <c r="G19" s="126">
        <f>COUNTIF('⚕ REPS – Servicios'!K9:K300,"❌ NO")</f>
        <v>0</v>
      </c>
      <c r="H19" s="126"/>
      <c r="I19" s="151"/>
      <c r="J19" s="151"/>
    </row>
    <row r="20" spans="1:10" ht="24" customHeight="1" x14ac:dyDescent="0.3">
      <c r="A20" s="144" t="s">
        <v>349</v>
      </c>
      <c r="B20" s="144"/>
      <c r="C20" s="144"/>
      <c r="D20" s="144"/>
      <c r="E20" s="144"/>
      <c r="F20" s="144"/>
      <c r="G20" s="156">
        <f>COUNTIF('🏗 REPS – Capacidad'!G7:G200,"✅ SÍ")</f>
        <v>0</v>
      </c>
      <c r="H20" s="156"/>
      <c r="I20" s="153"/>
      <c r="J20" s="153"/>
    </row>
    <row r="21" spans="1:10" ht="24" customHeight="1" x14ac:dyDescent="0.3">
      <c r="A21" s="141" t="s">
        <v>350</v>
      </c>
      <c r="B21" s="141"/>
      <c r="C21" s="141"/>
      <c r="D21" s="141"/>
      <c r="E21" s="141"/>
      <c r="F21" s="141"/>
      <c r="G21" s="150">
        <f>COUNTIF('⚠ REPS – Sanciones'!E7:E100,"Activa")</f>
        <v>0</v>
      </c>
      <c r="H21" s="150"/>
      <c r="I21" s="151"/>
      <c r="J21" s="151"/>
    </row>
    <row r="22" spans="1:10" ht="24" customHeight="1" x14ac:dyDescent="0.3">
      <c r="A22" s="144" t="s">
        <v>351</v>
      </c>
      <c r="B22" s="144"/>
      <c r="C22" s="144"/>
      <c r="D22" s="144"/>
      <c r="E22" s="144"/>
      <c r="F22" s="144"/>
      <c r="G22" s="156">
        <f>COUNTA('📊 DASHBOARD'!B20:B100)-COUNTBLANK('📊 DASHBOARD'!B20:B100)</f>
        <v>-81</v>
      </c>
      <c r="H22" s="156"/>
      <c r="I22" s="153"/>
      <c r="J22" s="153"/>
    </row>
    <row r="23" spans="1:10" ht="24" customHeight="1" x14ac:dyDescent="0.3">
      <c r="A23" s="141" t="s">
        <v>352</v>
      </c>
      <c r="B23" s="141"/>
      <c r="C23" s="141"/>
      <c r="D23" s="141"/>
      <c r="E23" s="141"/>
      <c r="F23" s="141"/>
      <c r="G23" s="126">
        <f>COUNTIF('📊 DASHBOARD'!D20:D100,"No Conformidad Mayor")</f>
        <v>0</v>
      </c>
      <c r="H23" s="126"/>
      <c r="I23" s="151"/>
      <c r="J23" s="151"/>
    </row>
    <row r="24" spans="1:10" ht="24" customHeight="1" x14ac:dyDescent="0.3">
      <c r="A24" s="144" t="s">
        <v>353</v>
      </c>
      <c r="B24" s="144"/>
      <c r="C24" s="144"/>
      <c r="D24" s="144"/>
      <c r="E24" s="144"/>
      <c r="F24" s="144"/>
      <c r="G24" s="126">
        <f>COUNTIF('📊 DASHBOARD'!H20:H100,"Abierto")</f>
        <v>0</v>
      </c>
      <c r="H24" s="126"/>
      <c r="I24" s="153"/>
      <c r="J24" s="153"/>
    </row>
    <row r="25" spans="1:10" ht="24" customHeight="1" x14ac:dyDescent="0.3">
      <c r="A25" s="141" t="s">
        <v>354</v>
      </c>
      <c r="B25" s="141"/>
      <c r="C25" s="141"/>
      <c r="D25" s="141"/>
      <c r="E25" s="141"/>
      <c r="F25" s="141"/>
      <c r="G25" s="152">
        <f>COUNTIF('📊 DASHBOARD'!H20:H100,"Cerrado")</f>
        <v>0</v>
      </c>
      <c r="H25" s="152"/>
      <c r="I25" s="151"/>
      <c r="J25" s="151"/>
    </row>
    <row r="27" spans="1:10" ht="27.75" customHeight="1" x14ac:dyDescent="0.3">
      <c r="A27" s="140" t="s">
        <v>355</v>
      </c>
      <c r="B27" s="140"/>
      <c r="C27" s="140"/>
      <c r="D27" s="140"/>
      <c r="E27" s="140"/>
      <c r="F27" s="140"/>
      <c r="G27" s="140"/>
      <c r="H27" s="140"/>
      <c r="I27" s="140"/>
      <c r="J27" s="140"/>
    </row>
    <row r="28" spans="1:10" ht="19.5" customHeight="1" x14ac:dyDescent="0.3">
      <c r="A28" s="157"/>
      <c r="B28" s="157"/>
      <c r="C28" s="157"/>
      <c r="D28" s="157"/>
      <c r="E28" s="157"/>
      <c r="F28" s="157"/>
      <c r="G28" s="157"/>
      <c r="H28" s="157"/>
      <c r="I28" s="157"/>
      <c r="J28" s="157"/>
    </row>
    <row r="29" spans="1:10" ht="19.5" customHeight="1" x14ac:dyDescent="0.3">
      <c r="A29" s="157"/>
      <c r="B29" s="157"/>
      <c r="C29" s="157"/>
      <c r="D29" s="157"/>
      <c r="E29" s="157"/>
      <c r="F29" s="157"/>
      <c r="G29" s="157"/>
      <c r="H29" s="157"/>
      <c r="I29" s="157"/>
      <c r="J29" s="157"/>
    </row>
    <row r="30" spans="1:10" ht="19.5" customHeight="1" x14ac:dyDescent="0.3">
      <c r="A30" s="157"/>
      <c r="B30" s="157"/>
      <c r="C30" s="157"/>
      <c r="D30" s="157"/>
      <c r="E30" s="157"/>
      <c r="F30" s="157"/>
      <c r="G30" s="157"/>
      <c r="H30" s="157"/>
      <c r="I30" s="157"/>
      <c r="J30" s="157"/>
    </row>
    <row r="31" spans="1:10" ht="19.5" customHeight="1" x14ac:dyDescent="0.3">
      <c r="A31" s="157"/>
      <c r="B31" s="157"/>
      <c r="C31" s="157"/>
      <c r="D31" s="157"/>
      <c r="E31" s="157"/>
      <c r="F31" s="157"/>
      <c r="G31" s="157"/>
      <c r="H31" s="157"/>
      <c r="I31" s="157"/>
      <c r="J31" s="157"/>
    </row>
    <row r="32" spans="1:10" ht="19.5" customHeight="1" x14ac:dyDescent="0.3">
      <c r="A32" s="157"/>
      <c r="B32" s="157"/>
      <c r="C32" s="157"/>
      <c r="D32" s="157"/>
      <c r="E32" s="157"/>
      <c r="F32" s="157"/>
      <c r="G32" s="157"/>
      <c r="H32" s="157"/>
      <c r="I32" s="157"/>
      <c r="J32" s="157"/>
    </row>
    <row r="33" spans="1:10" ht="19.5" customHeight="1" x14ac:dyDescent="0.3">
      <c r="A33" s="157"/>
      <c r="B33" s="157"/>
      <c r="C33" s="157"/>
      <c r="D33" s="157"/>
      <c r="E33" s="157"/>
      <c r="F33" s="157"/>
      <c r="G33" s="157"/>
      <c r="H33" s="157"/>
      <c r="I33" s="157"/>
      <c r="J33" s="157"/>
    </row>
    <row r="34" spans="1:10" ht="19.5" customHeight="1" x14ac:dyDescent="0.3">
      <c r="A34" s="157"/>
      <c r="B34" s="157"/>
      <c r="C34" s="157"/>
      <c r="D34" s="157"/>
      <c r="E34" s="157"/>
      <c r="F34" s="157"/>
      <c r="G34" s="157"/>
      <c r="H34" s="157"/>
      <c r="I34" s="157"/>
      <c r="J34" s="157"/>
    </row>
    <row r="35" spans="1:10" ht="19.5" customHeight="1" x14ac:dyDescent="0.3">
      <c r="A35" s="157"/>
      <c r="B35" s="157"/>
      <c r="C35" s="157"/>
      <c r="D35" s="157"/>
      <c r="E35" s="157"/>
      <c r="F35" s="157"/>
      <c r="G35" s="157"/>
      <c r="H35" s="157"/>
      <c r="I35" s="157"/>
      <c r="J35" s="157"/>
    </row>
    <row r="36" spans="1:10" ht="19.5" customHeight="1" x14ac:dyDescent="0.3">
      <c r="A36" s="157"/>
      <c r="B36" s="157"/>
      <c r="C36" s="157"/>
      <c r="D36" s="157"/>
      <c r="E36" s="157"/>
      <c r="F36" s="157"/>
      <c r="G36" s="157"/>
      <c r="H36" s="157"/>
      <c r="I36" s="157"/>
      <c r="J36" s="157"/>
    </row>
    <row r="37" spans="1:10" ht="27.75" customHeight="1" x14ac:dyDescent="0.3">
      <c r="A37" s="158" t="s">
        <v>356</v>
      </c>
      <c r="B37" s="158"/>
      <c r="C37" s="158"/>
      <c r="D37" s="158"/>
      <c r="F37" s="158" t="s">
        <v>357</v>
      </c>
      <c r="G37" s="158"/>
      <c r="H37" s="158"/>
      <c r="I37" s="158"/>
      <c r="J37" s="158"/>
    </row>
    <row r="38" spans="1:10" ht="27.75" customHeight="1" x14ac:dyDescent="0.3">
      <c r="A38" s="158"/>
      <c r="B38" s="158"/>
      <c r="C38" s="158"/>
      <c r="D38" s="158"/>
      <c r="F38" s="158"/>
      <c r="G38" s="158"/>
      <c r="H38" s="158"/>
      <c r="I38" s="158"/>
      <c r="J38" s="158"/>
    </row>
    <row r="39" spans="1:10" ht="27.75" customHeight="1" x14ac:dyDescent="0.3">
      <c r="A39" s="158"/>
      <c r="B39" s="158"/>
      <c r="C39" s="158"/>
      <c r="D39" s="158"/>
      <c r="F39" s="158"/>
      <c r="G39" s="158"/>
      <c r="H39" s="158"/>
      <c r="I39" s="158"/>
      <c r="J39" s="158"/>
    </row>
    <row r="41" spans="1:10" ht="24.75" customHeight="1" x14ac:dyDescent="0.3">
      <c r="A41" s="74"/>
      <c r="B41" s="74"/>
      <c r="C41" s="74"/>
      <c r="D41" s="74"/>
      <c r="E41" s="74"/>
      <c r="F41" s="74"/>
      <c r="G41" s="74"/>
      <c r="H41" s="74"/>
      <c r="I41" s="74"/>
      <c r="J41" s="74"/>
    </row>
  </sheetData>
  <mergeCells count="60">
    <mergeCell ref="A37:D39"/>
    <mergeCell ref="F37:J39"/>
    <mergeCell ref="A41:J41"/>
    <mergeCell ref="A25:F25"/>
    <mergeCell ref="G25:H25"/>
    <mergeCell ref="I25:J25"/>
    <mergeCell ref="A27:J27"/>
    <mergeCell ref="A28:J36"/>
    <mergeCell ref="A23:F23"/>
    <mergeCell ref="G23:H23"/>
    <mergeCell ref="I23:J23"/>
    <mergeCell ref="A24:F24"/>
    <mergeCell ref="G24:H24"/>
    <mergeCell ref="I24:J24"/>
    <mergeCell ref="A21:F21"/>
    <mergeCell ref="G21:H21"/>
    <mergeCell ref="I21:J21"/>
    <mergeCell ref="A22:F22"/>
    <mergeCell ref="G22:H22"/>
    <mergeCell ref="I22:J22"/>
    <mergeCell ref="A19:F19"/>
    <mergeCell ref="G19:H19"/>
    <mergeCell ref="I19:J19"/>
    <mergeCell ref="A20:F20"/>
    <mergeCell ref="G20:H20"/>
    <mergeCell ref="I20:J20"/>
    <mergeCell ref="A17:F17"/>
    <mergeCell ref="G17:H17"/>
    <mergeCell ref="I17:J17"/>
    <mergeCell ref="A18:F18"/>
    <mergeCell ref="G18:H18"/>
    <mergeCell ref="I18:J18"/>
    <mergeCell ref="A15:F15"/>
    <mergeCell ref="G15:H15"/>
    <mergeCell ref="I15:J15"/>
    <mergeCell ref="A16:F16"/>
    <mergeCell ref="G16:H16"/>
    <mergeCell ref="I16:J16"/>
    <mergeCell ref="A13:F13"/>
    <mergeCell ref="G13:H13"/>
    <mergeCell ref="I13:J13"/>
    <mergeCell ref="A14:F14"/>
    <mergeCell ref="G14:H14"/>
    <mergeCell ref="I14:J14"/>
    <mergeCell ref="A9:C9"/>
    <mergeCell ref="D9:J9"/>
    <mergeCell ref="A10:C10"/>
    <mergeCell ref="D10:J10"/>
    <mergeCell ref="A12:J12"/>
    <mergeCell ref="A6:C6"/>
    <mergeCell ref="D6:J6"/>
    <mergeCell ref="A7:C7"/>
    <mergeCell ref="D7:J7"/>
    <mergeCell ref="A8:C8"/>
    <mergeCell ref="D8:J8"/>
    <mergeCell ref="A1:J1"/>
    <mergeCell ref="A2:J2"/>
    <mergeCell ref="A4:J4"/>
    <mergeCell ref="A5:C5"/>
    <mergeCell ref="D5:J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66"/>
  <sheetViews>
    <sheetView showGridLines="0" zoomScaleNormal="100" workbookViewId="0">
      <pane ySplit="4" topLeftCell="A5" activePane="bottomLeft" state="frozen"/>
      <selection pane="bottomLeft" sqref="A1:D1"/>
    </sheetView>
  </sheetViews>
  <sheetFormatPr baseColWidth="10" defaultColWidth="8.6640625" defaultRowHeight="14.4" x14ac:dyDescent="0.3"/>
  <cols>
    <col min="1" max="1" width="9" customWidth="1"/>
    <col min="2" max="2" width="56" customWidth="1"/>
    <col min="3" max="3" width="32" customWidth="1"/>
    <col min="4" max="4" width="3" customWidth="1"/>
  </cols>
  <sheetData>
    <row r="1" spans="1:4" ht="36" customHeight="1" x14ac:dyDescent="0.3">
      <c r="A1" s="107" t="s">
        <v>358</v>
      </c>
      <c r="B1" s="107"/>
      <c r="C1" s="107"/>
      <c r="D1" s="107"/>
    </row>
    <row r="2" spans="1:4" ht="18" customHeight="1" x14ac:dyDescent="0.3">
      <c r="A2" s="13" t="s">
        <v>359</v>
      </c>
      <c r="B2" s="13"/>
      <c r="C2" s="13"/>
      <c r="D2" s="13"/>
    </row>
    <row r="3" spans="1:4" ht="7.5" customHeight="1" x14ac:dyDescent="0.3"/>
    <row r="4" spans="1:4" ht="27.75" customHeight="1" x14ac:dyDescent="0.3">
      <c r="A4" s="69" t="s">
        <v>360</v>
      </c>
      <c r="B4" s="69" t="s">
        <v>361</v>
      </c>
      <c r="C4" s="69" t="s">
        <v>261</v>
      </c>
      <c r="D4" s="69"/>
    </row>
    <row r="5" spans="1:4" ht="18" customHeight="1" x14ac:dyDescent="0.3">
      <c r="A5" s="80" t="s">
        <v>362</v>
      </c>
      <c r="B5" s="80"/>
      <c r="C5" s="80"/>
      <c r="D5" s="80"/>
    </row>
    <row r="6" spans="1:4" ht="16.5" customHeight="1" x14ac:dyDescent="0.3">
      <c r="A6" s="54">
        <v>105</v>
      </c>
      <c r="B6" s="56" t="s">
        <v>363</v>
      </c>
      <c r="C6" s="70" t="s">
        <v>364</v>
      </c>
      <c r="D6" s="58"/>
    </row>
    <row r="7" spans="1:4" ht="16.5" customHeight="1" x14ac:dyDescent="0.3">
      <c r="A7" s="49">
        <v>106</v>
      </c>
      <c r="B7" s="59" t="s">
        <v>365</v>
      </c>
      <c r="C7" s="71" t="s">
        <v>364</v>
      </c>
      <c r="D7" s="61"/>
    </row>
    <row r="8" spans="1:4" ht="16.5" customHeight="1" x14ac:dyDescent="0.3">
      <c r="A8" s="54">
        <v>107</v>
      </c>
      <c r="B8" s="56" t="s">
        <v>366</v>
      </c>
      <c r="C8" s="70" t="s">
        <v>364</v>
      </c>
      <c r="D8" s="58"/>
    </row>
    <row r="9" spans="1:4" ht="16.5" customHeight="1" x14ac:dyDescent="0.3">
      <c r="A9" s="49">
        <v>108</v>
      </c>
      <c r="B9" s="59" t="s">
        <v>367</v>
      </c>
      <c r="C9" s="71" t="s">
        <v>364</v>
      </c>
      <c r="D9" s="61"/>
    </row>
    <row r="10" spans="1:4" ht="16.5" customHeight="1" x14ac:dyDescent="0.3">
      <c r="A10" s="54">
        <v>109</v>
      </c>
      <c r="B10" s="56" t="s">
        <v>368</v>
      </c>
      <c r="C10" s="70" t="s">
        <v>364</v>
      </c>
      <c r="D10" s="58"/>
    </row>
    <row r="11" spans="1:4" ht="16.5" customHeight="1" x14ac:dyDescent="0.3">
      <c r="A11" s="49">
        <v>110</v>
      </c>
      <c r="B11" s="59" t="s">
        <v>369</v>
      </c>
      <c r="C11" s="71" t="s">
        <v>364</v>
      </c>
      <c r="D11" s="61"/>
    </row>
    <row r="12" spans="1:4" ht="16.5" customHeight="1" x14ac:dyDescent="0.3">
      <c r="A12" s="54">
        <v>120</v>
      </c>
      <c r="B12" s="56" t="s">
        <v>370</v>
      </c>
      <c r="C12" s="70" t="s">
        <v>364</v>
      </c>
      <c r="D12" s="58"/>
    </row>
    <row r="13" spans="1:4" ht="16.5" customHeight="1" x14ac:dyDescent="0.3">
      <c r="A13" s="49">
        <v>129</v>
      </c>
      <c r="B13" s="59" t="s">
        <v>371</v>
      </c>
      <c r="C13" s="71" t="s">
        <v>364</v>
      </c>
      <c r="D13" s="61"/>
    </row>
    <row r="14" spans="1:4" ht="16.5" customHeight="1" x14ac:dyDescent="0.3">
      <c r="A14" s="54">
        <v>130</v>
      </c>
      <c r="B14" s="56" t="s">
        <v>372</v>
      </c>
      <c r="C14" s="70" t="s">
        <v>364</v>
      </c>
      <c r="D14" s="58"/>
    </row>
    <row r="15" spans="1:4" ht="16.5" customHeight="1" x14ac:dyDescent="0.3">
      <c r="A15" s="49">
        <v>131</v>
      </c>
      <c r="B15" s="59" t="s">
        <v>373</v>
      </c>
      <c r="C15" s="71" t="s">
        <v>364</v>
      </c>
      <c r="D15" s="61"/>
    </row>
    <row r="16" spans="1:4" ht="16.5" customHeight="1" x14ac:dyDescent="0.3">
      <c r="A16" s="54">
        <v>132</v>
      </c>
      <c r="B16" s="56" t="s">
        <v>374</v>
      </c>
      <c r="C16" s="70" t="s">
        <v>364</v>
      </c>
      <c r="D16" s="58"/>
    </row>
    <row r="17" spans="1:4" ht="16.5" customHeight="1" x14ac:dyDescent="0.3">
      <c r="A17" s="49">
        <v>133</v>
      </c>
      <c r="B17" s="59" t="s">
        <v>375</v>
      </c>
      <c r="C17" s="71" t="s">
        <v>364</v>
      </c>
      <c r="D17" s="61"/>
    </row>
    <row r="18" spans="1:4" ht="16.5" customHeight="1" x14ac:dyDescent="0.3">
      <c r="A18" s="54">
        <v>134</v>
      </c>
      <c r="B18" s="56" t="s">
        <v>376</v>
      </c>
      <c r="C18" s="70" t="s">
        <v>364</v>
      </c>
      <c r="D18" s="58"/>
    </row>
    <row r="19" spans="1:4" ht="16.5" customHeight="1" x14ac:dyDescent="0.3">
      <c r="A19" s="49">
        <v>135</v>
      </c>
      <c r="B19" s="59" t="s">
        <v>377</v>
      </c>
      <c r="C19" s="71" t="s">
        <v>364</v>
      </c>
      <c r="D19" s="61"/>
    </row>
    <row r="20" spans="1:4" ht="16.5" customHeight="1" x14ac:dyDescent="0.3">
      <c r="A20" s="54">
        <v>138</v>
      </c>
      <c r="B20" s="56" t="s">
        <v>378</v>
      </c>
      <c r="C20" s="70" t="s">
        <v>364</v>
      </c>
      <c r="D20" s="58"/>
    </row>
    <row r="21" spans="1:4" ht="18" customHeight="1" x14ac:dyDescent="0.3">
      <c r="A21" s="80" t="s">
        <v>379</v>
      </c>
      <c r="B21" s="80"/>
      <c r="C21" s="80"/>
      <c r="D21" s="80"/>
    </row>
    <row r="22" spans="1:4" ht="16.5" customHeight="1" x14ac:dyDescent="0.3">
      <c r="A22" s="54">
        <v>201</v>
      </c>
      <c r="B22" s="56" t="s">
        <v>380</v>
      </c>
      <c r="C22" s="70" t="s">
        <v>381</v>
      </c>
      <c r="D22" s="58"/>
    </row>
    <row r="23" spans="1:4" ht="16.5" customHeight="1" x14ac:dyDescent="0.3">
      <c r="A23" s="49">
        <v>202</v>
      </c>
      <c r="B23" s="59" t="s">
        <v>382</v>
      </c>
      <c r="C23" s="71" t="s">
        <v>381</v>
      </c>
      <c r="D23" s="61"/>
    </row>
    <row r="24" spans="1:4" ht="16.5" customHeight="1" x14ac:dyDescent="0.3">
      <c r="A24" s="54">
        <v>203</v>
      </c>
      <c r="B24" s="56" t="s">
        <v>383</v>
      </c>
      <c r="C24" s="70" t="s">
        <v>381</v>
      </c>
      <c r="D24" s="58"/>
    </row>
    <row r="25" spans="1:4" ht="16.5" customHeight="1" x14ac:dyDescent="0.3">
      <c r="A25" s="49">
        <v>204</v>
      </c>
      <c r="B25" s="59" t="s">
        <v>384</v>
      </c>
      <c r="C25" s="71" t="s">
        <v>381</v>
      </c>
      <c r="D25" s="61"/>
    </row>
    <row r="26" spans="1:4" ht="16.5" customHeight="1" x14ac:dyDescent="0.3">
      <c r="A26" s="54">
        <v>205</v>
      </c>
      <c r="B26" s="56" t="s">
        <v>385</v>
      </c>
      <c r="C26" s="70" t="s">
        <v>381</v>
      </c>
      <c r="D26" s="58"/>
    </row>
    <row r="27" spans="1:4" ht="16.5" customHeight="1" x14ac:dyDescent="0.3">
      <c r="A27" s="49">
        <v>207</v>
      </c>
      <c r="B27" s="59" t="s">
        <v>386</v>
      </c>
      <c r="C27" s="71" t="s">
        <v>381</v>
      </c>
      <c r="D27" s="61"/>
    </row>
    <row r="28" spans="1:4" ht="16.5" customHeight="1" x14ac:dyDescent="0.3">
      <c r="A28" s="54">
        <v>208</v>
      </c>
      <c r="B28" s="56" t="s">
        <v>387</v>
      </c>
      <c r="C28" s="70" t="s">
        <v>381</v>
      </c>
      <c r="D28" s="58"/>
    </row>
    <row r="29" spans="1:4" ht="16.5" customHeight="1" x14ac:dyDescent="0.3">
      <c r="A29" s="49">
        <v>209</v>
      </c>
      <c r="B29" s="59" t="s">
        <v>388</v>
      </c>
      <c r="C29" s="71" t="s">
        <v>381</v>
      </c>
      <c r="D29" s="61"/>
    </row>
    <row r="30" spans="1:4" ht="16.5" customHeight="1" x14ac:dyDescent="0.3">
      <c r="A30" s="54">
        <v>210</v>
      </c>
      <c r="B30" s="56" t="s">
        <v>389</v>
      </c>
      <c r="C30" s="70" t="s">
        <v>381</v>
      </c>
      <c r="D30" s="58"/>
    </row>
    <row r="31" spans="1:4" ht="16.5" customHeight="1" x14ac:dyDescent="0.3">
      <c r="A31" s="49">
        <v>211</v>
      </c>
      <c r="B31" s="59" t="s">
        <v>390</v>
      </c>
      <c r="C31" s="71" t="s">
        <v>381</v>
      </c>
      <c r="D31" s="61"/>
    </row>
    <row r="32" spans="1:4" ht="16.5" customHeight="1" x14ac:dyDescent="0.3">
      <c r="A32" s="54">
        <v>212</v>
      </c>
      <c r="B32" s="56" t="s">
        <v>391</v>
      </c>
      <c r="C32" s="70" t="s">
        <v>381</v>
      </c>
      <c r="D32" s="58"/>
    </row>
    <row r="33" spans="1:4" ht="16.5" customHeight="1" x14ac:dyDescent="0.3">
      <c r="A33" s="49">
        <v>213</v>
      </c>
      <c r="B33" s="59" t="s">
        <v>392</v>
      </c>
      <c r="C33" s="71" t="s">
        <v>381</v>
      </c>
      <c r="D33" s="61"/>
    </row>
    <row r="34" spans="1:4" ht="16.5" customHeight="1" x14ac:dyDescent="0.3">
      <c r="A34" s="54">
        <v>214</v>
      </c>
      <c r="B34" s="56" t="s">
        <v>393</v>
      </c>
      <c r="C34" s="70" t="s">
        <v>381</v>
      </c>
      <c r="D34" s="58"/>
    </row>
    <row r="35" spans="1:4" ht="16.5" customHeight="1" x14ac:dyDescent="0.3">
      <c r="A35" s="49">
        <v>215</v>
      </c>
      <c r="B35" s="59" t="s">
        <v>394</v>
      </c>
      <c r="C35" s="71" t="s">
        <v>381</v>
      </c>
      <c r="D35" s="61"/>
    </row>
    <row r="36" spans="1:4" ht="16.5" customHeight="1" x14ac:dyDescent="0.3">
      <c r="A36" s="54">
        <v>217</v>
      </c>
      <c r="B36" s="56" t="s">
        <v>395</v>
      </c>
      <c r="C36" s="70" t="s">
        <v>381</v>
      </c>
      <c r="D36" s="58"/>
    </row>
    <row r="37" spans="1:4" ht="16.5" customHeight="1" x14ac:dyDescent="0.3">
      <c r="A37" s="49">
        <v>218</v>
      </c>
      <c r="B37" s="59" t="s">
        <v>396</v>
      </c>
      <c r="C37" s="71" t="s">
        <v>381</v>
      </c>
      <c r="D37" s="61"/>
    </row>
    <row r="38" spans="1:4" ht="16.5" customHeight="1" x14ac:dyDescent="0.3">
      <c r="A38" s="54">
        <v>227</v>
      </c>
      <c r="B38" s="56" t="s">
        <v>397</v>
      </c>
      <c r="C38" s="70" t="s">
        <v>381</v>
      </c>
      <c r="D38" s="58"/>
    </row>
    <row r="39" spans="1:4" ht="16.5" customHeight="1" x14ac:dyDescent="0.3">
      <c r="A39" s="49">
        <v>231</v>
      </c>
      <c r="B39" s="59" t="s">
        <v>398</v>
      </c>
      <c r="C39" s="71" t="s">
        <v>381</v>
      </c>
      <c r="D39" s="61"/>
    </row>
    <row r="40" spans="1:4" ht="16.5" customHeight="1" x14ac:dyDescent="0.3">
      <c r="A40" s="54">
        <v>232</v>
      </c>
      <c r="B40" s="56" t="s">
        <v>399</v>
      </c>
      <c r="C40" s="70" t="s">
        <v>381</v>
      </c>
      <c r="D40" s="58"/>
    </row>
    <row r="41" spans="1:4" ht="16.5" customHeight="1" x14ac:dyDescent="0.3">
      <c r="A41" s="49">
        <v>233</v>
      </c>
      <c r="B41" s="59" t="s">
        <v>400</v>
      </c>
      <c r="C41" s="71" t="s">
        <v>381</v>
      </c>
      <c r="D41" s="61"/>
    </row>
    <row r="42" spans="1:4" ht="16.5" customHeight="1" x14ac:dyDescent="0.3">
      <c r="A42" s="54">
        <v>234</v>
      </c>
      <c r="B42" s="56" t="s">
        <v>401</v>
      </c>
      <c r="C42" s="70" t="s">
        <v>381</v>
      </c>
      <c r="D42" s="58"/>
    </row>
    <row r="43" spans="1:4" ht="16.5" customHeight="1" x14ac:dyDescent="0.3">
      <c r="A43" s="49">
        <v>235</v>
      </c>
      <c r="B43" s="59" t="s">
        <v>402</v>
      </c>
      <c r="C43" s="71" t="s">
        <v>381</v>
      </c>
      <c r="D43" s="61"/>
    </row>
    <row r="44" spans="1:4" ht="16.5" customHeight="1" x14ac:dyDescent="0.3">
      <c r="A44" s="54">
        <v>237</v>
      </c>
      <c r="B44" s="56" t="s">
        <v>403</v>
      </c>
      <c r="C44" s="70" t="s">
        <v>381</v>
      </c>
      <c r="D44" s="58"/>
    </row>
    <row r="45" spans="1:4" ht="16.5" customHeight="1" x14ac:dyDescent="0.3">
      <c r="A45" s="49">
        <v>245</v>
      </c>
      <c r="B45" s="59" t="s">
        <v>404</v>
      </c>
      <c r="C45" s="71" t="s">
        <v>381</v>
      </c>
      <c r="D45" s="61"/>
    </row>
    <row r="46" spans="1:4" ht="18" customHeight="1" x14ac:dyDescent="0.3">
      <c r="A46" s="80" t="s">
        <v>405</v>
      </c>
      <c r="B46" s="80"/>
      <c r="C46" s="80"/>
      <c r="D46" s="80"/>
    </row>
    <row r="47" spans="1:4" ht="16.5" customHeight="1" x14ac:dyDescent="0.3">
      <c r="A47" s="54">
        <v>301</v>
      </c>
      <c r="B47" s="56" t="s">
        <v>406</v>
      </c>
      <c r="C47" s="70" t="s">
        <v>407</v>
      </c>
      <c r="D47" s="58"/>
    </row>
    <row r="48" spans="1:4" ht="16.5" customHeight="1" x14ac:dyDescent="0.3">
      <c r="A48" s="49">
        <v>302</v>
      </c>
      <c r="B48" s="59" t="s">
        <v>408</v>
      </c>
      <c r="C48" s="71" t="s">
        <v>407</v>
      </c>
      <c r="D48" s="61"/>
    </row>
    <row r="49" spans="1:4" ht="16.5" customHeight="1" x14ac:dyDescent="0.3">
      <c r="A49" s="54">
        <v>303</v>
      </c>
      <c r="B49" s="56" t="s">
        <v>382</v>
      </c>
      <c r="C49" s="70" t="s">
        <v>407</v>
      </c>
      <c r="D49" s="58"/>
    </row>
    <row r="50" spans="1:4" ht="16.5" customHeight="1" x14ac:dyDescent="0.3">
      <c r="A50" s="49">
        <v>304</v>
      </c>
      <c r="B50" s="59" t="s">
        <v>383</v>
      </c>
      <c r="C50" s="71" t="s">
        <v>407</v>
      </c>
      <c r="D50" s="61"/>
    </row>
    <row r="51" spans="1:4" ht="16.5" customHeight="1" x14ac:dyDescent="0.3">
      <c r="A51" s="54">
        <v>306</v>
      </c>
      <c r="B51" s="56" t="s">
        <v>391</v>
      </c>
      <c r="C51" s="70" t="s">
        <v>407</v>
      </c>
      <c r="D51" s="58"/>
    </row>
    <row r="52" spans="1:4" ht="16.5" customHeight="1" x14ac:dyDescent="0.3">
      <c r="A52" s="49">
        <v>308</v>
      </c>
      <c r="B52" s="59" t="s">
        <v>409</v>
      </c>
      <c r="C52" s="71" t="s">
        <v>407</v>
      </c>
      <c r="D52" s="61"/>
    </row>
    <row r="53" spans="1:4" ht="16.5" customHeight="1" x14ac:dyDescent="0.3">
      <c r="A53" s="54">
        <v>309</v>
      </c>
      <c r="B53" s="56" t="s">
        <v>410</v>
      </c>
      <c r="C53" s="70" t="s">
        <v>407</v>
      </c>
      <c r="D53" s="58"/>
    </row>
    <row r="54" spans="1:4" ht="16.5" customHeight="1" x14ac:dyDescent="0.3">
      <c r="A54" s="49">
        <v>310</v>
      </c>
      <c r="B54" s="59" t="s">
        <v>411</v>
      </c>
      <c r="C54" s="71" t="s">
        <v>407</v>
      </c>
      <c r="D54" s="61"/>
    </row>
    <row r="55" spans="1:4" ht="16.5" customHeight="1" x14ac:dyDescent="0.3">
      <c r="A55" s="54">
        <v>311</v>
      </c>
      <c r="B55" s="56" t="s">
        <v>412</v>
      </c>
      <c r="C55" s="70" t="s">
        <v>407</v>
      </c>
      <c r="D55" s="58"/>
    </row>
    <row r="56" spans="1:4" ht="16.5" customHeight="1" x14ac:dyDescent="0.3">
      <c r="A56" s="49">
        <v>312</v>
      </c>
      <c r="B56" s="59" t="s">
        <v>413</v>
      </c>
      <c r="C56" s="71" t="s">
        <v>407</v>
      </c>
      <c r="D56" s="61"/>
    </row>
    <row r="57" spans="1:4" ht="16.5" customHeight="1" x14ac:dyDescent="0.3">
      <c r="A57" s="54">
        <v>313</v>
      </c>
      <c r="B57" s="56" t="s">
        <v>414</v>
      </c>
      <c r="C57" s="70" t="s">
        <v>407</v>
      </c>
      <c r="D57" s="58"/>
    </row>
    <row r="58" spans="1:4" ht="16.5" customHeight="1" x14ac:dyDescent="0.3">
      <c r="A58" s="49">
        <v>316</v>
      </c>
      <c r="B58" s="59" t="s">
        <v>415</v>
      </c>
      <c r="C58" s="71" t="s">
        <v>407</v>
      </c>
      <c r="D58" s="61"/>
    </row>
    <row r="59" spans="1:4" ht="16.5" customHeight="1" x14ac:dyDescent="0.3">
      <c r="A59" s="54">
        <v>317</v>
      </c>
      <c r="B59" s="56" t="s">
        <v>416</v>
      </c>
      <c r="C59" s="70" t="s">
        <v>407</v>
      </c>
      <c r="D59" s="58"/>
    </row>
    <row r="60" spans="1:4" ht="16.5" customHeight="1" x14ac:dyDescent="0.3">
      <c r="A60" s="49">
        <v>318</v>
      </c>
      <c r="B60" s="59" t="s">
        <v>417</v>
      </c>
      <c r="C60" s="71" t="s">
        <v>407</v>
      </c>
      <c r="D60" s="61"/>
    </row>
    <row r="61" spans="1:4" ht="16.5" customHeight="1" x14ac:dyDescent="0.3">
      <c r="A61" s="54">
        <v>320</v>
      </c>
      <c r="B61" s="56" t="s">
        <v>418</v>
      </c>
      <c r="C61" s="70" t="s">
        <v>407</v>
      </c>
      <c r="D61" s="58"/>
    </row>
    <row r="62" spans="1:4" ht="16.5" customHeight="1" x14ac:dyDescent="0.3">
      <c r="A62" s="49">
        <v>321</v>
      </c>
      <c r="B62" s="59" t="s">
        <v>419</v>
      </c>
      <c r="C62" s="71" t="s">
        <v>407</v>
      </c>
      <c r="D62" s="61"/>
    </row>
    <row r="63" spans="1:4" ht="16.5" customHeight="1" x14ac:dyDescent="0.3">
      <c r="A63" s="54">
        <v>323</v>
      </c>
      <c r="B63" s="56" t="s">
        <v>420</v>
      </c>
      <c r="C63" s="70" t="s">
        <v>407</v>
      </c>
      <c r="D63" s="58"/>
    </row>
    <row r="64" spans="1:4" ht="16.5" customHeight="1" x14ac:dyDescent="0.3">
      <c r="A64" s="49">
        <v>324</v>
      </c>
      <c r="B64" s="59" t="s">
        <v>421</v>
      </c>
      <c r="C64" s="71" t="s">
        <v>407</v>
      </c>
      <c r="D64" s="61"/>
    </row>
    <row r="65" spans="1:4" ht="16.5" customHeight="1" x14ac:dyDescent="0.3">
      <c r="A65" s="54">
        <v>325</v>
      </c>
      <c r="B65" s="56" t="s">
        <v>422</v>
      </c>
      <c r="C65" s="70" t="s">
        <v>407</v>
      </c>
      <c r="D65" s="58"/>
    </row>
    <row r="66" spans="1:4" ht="16.5" customHeight="1" x14ac:dyDescent="0.3">
      <c r="A66" s="49">
        <v>326</v>
      </c>
      <c r="B66" s="59" t="s">
        <v>423</v>
      </c>
      <c r="C66" s="71" t="s">
        <v>407</v>
      </c>
      <c r="D66" s="61"/>
    </row>
    <row r="67" spans="1:4" ht="16.5" customHeight="1" x14ac:dyDescent="0.3">
      <c r="A67" s="54">
        <v>327</v>
      </c>
      <c r="B67" s="56" t="s">
        <v>424</v>
      </c>
      <c r="C67" s="70" t="s">
        <v>407</v>
      </c>
      <c r="D67" s="58"/>
    </row>
    <row r="68" spans="1:4" ht="16.5" customHeight="1" x14ac:dyDescent="0.3">
      <c r="A68" s="49">
        <v>328</v>
      </c>
      <c r="B68" s="59" t="s">
        <v>425</v>
      </c>
      <c r="C68" s="71" t="s">
        <v>407</v>
      </c>
      <c r="D68" s="61"/>
    </row>
    <row r="69" spans="1:4" ht="16.5" customHeight="1" x14ac:dyDescent="0.3">
      <c r="A69" s="54">
        <v>329</v>
      </c>
      <c r="B69" s="56" t="s">
        <v>426</v>
      </c>
      <c r="C69" s="70" t="s">
        <v>407</v>
      </c>
      <c r="D69" s="58"/>
    </row>
    <row r="70" spans="1:4" ht="16.5" customHeight="1" x14ac:dyDescent="0.3">
      <c r="A70" s="49">
        <v>330</v>
      </c>
      <c r="B70" s="59" t="s">
        <v>427</v>
      </c>
      <c r="C70" s="71" t="s">
        <v>407</v>
      </c>
      <c r="D70" s="61"/>
    </row>
    <row r="71" spans="1:4" ht="16.5" customHeight="1" x14ac:dyDescent="0.3">
      <c r="A71" s="54">
        <v>331</v>
      </c>
      <c r="B71" s="56" t="s">
        <v>428</v>
      </c>
      <c r="C71" s="70" t="s">
        <v>407</v>
      </c>
      <c r="D71" s="58"/>
    </row>
    <row r="72" spans="1:4" ht="16.5" customHeight="1" x14ac:dyDescent="0.3">
      <c r="A72" s="49">
        <v>332</v>
      </c>
      <c r="B72" s="59" t="s">
        <v>429</v>
      </c>
      <c r="C72" s="71" t="s">
        <v>407</v>
      </c>
      <c r="D72" s="61"/>
    </row>
    <row r="73" spans="1:4" ht="16.5" customHeight="1" x14ac:dyDescent="0.3">
      <c r="A73" s="54">
        <v>333</v>
      </c>
      <c r="B73" s="56" t="s">
        <v>430</v>
      </c>
      <c r="C73" s="70" t="s">
        <v>407</v>
      </c>
      <c r="D73" s="58"/>
    </row>
    <row r="74" spans="1:4" ht="16.5" customHeight="1" x14ac:dyDescent="0.3">
      <c r="A74" s="49">
        <v>334</v>
      </c>
      <c r="B74" s="59" t="s">
        <v>431</v>
      </c>
      <c r="C74" s="71" t="s">
        <v>407</v>
      </c>
      <c r="D74" s="61"/>
    </row>
    <row r="75" spans="1:4" ht="16.5" customHeight="1" x14ac:dyDescent="0.3">
      <c r="A75" s="54">
        <v>335</v>
      </c>
      <c r="B75" s="56" t="s">
        <v>432</v>
      </c>
      <c r="C75" s="70" t="s">
        <v>407</v>
      </c>
      <c r="D75" s="58"/>
    </row>
    <row r="76" spans="1:4" ht="16.5" customHeight="1" x14ac:dyDescent="0.3">
      <c r="A76" s="49">
        <v>336</v>
      </c>
      <c r="B76" s="59" t="s">
        <v>433</v>
      </c>
      <c r="C76" s="71" t="s">
        <v>407</v>
      </c>
      <c r="D76" s="61"/>
    </row>
    <row r="77" spans="1:4" ht="16.5" customHeight="1" x14ac:dyDescent="0.3">
      <c r="A77" s="54">
        <v>337</v>
      </c>
      <c r="B77" s="56" t="s">
        <v>434</v>
      </c>
      <c r="C77" s="70" t="s">
        <v>407</v>
      </c>
      <c r="D77" s="58"/>
    </row>
    <row r="78" spans="1:4" ht="16.5" customHeight="1" x14ac:dyDescent="0.3">
      <c r="A78" s="49">
        <v>338</v>
      </c>
      <c r="B78" s="59" t="s">
        <v>435</v>
      </c>
      <c r="C78" s="71" t="s">
        <v>407</v>
      </c>
      <c r="D78" s="61"/>
    </row>
    <row r="79" spans="1:4" ht="16.5" customHeight="1" x14ac:dyDescent="0.3">
      <c r="A79" s="54">
        <v>339</v>
      </c>
      <c r="B79" s="56" t="s">
        <v>436</v>
      </c>
      <c r="C79" s="70" t="s">
        <v>407</v>
      </c>
      <c r="D79" s="58"/>
    </row>
    <row r="80" spans="1:4" ht="16.5" customHeight="1" x14ac:dyDescent="0.3">
      <c r="A80" s="49">
        <v>340</v>
      </c>
      <c r="B80" s="59" t="s">
        <v>437</v>
      </c>
      <c r="C80" s="71" t="s">
        <v>407</v>
      </c>
      <c r="D80" s="61"/>
    </row>
    <row r="81" spans="1:4" ht="16.5" customHeight="1" x14ac:dyDescent="0.3">
      <c r="A81" s="54">
        <v>342</v>
      </c>
      <c r="B81" s="56" t="s">
        <v>438</v>
      </c>
      <c r="C81" s="70" t="s">
        <v>407</v>
      </c>
      <c r="D81" s="58"/>
    </row>
    <row r="82" spans="1:4" ht="16.5" customHeight="1" x14ac:dyDescent="0.3">
      <c r="A82" s="49">
        <v>343</v>
      </c>
      <c r="B82" s="59" t="s">
        <v>439</v>
      </c>
      <c r="C82" s="71" t="s">
        <v>407</v>
      </c>
      <c r="D82" s="61"/>
    </row>
    <row r="83" spans="1:4" ht="16.5" customHeight="1" x14ac:dyDescent="0.3">
      <c r="A83" s="54">
        <v>344</v>
      </c>
      <c r="B83" s="56" t="s">
        <v>440</v>
      </c>
      <c r="C83" s="70" t="s">
        <v>407</v>
      </c>
      <c r="D83" s="58"/>
    </row>
    <row r="84" spans="1:4" ht="16.5" customHeight="1" x14ac:dyDescent="0.3">
      <c r="A84" s="49">
        <v>345</v>
      </c>
      <c r="B84" s="59" t="s">
        <v>441</v>
      </c>
      <c r="C84" s="71" t="s">
        <v>407</v>
      </c>
      <c r="D84" s="61"/>
    </row>
    <row r="85" spans="1:4" ht="16.5" customHeight="1" x14ac:dyDescent="0.3">
      <c r="A85" s="54">
        <v>346</v>
      </c>
      <c r="B85" s="56" t="s">
        <v>442</v>
      </c>
      <c r="C85" s="70" t="s">
        <v>407</v>
      </c>
      <c r="D85" s="58"/>
    </row>
    <row r="86" spans="1:4" ht="16.5" customHeight="1" x14ac:dyDescent="0.3">
      <c r="A86" s="49">
        <v>347</v>
      </c>
      <c r="B86" s="59" t="s">
        <v>443</v>
      </c>
      <c r="C86" s="71" t="s">
        <v>407</v>
      </c>
      <c r="D86" s="61"/>
    </row>
    <row r="87" spans="1:4" ht="16.5" customHeight="1" x14ac:dyDescent="0.3">
      <c r="A87" s="54">
        <v>348</v>
      </c>
      <c r="B87" s="56" t="s">
        <v>444</v>
      </c>
      <c r="C87" s="70" t="s">
        <v>407</v>
      </c>
      <c r="D87" s="58"/>
    </row>
    <row r="88" spans="1:4" ht="16.5" customHeight="1" x14ac:dyDescent="0.3">
      <c r="A88" s="49">
        <v>354</v>
      </c>
      <c r="B88" s="59" t="s">
        <v>445</v>
      </c>
      <c r="C88" s="71" t="s">
        <v>407</v>
      </c>
      <c r="D88" s="61"/>
    </row>
    <row r="89" spans="1:4" ht="16.5" customHeight="1" x14ac:dyDescent="0.3">
      <c r="A89" s="54">
        <v>355</v>
      </c>
      <c r="B89" s="56" t="s">
        <v>446</v>
      </c>
      <c r="C89" s="70" t="s">
        <v>407</v>
      </c>
      <c r="D89" s="58"/>
    </row>
    <row r="90" spans="1:4" ht="16.5" customHeight="1" x14ac:dyDescent="0.3">
      <c r="A90" s="49">
        <v>356</v>
      </c>
      <c r="B90" s="59" t="s">
        <v>447</v>
      </c>
      <c r="C90" s="71" t="s">
        <v>407</v>
      </c>
      <c r="D90" s="61"/>
    </row>
    <row r="91" spans="1:4" ht="16.5" customHeight="1" x14ac:dyDescent="0.3">
      <c r="A91" s="54">
        <v>361</v>
      </c>
      <c r="B91" s="56" t="s">
        <v>448</v>
      </c>
      <c r="C91" s="70" t="s">
        <v>407</v>
      </c>
      <c r="D91" s="58"/>
    </row>
    <row r="92" spans="1:4" ht="16.5" customHeight="1" x14ac:dyDescent="0.3">
      <c r="A92" s="49">
        <v>362</v>
      </c>
      <c r="B92" s="59" t="s">
        <v>380</v>
      </c>
      <c r="C92" s="71" t="s">
        <v>407</v>
      </c>
      <c r="D92" s="61"/>
    </row>
    <row r="93" spans="1:4" ht="16.5" customHeight="1" x14ac:dyDescent="0.3">
      <c r="A93" s="54">
        <v>363</v>
      </c>
      <c r="B93" s="56" t="s">
        <v>449</v>
      </c>
      <c r="C93" s="70" t="s">
        <v>407</v>
      </c>
      <c r="D93" s="58"/>
    </row>
    <row r="94" spans="1:4" ht="16.5" customHeight="1" x14ac:dyDescent="0.3">
      <c r="A94" s="49">
        <v>364</v>
      </c>
      <c r="B94" s="59" t="s">
        <v>399</v>
      </c>
      <c r="C94" s="71" t="s">
        <v>407</v>
      </c>
      <c r="D94" s="61"/>
    </row>
    <row r="95" spans="1:4" ht="16.5" customHeight="1" x14ac:dyDescent="0.3">
      <c r="A95" s="54">
        <v>365</v>
      </c>
      <c r="B95" s="56" t="s">
        <v>400</v>
      </c>
      <c r="C95" s="70" t="s">
        <v>407</v>
      </c>
      <c r="D95" s="58"/>
    </row>
    <row r="96" spans="1:4" ht="16.5" customHeight="1" x14ac:dyDescent="0.3">
      <c r="A96" s="49">
        <v>366</v>
      </c>
      <c r="B96" s="59" t="s">
        <v>401</v>
      </c>
      <c r="C96" s="71" t="s">
        <v>407</v>
      </c>
      <c r="D96" s="61"/>
    </row>
    <row r="97" spans="1:4" ht="16.5" customHeight="1" x14ac:dyDescent="0.3">
      <c r="A97" s="54">
        <v>367</v>
      </c>
      <c r="B97" s="56" t="s">
        <v>402</v>
      </c>
      <c r="C97" s="70" t="s">
        <v>407</v>
      </c>
      <c r="D97" s="58"/>
    </row>
    <row r="98" spans="1:4" ht="16.5" customHeight="1" x14ac:dyDescent="0.3">
      <c r="A98" s="49">
        <v>368</v>
      </c>
      <c r="B98" s="59" t="s">
        <v>450</v>
      </c>
      <c r="C98" s="71" t="s">
        <v>407</v>
      </c>
      <c r="D98" s="61"/>
    </row>
    <row r="99" spans="1:4" ht="16.5" customHeight="1" x14ac:dyDescent="0.3">
      <c r="A99" s="54">
        <v>369</v>
      </c>
      <c r="B99" s="56" t="s">
        <v>392</v>
      </c>
      <c r="C99" s="70" t="s">
        <v>407</v>
      </c>
      <c r="D99" s="58"/>
    </row>
    <row r="100" spans="1:4" ht="16.5" customHeight="1" x14ac:dyDescent="0.3">
      <c r="A100" s="49">
        <v>370</v>
      </c>
      <c r="B100" s="59" t="s">
        <v>403</v>
      </c>
      <c r="C100" s="71" t="s">
        <v>407</v>
      </c>
      <c r="D100" s="61"/>
    </row>
    <row r="101" spans="1:4" ht="16.5" customHeight="1" x14ac:dyDescent="0.3">
      <c r="A101" s="54">
        <v>371</v>
      </c>
      <c r="B101" s="56" t="s">
        <v>451</v>
      </c>
      <c r="C101" s="70" t="s">
        <v>407</v>
      </c>
      <c r="D101" s="58"/>
    </row>
    <row r="102" spans="1:4" ht="16.5" customHeight="1" x14ac:dyDescent="0.3">
      <c r="A102" s="49">
        <v>372</v>
      </c>
      <c r="B102" s="59" t="s">
        <v>452</v>
      </c>
      <c r="C102" s="71" t="s">
        <v>407</v>
      </c>
      <c r="D102" s="61"/>
    </row>
    <row r="103" spans="1:4" ht="16.5" customHeight="1" x14ac:dyDescent="0.3">
      <c r="A103" s="54">
        <v>373</v>
      </c>
      <c r="B103" s="56" t="s">
        <v>389</v>
      </c>
      <c r="C103" s="70" t="s">
        <v>407</v>
      </c>
      <c r="D103" s="58"/>
    </row>
    <row r="104" spans="1:4" ht="16.5" customHeight="1" x14ac:dyDescent="0.3">
      <c r="A104" s="49">
        <v>374</v>
      </c>
      <c r="B104" s="59" t="s">
        <v>397</v>
      </c>
      <c r="C104" s="71" t="s">
        <v>407</v>
      </c>
      <c r="D104" s="61"/>
    </row>
    <row r="105" spans="1:4" ht="16.5" customHeight="1" x14ac:dyDescent="0.3">
      <c r="A105" s="54">
        <v>375</v>
      </c>
      <c r="B105" s="56" t="s">
        <v>453</v>
      </c>
      <c r="C105" s="70" t="s">
        <v>407</v>
      </c>
      <c r="D105" s="58"/>
    </row>
    <row r="106" spans="1:4" ht="16.5" customHeight="1" x14ac:dyDescent="0.3">
      <c r="A106" s="49">
        <v>377</v>
      </c>
      <c r="B106" s="59" t="s">
        <v>454</v>
      </c>
      <c r="C106" s="71" t="s">
        <v>407</v>
      </c>
      <c r="D106" s="61"/>
    </row>
    <row r="107" spans="1:4" ht="16.5" customHeight="1" x14ac:dyDescent="0.3">
      <c r="A107" s="54">
        <v>379</v>
      </c>
      <c r="B107" s="56" t="s">
        <v>455</v>
      </c>
      <c r="C107" s="70" t="s">
        <v>407</v>
      </c>
      <c r="D107" s="58"/>
    </row>
    <row r="108" spans="1:4" ht="16.5" customHeight="1" x14ac:dyDescent="0.3">
      <c r="A108" s="49">
        <v>383</v>
      </c>
      <c r="B108" s="59" t="s">
        <v>456</v>
      </c>
      <c r="C108" s="71" t="s">
        <v>407</v>
      </c>
      <c r="D108" s="61"/>
    </row>
    <row r="109" spans="1:4" ht="16.5" customHeight="1" x14ac:dyDescent="0.3">
      <c r="A109" s="54">
        <v>384</v>
      </c>
      <c r="B109" s="56" t="s">
        <v>457</v>
      </c>
      <c r="C109" s="70" t="s">
        <v>407</v>
      </c>
      <c r="D109" s="58"/>
    </row>
    <row r="110" spans="1:4" ht="16.5" customHeight="1" x14ac:dyDescent="0.3">
      <c r="A110" s="49">
        <v>385</v>
      </c>
      <c r="B110" s="59" t="s">
        <v>458</v>
      </c>
      <c r="C110" s="71" t="s">
        <v>407</v>
      </c>
      <c r="D110" s="61"/>
    </row>
    <row r="111" spans="1:4" ht="16.5" customHeight="1" x14ac:dyDescent="0.3">
      <c r="A111" s="54">
        <v>386</v>
      </c>
      <c r="B111" s="56" t="s">
        <v>459</v>
      </c>
      <c r="C111" s="70" t="s">
        <v>407</v>
      </c>
      <c r="D111" s="58"/>
    </row>
    <row r="112" spans="1:4" ht="16.5" customHeight="1" x14ac:dyDescent="0.3">
      <c r="A112" s="49">
        <v>387</v>
      </c>
      <c r="B112" s="59" t="s">
        <v>404</v>
      </c>
      <c r="C112" s="71" t="s">
        <v>407</v>
      </c>
      <c r="D112" s="61"/>
    </row>
    <row r="113" spans="1:4" ht="16.5" customHeight="1" x14ac:dyDescent="0.3">
      <c r="A113" s="54">
        <v>388</v>
      </c>
      <c r="B113" s="56" t="s">
        <v>460</v>
      </c>
      <c r="C113" s="70" t="s">
        <v>407</v>
      </c>
      <c r="D113" s="58"/>
    </row>
    <row r="114" spans="1:4" ht="16.5" customHeight="1" x14ac:dyDescent="0.3">
      <c r="A114" s="49">
        <v>390</v>
      </c>
      <c r="B114" s="59" t="s">
        <v>461</v>
      </c>
      <c r="C114" s="71" t="s">
        <v>407</v>
      </c>
      <c r="D114" s="61"/>
    </row>
    <row r="115" spans="1:4" ht="16.5" customHeight="1" x14ac:dyDescent="0.3">
      <c r="A115" s="54">
        <v>391</v>
      </c>
      <c r="B115" s="56" t="s">
        <v>462</v>
      </c>
      <c r="C115" s="70" t="s">
        <v>407</v>
      </c>
      <c r="D115" s="58"/>
    </row>
    <row r="116" spans="1:4" ht="16.5" customHeight="1" x14ac:dyDescent="0.3">
      <c r="A116" s="49">
        <v>393</v>
      </c>
      <c r="B116" s="59" t="s">
        <v>463</v>
      </c>
      <c r="C116" s="71" t="s">
        <v>407</v>
      </c>
      <c r="D116" s="61"/>
    </row>
    <row r="117" spans="1:4" ht="16.5" customHeight="1" x14ac:dyDescent="0.3">
      <c r="A117" s="54">
        <v>395</v>
      </c>
      <c r="B117" s="56" t="s">
        <v>464</v>
      </c>
      <c r="C117" s="70" t="s">
        <v>407</v>
      </c>
      <c r="D117" s="58"/>
    </row>
    <row r="118" spans="1:4" ht="16.5" customHeight="1" x14ac:dyDescent="0.3">
      <c r="A118" s="49">
        <v>396</v>
      </c>
      <c r="B118" s="59" t="s">
        <v>465</v>
      </c>
      <c r="C118" s="71" t="s">
        <v>407</v>
      </c>
      <c r="D118" s="61"/>
    </row>
    <row r="119" spans="1:4" ht="16.5" customHeight="1" x14ac:dyDescent="0.3">
      <c r="A119" s="54">
        <v>397</v>
      </c>
      <c r="B119" s="56" t="s">
        <v>466</v>
      </c>
      <c r="C119" s="70" t="s">
        <v>407</v>
      </c>
      <c r="D119" s="58"/>
    </row>
    <row r="120" spans="1:4" ht="16.5" customHeight="1" x14ac:dyDescent="0.3">
      <c r="A120" s="49">
        <v>406</v>
      </c>
      <c r="B120" s="59" t="s">
        <v>467</v>
      </c>
      <c r="C120" s="71" t="s">
        <v>407</v>
      </c>
      <c r="D120" s="61"/>
    </row>
    <row r="121" spans="1:4" ht="16.5" customHeight="1" x14ac:dyDescent="0.3">
      <c r="A121" s="54">
        <v>407</v>
      </c>
      <c r="B121" s="56" t="s">
        <v>468</v>
      </c>
      <c r="C121" s="70" t="s">
        <v>407</v>
      </c>
      <c r="D121" s="58"/>
    </row>
    <row r="122" spans="1:4" ht="16.5" customHeight="1" x14ac:dyDescent="0.3">
      <c r="A122" s="49">
        <v>408</v>
      </c>
      <c r="B122" s="59" t="s">
        <v>469</v>
      </c>
      <c r="C122" s="71" t="s">
        <v>407</v>
      </c>
      <c r="D122" s="61"/>
    </row>
    <row r="123" spans="1:4" ht="16.5" customHeight="1" x14ac:dyDescent="0.3">
      <c r="A123" s="54">
        <v>409</v>
      </c>
      <c r="B123" s="56" t="s">
        <v>470</v>
      </c>
      <c r="C123" s="70" t="s">
        <v>407</v>
      </c>
      <c r="D123" s="58"/>
    </row>
    <row r="124" spans="1:4" ht="16.5" customHeight="1" x14ac:dyDescent="0.3">
      <c r="A124" s="49">
        <v>410</v>
      </c>
      <c r="B124" s="59" t="s">
        <v>390</v>
      </c>
      <c r="C124" s="71" t="s">
        <v>407</v>
      </c>
      <c r="D124" s="61"/>
    </row>
    <row r="125" spans="1:4" ht="16.5" customHeight="1" x14ac:dyDescent="0.3">
      <c r="A125" s="54">
        <v>411</v>
      </c>
      <c r="B125" s="56" t="s">
        <v>385</v>
      </c>
      <c r="C125" s="70" t="s">
        <v>407</v>
      </c>
      <c r="D125" s="58"/>
    </row>
    <row r="126" spans="1:4" ht="16.5" customHeight="1" x14ac:dyDescent="0.3">
      <c r="A126" s="49">
        <v>412</v>
      </c>
      <c r="B126" s="59" t="s">
        <v>471</v>
      </c>
      <c r="C126" s="71" t="s">
        <v>407</v>
      </c>
      <c r="D126" s="61"/>
    </row>
    <row r="127" spans="1:4" ht="16.5" customHeight="1" x14ac:dyDescent="0.3">
      <c r="A127" s="54">
        <v>413</v>
      </c>
      <c r="B127" s="56" t="s">
        <v>472</v>
      </c>
      <c r="C127" s="70" t="s">
        <v>407</v>
      </c>
      <c r="D127" s="58"/>
    </row>
    <row r="128" spans="1:4" ht="16.5" customHeight="1" x14ac:dyDescent="0.3">
      <c r="A128" s="49">
        <v>414</v>
      </c>
      <c r="B128" s="59" t="s">
        <v>473</v>
      </c>
      <c r="C128" s="71" t="s">
        <v>407</v>
      </c>
      <c r="D128" s="61"/>
    </row>
    <row r="129" spans="1:4" ht="16.5" customHeight="1" x14ac:dyDescent="0.3">
      <c r="A129" s="54">
        <v>415</v>
      </c>
      <c r="B129" s="56" t="s">
        <v>474</v>
      </c>
      <c r="C129" s="70" t="s">
        <v>407</v>
      </c>
      <c r="D129" s="58"/>
    </row>
    <row r="130" spans="1:4" ht="16.5" customHeight="1" x14ac:dyDescent="0.3">
      <c r="A130" s="49">
        <v>416</v>
      </c>
      <c r="B130" s="59" t="s">
        <v>475</v>
      </c>
      <c r="C130" s="71" t="s">
        <v>407</v>
      </c>
      <c r="D130" s="61"/>
    </row>
    <row r="131" spans="1:4" ht="16.5" customHeight="1" x14ac:dyDescent="0.3">
      <c r="A131" s="54">
        <v>417</v>
      </c>
      <c r="B131" s="56" t="s">
        <v>476</v>
      </c>
      <c r="C131" s="70" t="s">
        <v>407</v>
      </c>
      <c r="D131" s="58"/>
    </row>
    <row r="132" spans="1:4" ht="16.5" customHeight="1" x14ac:dyDescent="0.3">
      <c r="A132" s="49">
        <v>418</v>
      </c>
      <c r="B132" s="59" t="s">
        <v>477</v>
      </c>
      <c r="C132" s="71" t="s">
        <v>407</v>
      </c>
      <c r="D132" s="61"/>
    </row>
    <row r="133" spans="1:4" ht="16.5" customHeight="1" x14ac:dyDescent="0.3">
      <c r="A133" s="54">
        <v>419</v>
      </c>
      <c r="B133" s="56" t="s">
        <v>478</v>
      </c>
      <c r="C133" s="70" t="s">
        <v>407</v>
      </c>
      <c r="D133" s="58"/>
    </row>
    <row r="134" spans="1:4" ht="16.5" customHeight="1" x14ac:dyDescent="0.3">
      <c r="A134" s="49">
        <v>420</v>
      </c>
      <c r="B134" s="59" t="s">
        <v>479</v>
      </c>
      <c r="C134" s="71" t="s">
        <v>407</v>
      </c>
      <c r="D134" s="61"/>
    </row>
    <row r="135" spans="1:4" ht="16.5" customHeight="1" x14ac:dyDescent="0.3">
      <c r="A135" s="54">
        <v>421</v>
      </c>
      <c r="B135" s="56" t="s">
        <v>480</v>
      </c>
      <c r="C135" s="70" t="s">
        <v>407</v>
      </c>
      <c r="D135" s="58"/>
    </row>
    <row r="136" spans="1:4" ht="16.5" customHeight="1" x14ac:dyDescent="0.3">
      <c r="A136" s="49">
        <v>422</v>
      </c>
      <c r="B136" s="59" t="s">
        <v>481</v>
      </c>
      <c r="C136" s="71" t="s">
        <v>407</v>
      </c>
      <c r="D136" s="61"/>
    </row>
    <row r="137" spans="1:4" ht="16.5" customHeight="1" x14ac:dyDescent="0.3">
      <c r="A137" s="54">
        <v>423</v>
      </c>
      <c r="B137" s="56" t="s">
        <v>482</v>
      </c>
      <c r="C137" s="70" t="s">
        <v>407</v>
      </c>
      <c r="D137" s="58"/>
    </row>
    <row r="138" spans="1:4" ht="18" customHeight="1" x14ac:dyDescent="0.3">
      <c r="A138" s="80" t="s">
        <v>483</v>
      </c>
      <c r="B138" s="80"/>
      <c r="C138" s="80"/>
      <c r="D138" s="80"/>
    </row>
    <row r="139" spans="1:4" ht="16.5" customHeight="1" x14ac:dyDescent="0.3">
      <c r="A139" s="54">
        <v>706</v>
      </c>
      <c r="B139" s="56" t="s">
        <v>297</v>
      </c>
      <c r="C139" s="70" t="s">
        <v>484</v>
      </c>
      <c r="D139" s="58"/>
    </row>
    <row r="140" spans="1:4" ht="16.5" customHeight="1" x14ac:dyDescent="0.3">
      <c r="A140" s="49">
        <v>709</v>
      </c>
      <c r="B140" s="59" t="s">
        <v>485</v>
      </c>
      <c r="C140" s="71" t="s">
        <v>484</v>
      </c>
      <c r="D140" s="61"/>
    </row>
    <row r="141" spans="1:4" ht="16.5" customHeight="1" x14ac:dyDescent="0.3">
      <c r="A141" s="54">
        <v>711</v>
      </c>
      <c r="B141" s="56" t="s">
        <v>469</v>
      </c>
      <c r="C141" s="70" t="s">
        <v>484</v>
      </c>
      <c r="D141" s="58"/>
    </row>
    <row r="142" spans="1:4" ht="16.5" customHeight="1" x14ac:dyDescent="0.3">
      <c r="A142" s="49">
        <v>712</v>
      </c>
      <c r="B142" s="59" t="s">
        <v>486</v>
      </c>
      <c r="C142" s="71" t="s">
        <v>484</v>
      </c>
      <c r="D142" s="61"/>
    </row>
    <row r="143" spans="1:4" ht="16.5" customHeight="1" x14ac:dyDescent="0.3">
      <c r="A143" s="54">
        <v>714</v>
      </c>
      <c r="B143" s="56" t="s">
        <v>487</v>
      </c>
      <c r="C143" s="70" t="s">
        <v>484</v>
      </c>
      <c r="D143" s="58"/>
    </row>
    <row r="144" spans="1:4" ht="16.5" customHeight="1" x14ac:dyDescent="0.3">
      <c r="A144" s="49">
        <v>715</v>
      </c>
      <c r="B144" s="59" t="s">
        <v>456</v>
      </c>
      <c r="C144" s="71" t="s">
        <v>484</v>
      </c>
      <c r="D144" s="61"/>
    </row>
    <row r="145" spans="1:4" ht="16.5" customHeight="1" x14ac:dyDescent="0.3">
      <c r="A145" s="54">
        <v>717</v>
      </c>
      <c r="B145" s="56" t="s">
        <v>488</v>
      </c>
      <c r="C145" s="70" t="s">
        <v>484</v>
      </c>
      <c r="D145" s="58"/>
    </row>
    <row r="146" spans="1:4" ht="16.5" customHeight="1" x14ac:dyDescent="0.3">
      <c r="A146" s="49">
        <v>728</v>
      </c>
      <c r="B146" s="59" t="s">
        <v>489</v>
      </c>
      <c r="C146" s="71" t="s">
        <v>484</v>
      </c>
      <c r="D146" s="61"/>
    </row>
    <row r="147" spans="1:4" ht="16.5" customHeight="1" x14ac:dyDescent="0.3">
      <c r="A147" s="54">
        <v>729</v>
      </c>
      <c r="B147" s="56" t="s">
        <v>490</v>
      </c>
      <c r="C147" s="70" t="s">
        <v>484</v>
      </c>
      <c r="D147" s="58"/>
    </row>
    <row r="148" spans="1:4" ht="16.5" customHeight="1" x14ac:dyDescent="0.3">
      <c r="A148" s="49">
        <v>731</v>
      </c>
      <c r="B148" s="59" t="s">
        <v>491</v>
      </c>
      <c r="C148" s="71" t="s">
        <v>484</v>
      </c>
      <c r="D148" s="61"/>
    </row>
    <row r="149" spans="1:4" ht="16.5" customHeight="1" x14ac:dyDescent="0.3">
      <c r="A149" s="54">
        <v>733</v>
      </c>
      <c r="B149" s="56" t="s">
        <v>492</v>
      </c>
      <c r="C149" s="70" t="s">
        <v>484</v>
      </c>
      <c r="D149" s="58"/>
    </row>
    <row r="150" spans="1:4" ht="16.5" customHeight="1" x14ac:dyDescent="0.3">
      <c r="A150" s="49">
        <v>734</v>
      </c>
      <c r="B150" s="59" t="s">
        <v>493</v>
      </c>
      <c r="C150" s="71" t="s">
        <v>484</v>
      </c>
      <c r="D150" s="61"/>
    </row>
    <row r="151" spans="1:4" ht="16.5" customHeight="1" x14ac:dyDescent="0.3">
      <c r="A151" s="54">
        <v>739</v>
      </c>
      <c r="B151" s="56" t="s">
        <v>494</v>
      </c>
      <c r="C151" s="70" t="s">
        <v>484</v>
      </c>
      <c r="D151" s="58"/>
    </row>
    <row r="152" spans="1:4" ht="16.5" customHeight="1" x14ac:dyDescent="0.3">
      <c r="A152" s="49">
        <v>740</v>
      </c>
      <c r="B152" s="59" t="s">
        <v>495</v>
      </c>
      <c r="C152" s="71" t="s">
        <v>484</v>
      </c>
      <c r="D152" s="61"/>
    </row>
    <row r="153" spans="1:4" ht="16.5" customHeight="1" x14ac:dyDescent="0.3">
      <c r="A153" s="54">
        <v>742</v>
      </c>
      <c r="B153" s="56" t="s">
        <v>496</v>
      </c>
      <c r="C153" s="70" t="s">
        <v>484</v>
      </c>
      <c r="D153" s="58"/>
    </row>
    <row r="154" spans="1:4" ht="16.5" customHeight="1" x14ac:dyDescent="0.3">
      <c r="A154" s="49">
        <v>743</v>
      </c>
      <c r="B154" s="59" t="s">
        <v>497</v>
      </c>
      <c r="C154" s="71" t="s">
        <v>484</v>
      </c>
      <c r="D154" s="61"/>
    </row>
    <row r="155" spans="1:4" ht="16.5" customHeight="1" x14ac:dyDescent="0.3">
      <c r="A155" s="54">
        <v>744</v>
      </c>
      <c r="B155" s="56" t="s">
        <v>498</v>
      </c>
      <c r="C155" s="70" t="s">
        <v>484</v>
      </c>
      <c r="D155" s="58"/>
    </row>
    <row r="156" spans="1:4" ht="16.5" customHeight="1" x14ac:dyDescent="0.3">
      <c r="A156" s="49">
        <v>745</v>
      </c>
      <c r="B156" s="59" t="s">
        <v>499</v>
      </c>
      <c r="C156" s="71" t="s">
        <v>484</v>
      </c>
      <c r="D156" s="61"/>
    </row>
    <row r="157" spans="1:4" ht="16.5" customHeight="1" x14ac:dyDescent="0.3">
      <c r="A157" s="54">
        <v>746</v>
      </c>
      <c r="B157" s="56" t="s">
        <v>500</v>
      </c>
      <c r="C157" s="70" t="s">
        <v>484</v>
      </c>
      <c r="D157" s="58"/>
    </row>
    <row r="158" spans="1:4" ht="16.5" customHeight="1" x14ac:dyDescent="0.3">
      <c r="A158" s="49">
        <v>747</v>
      </c>
      <c r="B158" s="59" t="s">
        <v>480</v>
      </c>
      <c r="C158" s="71" t="s">
        <v>484</v>
      </c>
      <c r="D158" s="61"/>
    </row>
    <row r="159" spans="1:4" ht="16.5" customHeight="1" x14ac:dyDescent="0.3">
      <c r="A159" s="54">
        <v>748</v>
      </c>
      <c r="B159" s="56" t="s">
        <v>501</v>
      </c>
      <c r="C159" s="70" t="s">
        <v>484</v>
      </c>
      <c r="D159" s="58"/>
    </row>
    <row r="160" spans="1:4" ht="16.5" customHeight="1" x14ac:dyDescent="0.3">
      <c r="A160" s="49">
        <v>749</v>
      </c>
      <c r="B160" s="59" t="s">
        <v>502</v>
      </c>
      <c r="C160" s="71" t="s">
        <v>484</v>
      </c>
      <c r="D160" s="61"/>
    </row>
    <row r="161" spans="1:4" ht="18" customHeight="1" x14ac:dyDescent="0.3">
      <c r="A161" s="80" t="s">
        <v>503</v>
      </c>
      <c r="B161" s="80"/>
      <c r="C161" s="80"/>
      <c r="D161" s="80"/>
    </row>
    <row r="162" spans="1:4" ht="16.5" customHeight="1" x14ac:dyDescent="0.3">
      <c r="A162" s="54">
        <v>1101</v>
      </c>
      <c r="B162" s="56" t="s">
        <v>504</v>
      </c>
      <c r="C162" s="70" t="s">
        <v>505</v>
      </c>
      <c r="D162" s="58"/>
    </row>
    <row r="163" spans="1:4" ht="16.5" customHeight="1" x14ac:dyDescent="0.3">
      <c r="A163" s="49">
        <v>1102</v>
      </c>
      <c r="B163" s="59" t="s">
        <v>506</v>
      </c>
      <c r="C163" s="71" t="s">
        <v>505</v>
      </c>
      <c r="D163" s="61"/>
    </row>
    <row r="164" spans="1:4" ht="16.5" customHeight="1" x14ac:dyDescent="0.3">
      <c r="A164" s="54">
        <v>1103</v>
      </c>
      <c r="B164" s="56" t="s">
        <v>507</v>
      </c>
      <c r="C164" s="70" t="s">
        <v>505</v>
      </c>
      <c r="D164" s="58"/>
    </row>
    <row r="165" spans="1:4" ht="16.5" customHeight="1" x14ac:dyDescent="0.3">
      <c r="A165" s="49">
        <v>1104</v>
      </c>
      <c r="B165" s="59" t="s">
        <v>508</v>
      </c>
      <c r="C165" s="71" t="s">
        <v>505</v>
      </c>
      <c r="D165" s="61"/>
    </row>
    <row r="166" spans="1:4" ht="16.5" customHeight="1" x14ac:dyDescent="0.3">
      <c r="A166" s="54">
        <v>1105</v>
      </c>
      <c r="B166" s="56" t="s">
        <v>509</v>
      </c>
      <c r="C166" s="70" t="s">
        <v>505</v>
      </c>
      <c r="D166" s="58"/>
    </row>
  </sheetData>
  <sheetProtection password="9FC8" sheet="1"/>
  <mergeCells count="7">
    <mergeCell ref="A138:D138"/>
    <mergeCell ref="A161:D161"/>
    <mergeCell ref="A1:D1"/>
    <mergeCell ref="A2:D2"/>
    <mergeCell ref="A5:D5"/>
    <mergeCell ref="A21:D21"/>
    <mergeCell ref="A46:D46"/>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92"/>
  <sheetViews>
    <sheetView zoomScaleNormal="100" workbookViewId="0"/>
  </sheetViews>
  <sheetFormatPr baseColWidth="10" defaultColWidth="8.6640625" defaultRowHeight="14.4" x14ac:dyDescent="0.3"/>
  <sheetData>
    <row r="1" spans="1:5" x14ac:dyDescent="0.3">
      <c r="A1" t="s">
        <v>364</v>
      </c>
      <c r="B1" t="s">
        <v>381</v>
      </c>
      <c r="C1" t="s">
        <v>407</v>
      </c>
      <c r="D1" t="s">
        <v>484</v>
      </c>
      <c r="E1" t="s">
        <v>505</v>
      </c>
    </row>
    <row r="2" spans="1:5" x14ac:dyDescent="0.3">
      <c r="A2" t="s">
        <v>363</v>
      </c>
      <c r="B2" t="s">
        <v>380</v>
      </c>
      <c r="C2" t="s">
        <v>406</v>
      </c>
      <c r="D2" t="s">
        <v>297</v>
      </c>
      <c r="E2" t="s">
        <v>504</v>
      </c>
    </row>
    <row r="3" spans="1:5" x14ac:dyDescent="0.3">
      <c r="A3" t="s">
        <v>365</v>
      </c>
      <c r="B3" t="s">
        <v>382</v>
      </c>
      <c r="C3" t="s">
        <v>408</v>
      </c>
      <c r="D3" t="s">
        <v>485</v>
      </c>
      <c r="E3" t="s">
        <v>506</v>
      </c>
    </row>
    <row r="4" spans="1:5" x14ac:dyDescent="0.3">
      <c r="A4" t="s">
        <v>366</v>
      </c>
      <c r="B4" t="s">
        <v>383</v>
      </c>
      <c r="C4" t="s">
        <v>382</v>
      </c>
      <c r="D4" t="s">
        <v>469</v>
      </c>
      <c r="E4" t="s">
        <v>507</v>
      </c>
    </row>
    <row r="5" spans="1:5" x14ac:dyDescent="0.3">
      <c r="A5" t="s">
        <v>367</v>
      </c>
      <c r="B5" t="s">
        <v>384</v>
      </c>
      <c r="C5" t="s">
        <v>383</v>
      </c>
      <c r="D5" t="s">
        <v>486</v>
      </c>
      <c r="E5" t="s">
        <v>508</v>
      </c>
    </row>
    <row r="6" spans="1:5" x14ac:dyDescent="0.3">
      <c r="A6" t="s">
        <v>368</v>
      </c>
      <c r="B6" t="s">
        <v>385</v>
      </c>
      <c r="C6" t="s">
        <v>391</v>
      </c>
      <c r="D6" t="s">
        <v>487</v>
      </c>
      <c r="E6" t="s">
        <v>509</v>
      </c>
    </row>
    <row r="7" spans="1:5" x14ac:dyDescent="0.3">
      <c r="A7" t="s">
        <v>369</v>
      </c>
      <c r="B7" t="s">
        <v>386</v>
      </c>
      <c r="C7" t="s">
        <v>409</v>
      </c>
      <c r="D7" t="s">
        <v>456</v>
      </c>
    </row>
    <row r="8" spans="1:5" x14ac:dyDescent="0.3">
      <c r="A8" t="s">
        <v>370</v>
      </c>
      <c r="B8" t="s">
        <v>387</v>
      </c>
      <c r="C8" t="s">
        <v>410</v>
      </c>
      <c r="D8" t="s">
        <v>488</v>
      </c>
    </row>
    <row r="9" spans="1:5" x14ac:dyDescent="0.3">
      <c r="A9" t="s">
        <v>371</v>
      </c>
      <c r="B9" t="s">
        <v>388</v>
      </c>
      <c r="C9" t="s">
        <v>411</v>
      </c>
      <c r="D9" t="s">
        <v>489</v>
      </c>
    </row>
    <row r="10" spans="1:5" x14ac:dyDescent="0.3">
      <c r="A10" t="s">
        <v>372</v>
      </c>
      <c r="B10" t="s">
        <v>389</v>
      </c>
      <c r="C10" t="s">
        <v>412</v>
      </c>
      <c r="D10" t="s">
        <v>490</v>
      </c>
    </row>
    <row r="11" spans="1:5" x14ac:dyDescent="0.3">
      <c r="A11" t="s">
        <v>373</v>
      </c>
      <c r="B11" t="s">
        <v>390</v>
      </c>
      <c r="C11" t="s">
        <v>413</v>
      </c>
      <c r="D11" t="s">
        <v>491</v>
      </c>
    </row>
    <row r="12" spans="1:5" x14ac:dyDescent="0.3">
      <c r="A12" t="s">
        <v>374</v>
      </c>
      <c r="B12" t="s">
        <v>391</v>
      </c>
      <c r="C12" t="s">
        <v>414</v>
      </c>
      <c r="D12" t="s">
        <v>492</v>
      </c>
    </row>
    <row r="13" spans="1:5" x14ac:dyDescent="0.3">
      <c r="A13" t="s">
        <v>375</v>
      </c>
      <c r="B13" t="s">
        <v>392</v>
      </c>
      <c r="C13" t="s">
        <v>415</v>
      </c>
      <c r="D13" t="s">
        <v>493</v>
      </c>
    </row>
    <row r="14" spans="1:5" x14ac:dyDescent="0.3">
      <c r="A14" t="s">
        <v>376</v>
      </c>
      <c r="B14" t="s">
        <v>393</v>
      </c>
      <c r="C14" t="s">
        <v>416</v>
      </c>
      <c r="D14" t="s">
        <v>494</v>
      </c>
    </row>
    <row r="15" spans="1:5" x14ac:dyDescent="0.3">
      <c r="A15" t="s">
        <v>377</v>
      </c>
      <c r="B15" t="s">
        <v>394</v>
      </c>
      <c r="C15" t="s">
        <v>417</v>
      </c>
      <c r="D15" t="s">
        <v>495</v>
      </c>
    </row>
    <row r="16" spans="1:5" x14ac:dyDescent="0.3">
      <c r="A16" t="s">
        <v>378</v>
      </c>
      <c r="B16" t="s">
        <v>395</v>
      </c>
      <c r="C16" t="s">
        <v>418</v>
      </c>
      <c r="D16" t="s">
        <v>496</v>
      </c>
    </row>
    <row r="17" spans="2:4" x14ac:dyDescent="0.3">
      <c r="B17" t="s">
        <v>396</v>
      </c>
      <c r="C17" t="s">
        <v>419</v>
      </c>
      <c r="D17" t="s">
        <v>497</v>
      </c>
    </row>
    <row r="18" spans="2:4" x14ac:dyDescent="0.3">
      <c r="B18" t="s">
        <v>397</v>
      </c>
      <c r="C18" t="s">
        <v>420</v>
      </c>
      <c r="D18" t="s">
        <v>498</v>
      </c>
    </row>
    <row r="19" spans="2:4" x14ac:dyDescent="0.3">
      <c r="B19" t="s">
        <v>398</v>
      </c>
      <c r="C19" t="s">
        <v>421</v>
      </c>
      <c r="D19" t="s">
        <v>499</v>
      </c>
    </row>
    <row r="20" spans="2:4" x14ac:dyDescent="0.3">
      <c r="B20" t="s">
        <v>399</v>
      </c>
      <c r="C20" t="s">
        <v>422</v>
      </c>
      <c r="D20" t="s">
        <v>500</v>
      </c>
    </row>
    <row r="21" spans="2:4" x14ac:dyDescent="0.3">
      <c r="B21" t="s">
        <v>400</v>
      </c>
      <c r="C21" t="s">
        <v>423</v>
      </c>
      <c r="D21" t="s">
        <v>480</v>
      </c>
    </row>
    <row r="22" spans="2:4" x14ac:dyDescent="0.3">
      <c r="B22" t="s">
        <v>401</v>
      </c>
      <c r="C22" t="s">
        <v>424</v>
      </c>
      <c r="D22" t="s">
        <v>501</v>
      </c>
    </row>
    <row r="23" spans="2:4" x14ac:dyDescent="0.3">
      <c r="B23" t="s">
        <v>402</v>
      </c>
      <c r="C23" t="s">
        <v>425</v>
      </c>
      <c r="D23" t="s">
        <v>502</v>
      </c>
    </row>
    <row r="24" spans="2:4" x14ac:dyDescent="0.3">
      <c r="B24" t="s">
        <v>403</v>
      </c>
      <c r="C24" t="s">
        <v>426</v>
      </c>
    </row>
    <row r="25" spans="2:4" x14ac:dyDescent="0.3">
      <c r="B25" t="s">
        <v>404</v>
      </c>
      <c r="C25" t="s">
        <v>427</v>
      </c>
    </row>
    <row r="26" spans="2:4" x14ac:dyDescent="0.3">
      <c r="C26" t="s">
        <v>428</v>
      </c>
    </row>
    <row r="27" spans="2:4" x14ac:dyDescent="0.3">
      <c r="C27" t="s">
        <v>429</v>
      </c>
    </row>
    <row r="28" spans="2:4" x14ac:dyDescent="0.3">
      <c r="C28" t="s">
        <v>430</v>
      </c>
    </row>
    <row r="29" spans="2:4" x14ac:dyDescent="0.3">
      <c r="C29" t="s">
        <v>431</v>
      </c>
    </row>
    <row r="30" spans="2:4" x14ac:dyDescent="0.3">
      <c r="C30" t="s">
        <v>432</v>
      </c>
    </row>
    <row r="31" spans="2:4" x14ac:dyDescent="0.3">
      <c r="C31" t="s">
        <v>433</v>
      </c>
    </row>
    <row r="32" spans="2:4" x14ac:dyDescent="0.3">
      <c r="C32" t="s">
        <v>434</v>
      </c>
    </row>
    <row r="33" spans="3:3" x14ac:dyDescent="0.3">
      <c r="C33" t="s">
        <v>435</v>
      </c>
    </row>
    <row r="34" spans="3:3" x14ac:dyDescent="0.3">
      <c r="C34" t="s">
        <v>436</v>
      </c>
    </row>
    <row r="35" spans="3:3" x14ac:dyDescent="0.3">
      <c r="C35" t="s">
        <v>437</v>
      </c>
    </row>
    <row r="36" spans="3:3" x14ac:dyDescent="0.3">
      <c r="C36" t="s">
        <v>438</v>
      </c>
    </row>
    <row r="37" spans="3:3" x14ac:dyDescent="0.3">
      <c r="C37" t="s">
        <v>439</v>
      </c>
    </row>
    <row r="38" spans="3:3" x14ac:dyDescent="0.3">
      <c r="C38" t="s">
        <v>440</v>
      </c>
    </row>
    <row r="39" spans="3:3" x14ac:dyDescent="0.3">
      <c r="C39" t="s">
        <v>441</v>
      </c>
    </row>
    <row r="40" spans="3:3" x14ac:dyDescent="0.3">
      <c r="C40" t="s">
        <v>442</v>
      </c>
    </row>
    <row r="41" spans="3:3" x14ac:dyDescent="0.3">
      <c r="C41" t="s">
        <v>443</v>
      </c>
    </row>
    <row r="42" spans="3:3" x14ac:dyDescent="0.3">
      <c r="C42" t="s">
        <v>444</v>
      </c>
    </row>
    <row r="43" spans="3:3" x14ac:dyDescent="0.3">
      <c r="C43" t="s">
        <v>445</v>
      </c>
    </row>
    <row r="44" spans="3:3" x14ac:dyDescent="0.3">
      <c r="C44" t="s">
        <v>446</v>
      </c>
    </row>
    <row r="45" spans="3:3" x14ac:dyDescent="0.3">
      <c r="C45" t="s">
        <v>447</v>
      </c>
    </row>
    <row r="46" spans="3:3" x14ac:dyDescent="0.3">
      <c r="C46" t="s">
        <v>448</v>
      </c>
    </row>
    <row r="47" spans="3:3" x14ac:dyDescent="0.3">
      <c r="C47" t="s">
        <v>380</v>
      </c>
    </row>
    <row r="48" spans="3:3" x14ac:dyDescent="0.3">
      <c r="C48" t="s">
        <v>449</v>
      </c>
    </row>
    <row r="49" spans="3:3" x14ac:dyDescent="0.3">
      <c r="C49" t="s">
        <v>399</v>
      </c>
    </row>
    <row r="50" spans="3:3" x14ac:dyDescent="0.3">
      <c r="C50" t="s">
        <v>400</v>
      </c>
    </row>
    <row r="51" spans="3:3" x14ac:dyDescent="0.3">
      <c r="C51" t="s">
        <v>401</v>
      </c>
    </row>
    <row r="52" spans="3:3" x14ac:dyDescent="0.3">
      <c r="C52" t="s">
        <v>402</v>
      </c>
    </row>
    <row r="53" spans="3:3" x14ac:dyDescent="0.3">
      <c r="C53" t="s">
        <v>450</v>
      </c>
    </row>
    <row r="54" spans="3:3" x14ac:dyDescent="0.3">
      <c r="C54" t="s">
        <v>392</v>
      </c>
    </row>
    <row r="55" spans="3:3" x14ac:dyDescent="0.3">
      <c r="C55" t="s">
        <v>403</v>
      </c>
    </row>
    <row r="56" spans="3:3" x14ac:dyDescent="0.3">
      <c r="C56" t="s">
        <v>451</v>
      </c>
    </row>
    <row r="57" spans="3:3" x14ac:dyDescent="0.3">
      <c r="C57" t="s">
        <v>452</v>
      </c>
    </row>
    <row r="58" spans="3:3" x14ac:dyDescent="0.3">
      <c r="C58" t="s">
        <v>389</v>
      </c>
    </row>
    <row r="59" spans="3:3" x14ac:dyDescent="0.3">
      <c r="C59" t="s">
        <v>397</v>
      </c>
    </row>
    <row r="60" spans="3:3" x14ac:dyDescent="0.3">
      <c r="C60" t="s">
        <v>453</v>
      </c>
    </row>
    <row r="61" spans="3:3" x14ac:dyDescent="0.3">
      <c r="C61" t="s">
        <v>454</v>
      </c>
    </row>
    <row r="62" spans="3:3" x14ac:dyDescent="0.3">
      <c r="C62" t="s">
        <v>455</v>
      </c>
    </row>
    <row r="63" spans="3:3" x14ac:dyDescent="0.3">
      <c r="C63" t="s">
        <v>456</v>
      </c>
    </row>
    <row r="64" spans="3:3" x14ac:dyDescent="0.3">
      <c r="C64" t="s">
        <v>457</v>
      </c>
    </row>
    <row r="65" spans="3:3" x14ac:dyDescent="0.3">
      <c r="C65" t="s">
        <v>458</v>
      </c>
    </row>
    <row r="66" spans="3:3" x14ac:dyDescent="0.3">
      <c r="C66" t="s">
        <v>459</v>
      </c>
    </row>
    <row r="67" spans="3:3" x14ac:dyDescent="0.3">
      <c r="C67" t="s">
        <v>404</v>
      </c>
    </row>
    <row r="68" spans="3:3" x14ac:dyDescent="0.3">
      <c r="C68" t="s">
        <v>460</v>
      </c>
    </row>
    <row r="69" spans="3:3" x14ac:dyDescent="0.3">
      <c r="C69" t="s">
        <v>461</v>
      </c>
    </row>
    <row r="70" spans="3:3" x14ac:dyDescent="0.3">
      <c r="C70" t="s">
        <v>462</v>
      </c>
    </row>
    <row r="71" spans="3:3" x14ac:dyDescent="0.3">
      <c r="C71" t="s">
        <v>463</v>
      </c>
    </row>
    <row r="72" spans="3:3" x14ac:dyDescent="0.3">
      <c r="C72" t="s">
        <v>464</v>
      </c>
    </row>
    <row r="73" spans="3:3" x14ac:dyDescent="0.3">
      <c r="C73" t="s">
        <v>465</v>
      </c>
    </row>
    <row r="74" spans="3:3" x14ac:dyDescent="0.3">
      <c r="C74" t="s">
        <v>466</v>
      </c>
    </row>
    <row r="75" spans="3:3" x14ac:dyDescent="0.3">
      <c r="C75" t="s">
        <v>467</v>
      </c>
    </row>
    <row r="76" spans="3:3" x14ac:dyDescent="0.3">
      <c r="C76" t="s">
        <v>468</v>
      </c>
    </row>
    <row r="77" spans="3:3" x14ac:dyDescent="0.3">
      <c r="C77" t="s">
        <v>469</v>
      </c>
    </row>
    <row r="78" spans="3:3" x14ac:dyDescent="0.3">
      <c r="C78" t="s">
        <v>470</v>
      </c>
    </row>
    <row r="79" spans="3:3" x14ac:dyDescent="0.3">
      <c r="C79" t="s">
        <v>390</v>
      </c>
    </row>
    <row r="80" spans="3:3" x14ac:dyDescent="0.3">
      <c r="C80" t="s">
        <v>385</v>
      </c>
    </row>
    <row r="81" spans="3:3" x14ac:dyDescent="0.3">
      <c r="C81" t="s">
        <v>471</v>
      </c>
    </row>
    <row r="82" spans="3:3" x14ac:dyDescent="0.3">
      <c r="C82" t="s">
        <v>472</v>
      </c>
    </row>
    <row r="83" spans="3:3" x14ac:dyDescent="0.3">
      <c r="C83" t="s">
        <v>473</v>
      </c>
    </row>
    <row r="84" spans="3:3" x14ac:dyDescent="0.3">
      <c r="C84" t="s">
        <v>474</v>
      </c>
    </row>
    <row r="85" spans="3:3" x14ac:dyDescent="0.3">
      <c r="C85" t="s">
        <v>475</v>
      </c>
    </row>
    <row r="86" spans="3:3" x14ac:dyDescent="0.3">
      <c r="C86" t="s">
        <v>476</v>
      </c>
    </row>
    <row r="87" spans="3:3" x14ac:dyDescent="0.3">
      <c r="C87" t="s">
        <v>477</v>
      </c>
    </row>
    <row r="88" spans="3:3" x14ac:dyDescent="0.3">
      <c r="C88" t="s">
        <v>478</v>
      </c>
    </row>
    <row r="89" spans="3:3" x14ac:dyDescent="0.3">
      <c r="C89" t="s">
        <v>479</v>
      </c>
    </row>
    <row r="90" spans="3:3" x14ac:dyDescent="0.3">
      <c r="C90" t="s">
        <v>480</v>
      </c>
    </row>
    <row r="91" spans="3:3" x14ac:dyDescent="0.3">
      <c r="C91" t="s">
        <v>481</v>
      </c>
    </row>
    <row r="92" spans="3:3" x14ac:dyDescent="0.3">
      <c r="C92" t="s">
        <v>482</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58"/>
  <sheetViews>
    <sheetView zoomScaleNormal="100" workbookViewId="0"/>
  </sheetViews>
  <sheetFormatPr baseColWidth="10" defaultColWidth="8.6640625" defaultRowHeight="14.4" x14ac:dyDescent="0.3"/>
  <sheetData>
    <row r="1" spans="1:2" x14ac:dyDescent="0.3">
      <c r="A1" t="s">
        <v>510</v>
      </c>
      <c r="B1" t="s">
        <v>511</v>
      </c>
    </row>
    <row r="2" spans="1:2" x14ac:dyDescent="0.3">
      <c r="A2" t="s">
        <v>363</v>
      </c>
      <c r="B2">
        <v>105</v>
      </c>
    </row>
    <row r="3" spans="1:2" x14ac:dyDescent="0.3">
      <c r="A3" t="s">
        <v>365</v>
      </c>
      <c r="B3">
        <v>106</v>
      </c>
    </row>
    <row r="4" spans="1:2" x14ac:dyDescent="0.3">
      <c r="A4" t="s">
        <v>366</v>
      </c>
      <c r="B4">
        <v>107</v>
      </c>
    </row>
    <row r="5" spans="1:2" x14ac:dyDescent="0.3">
      <c r="A5" t="s">
        <v>367</v>
      </c>
      <c r="B5">
        <v>108</v>
      </c>
    </row>
    <row r="6" spans="1:2" x14ac:dyDescent="0.3">
      <c r="A6" t="s">
        <v>368</v>
      </c>
      <c r="B6">
        <v>109</v>
      </c>
    </row>
    <row r="7" spans="1:2" x14ac:dyDescent="0.3">
      <c r="A7" t="s">
        <v>369</v>
      </c>
      <c r="B7">
        <v>110</v>
      </c>
    </row>
    <row r="8" spans="1:2" x14ac:dyDescent="0.3">
      <c r="A8" t="s">
        <v>370</v>
      </c>
      <c r="B8">
        <v>120</v>
      </c>
    </row>
    <row r="9" spans="1:2" x14ac:dyDescent="0.3">
      <c r="A9" t="s">
        <v>371</v>
      </c>
      <c r="B9">
        <v>129</v>
      </c>
    </row>
    <row r="10" spans="1:2" x14ac:dyDescent="0.3">
      <c r="A10" t="s">
        <v>372</v>
      </c>
      <c r="B10">
        <v>130</v>
      </c>
    </row>
    <row r="11" spans="1:2" x14ac:dyDescent="0.3">
      <c r="A11" t="s">
        <v>373</v>
      </c>
      <c r="B11">
        <v>131</v>
      </c>
    </row>
    <row r="12" spans="1:2" x14ac:dyDescent="0.3">
      <c r="A12" t="s">
        <v>374</v>
      </c>
      <c r="B12">
        <v>132</v>
      </c>
    </row>
    <row r="13" spans="1:2" x14ac:dyDescent="0.3">
      <c r="A13" t="s">
        <v>375</v>
      </c>
      <c r="B13">
        <v>133</v>
      </c>
    </row>
    <row r="14" spans="1:2" x14ac:dyDescent="0.3">
      <c r="A14" t="s">
        <v>376</v>
      </c>
      <c r="B14">
        <v>134</v>
      </c>
    </row>
    <row r="15" spans="1:2" x14ac:dyDescent="0.3">
      <c r="A15" t="s">
        <v>377</v>
      </c>
      <c r="B15">
        <v>135</v>
      </c>
    </row>
    <row r="16" spans="1:2" x14ac:dyDescent="0.3">
      <c r="A16" t="s">
        <v>378</v>
      </c>
      <c r="B16">
        <v>138</v>
      </c>
    </row>
    <row r="17" spans="1:2" x14ac:dyDescent="0.3">
      <c r="A17" t="s">
        <v>380</v>
      </c>
      <c r="B17">
        <v>201</v>
      </c>
    </row>
    <row r="18" spans="1:2" x14ac:dyDescent="0.3">
      <c r="A18" t="s">
        <v>382</v>
      </c>
      <c r="B18">
        <v>202</v>
      </c>
    </row>
    <row r="19" spans="1:2" x14ac:dyDescent="0.3">
      <c r="A19" t="s">
        <v>383</v>
      </c>
      <c r="B19">
        <v>203</v>
      </c>
    </row>
    <row r="20" spans="1:2" x14ac:dyDescent="0.3">
      <c r="A20" t="s">
        <v>384</v>
      </c>
      <c r="B20">
        <v>204</v>
      </c>
    </row>
    <row r="21" spans="1:2" x14ac:dyDescent="0.3">
      <c r="A21" t="s">
        <v>385</v>
      </c>
      <c r="B21">
        <v>205</v>
      </c>
    </row>
    <row r="22" spans="1:2" x14ac:dyDescent="0.3">
      <c r="A22" t="s">
        <v>386</v>
      </c>
      <c r="B22">
        <v>207</v>
      </c>
    </row>
    <row r="23" spans="1:2" x14ac:dyDescent="0.3">
      <c r="A23" t="s">
        <v>387</v>
      </c>
      <c r="B23">
        <v>208</v>
      </c>
    </row>
    <row r="24" spans="1:2" x14ac:dyDescent="0.3">
      <c r="A24" t="s">
        <v>388</v>
      </c>
      <c r="B24">
        <v>209</v>
      </c>
    </row>
    <row r="25" spans="1:2" x14ac:dyDescent="0.3">
      <c r="A25" t="s">
        <v>389</v>
      </c>
      <c r="B25">
        <v>210</v>
      </c>
    </row>
    <row r="26" spans="1:2" x14ac:dyDescent="0.3">
      <c r="A26" t="s">
        <v>390</v>
      </c>
      <c r="B26">
        <v>211</v>
      </c>
    </row>
    <row r="27" spans="1:2" x14ac:dyDescent="0.3">
      <c r="A27" t="s">
        <v>391</v>
      </c>
      <c r="B27">
        <v>212</v>
      </c>
    </row>
    <row r="28" spans="1:2" x14ac:dyDescent="0.3">
      <c r="A28" t="s">
        <v>392</v>
      </c>
      <c r="B28">
        <v>213</v>
      </c>
    </row>
    <row r="29" spans="1:2" x14ac:dyDescent="0.3">
      <c r="A29" t="s">
        <v>393</v>
      </c>
      <c r="B29">
        <v>214</v>
      </c>
    </row>
    <row r="30" spans="1:2" x14ac:dyDescent="0.3">
      <c r="A30" t="s">
        <v>394</v>
      </c>
      <c r="B30">
        <v>215</v>
      </c>
    </row>
    <row r="31" spans="1:2" x14ac:dyDescent="0.3">
      <c r="A31" t="s">
        <v>395</v>
      </c>
      <c r="B31">
        <v>217</v>
      </c>
    </row>
    <row r="32" spans="1:2" x14ac:dyDescent="0.3">
      <c r="A32" t="s">
        <v>396</v>
      </c>
      <c r="B32">
        <v>218</v>
      </c>
    </row>
    <row r="33" spans="1:2" x14ac:dyDescent="0.3">
      <c r="A33" t="s">
        <v>397</v>
      </c>
      <c r="B33">
        <v>227</v>
      </c>
    </row>
    <row r="34" spans="1:2" x14ac:dyDescent="0.3">
      <c r="A34" t="s">
        <v>398</v>
      </c>
      <c r="B34">
        <v>231</v>
      </c>
    </row>
    <row r="35" spans="1:2" x14ac:dyDescent="0.3">
      <c r="A35" t="s">
        <v>399</v>
      </c>
      <c r="B35">
        <v>232</v>
      </c>
    </row>
    <row r="36" spans="1:2" x14ac:dyDescent="0.3">
      <c r="A36" t="s">
        <v>400</v>
      </c>
      <c r="B36">
        <v>233</v>
      </c>
    </row>
    <row r="37" spans="1:2" x14ac:dyDescent="0.3">
      <c r="A37" t="s">
        <v>401</v>
      </c>
      <c r="B37">
        <v>234</v>
      </c>
    </row>
    <row r="38" spans="1:2" x14ac:dyDescent="0.3">
      <c r="A38" t="s">
        <v>402</v>
      </c>
      <c r="B38">
        <v>235</v>
      </c>
    </row>
    <row r="39" spans="1:2" x14ac:dyDescent="0.3">
      <c r="A39" t="s">
        <v>403</v>
      </c>
      <c r="B39">
        <v>237</v>
      </c>
    </row>
    <row r="40" spans="1:2" x14ac:dyDescent="0.3">
      <c r="A40" t="s">
        <v>404</v>
      </c>
      <c r="B40">
        <v>245</v>
      </c>
    </row>
    <row r="41" spans="1:2" x14ac:dyDescent="0.3">
      <c r="A41" t="s">
        <v>406</v>
      </c>
      <c r="B41">
        <v>301</v>
      </c>
    </row>
    <row r="42" spans="1:2" x14ac:dyDescent="0.3">
      <c r="A42" t="s">
        <v>408</v>
      </c>
      <c r="B42">
        <v>302</v>
      </c>
    </row>
    <row r="43" spans="1:2" x14ac:dyDescent="0.3">
      <c r="A43" t="s">
        <v>382</v>
      </c>
      <c r="B43">
        <v>303</v>
      </c>
    </row>
    <row r="44" spans="1:2" x14ac:dyDescent="0.3">
      <c r="A44" t="s">
        <v>383</v>
      </c>
      <c r="B44">
        <v>304</v>
      </c>
    </row>
    <row r="45" spans="1:2" x14ac:dyDescent="0.3">
      <c r="A45" t="s">
        <v>391</v>
      </c>
      <c r="B45">
        <v>306</v>
      </c>
    </row>
    <row r="46" spans="1:2" x14ac:dyDescent="0.3">
      <c r="A46" t="s">
        <v>409</v>
      </c>
      <c r="B46">
        <v>308</v>
      </c>
    </row>
    <row r="47" spans="1:2" x14ac:dyDescent="0.3">
      <c r="A47" t="s">
        <v>410</v>
      </c>
      <c r="B47">
        <v>309</v>
      </c>
    </row>
    <row r="48" spans="1:2" x14ac:dyDescent="0.3">
      <c r="A48" t="s">
        <v>411</v>
      </c>
      <c r="B48">
        <v>310</v>
      </c>
    </row>
    <row r="49" spans="1:2" x14ac:dyDescent="0.3">
      <c r="A49" t="s">
        <v>412</v>
      </c>
      <c r="B49">
        <v>311</v>
      </c>
    </row>
    <row r="50" spans="1:2" x14ac:dyDescent="0.3">
      <c r="A50" t="s">
        <v>413</v>
      </c>
      <c r="B50">
        <v>312</v>
      </c>
    </row>
    <row r="51" spans="1:2" x14ac:dyDescent="0.3">
      <c r="A51" t="s">
        <v>414</v>
      </c>
      <c r="B51">
        <v>313</v>
      </c>
    </row>
    <row r="52" spans="1:2" x14ac:dyDescent="0.3">
      <c r="A52" t="s">
        <v>415</v>
      </c>
      <c r="B52">
        <v>316</v>
      </c>
    </row>
    <row r="53" spans="1:2" x14ac:dyDescent="0.3">
      <c r="A53" t="s">
        <v>416</v>
      </c>
      <c r="B53">
        <v>317</v>
      </c>
    </row>
    <row r="54" spans="1:2" x14ac:dyDescent="0.3">
      <c r="A54" t="s">
        <v>417</v>
      </c>
      <c r="B54">
        <v>318</v>
      </c>
    </row>
    <row r="55" spans="1:2" x14ac:dyDescent="0.3">
      <c r="A55" t="s">
        <v>418</v>
      </c>
      <c r="B55">
        <v>320</v>
      </c>
    </row>
    <row r="56" spans="1:2" x14ac:dyDescent="0.3">
      <c r="A56" t="s">
        <v>419</v>
      </c>
      <c r="B56">
        <v>321</v>
      </c>
    </row>
    <row r="57" spans="1:2" x14ac:dyDescent="0.3">
      <c r="A57" t="s">
        <v>420</v>
      </c>
      <c r="B57">
        <v>323</v>
      </c>
    </row>
    <row r="58" spans="1:2" x14ac:dyDescent="0.3">
      <c r="A58" t="s">
        <v>421</v>
      </c>
      <c r="B58">
        <v>324</v>
      </c>
    </row>
    <row r="59" spans="1:2" x14ac:dyDescent="0.3">
      <c r="A59" t="s">
        <v>422</v>
      </c>
      <c r="B59">
        <v>325</v>
      </c>
    </row>
    <row r="60" spans="1:2" x14ac:dyDescent="0.3">
      <c r="A60" t="s">
        <v>423</v>
      </c>
      <c r="B60">
        <v>326</v>
      </c>
    </row>
    <row r="61" spans="1:2" x14ac:dyDescent="0.3">
      <c r="A61" t="s">
        <v>424</v>
      </c>
      <c r="B61">
        <v>327</v>
      </c>
    </row>
    <row r="62" spans="1:2" x14ac:dyDescent="0.3">
      <c r="A62" t="s">
        <v>425</v>
      </c>
      <c r="B62">
        <v>328</v>
      </c>
    </row>
    <row r="63" spans="1:2" x14ac:dyDescent="0.3">
      <c r="A63" t="s">
        <v>426</v>
      </c>
      <c r="B63">
        <v>329</v>
      </c>
    </row>
    <row r="64" spans="1:2" x14ac:dyDescent="0.3">
      <c r="A64" t="s">
        <v>427</v>
      </c>
      <c r="B64">
        <v>330</v>
      </c>
    </row>
    <row r="65" spans="1:2" x14ac:dyDescent="0.3">
      <c r="A65" t="s">
        <v>428</v>
      </c>
      <c r="B65">
        <v>331</v>
      </c>
    </row>
    <row r="66" spans="1:2" x14ac:dyDescent="0.3">
      <c r="A66" t="s">
        <v>429</v>
      </c>
      <c r="B66">
        <v>332</v>
      </c>
    </row>
    <row r="67" spans="1:2" x14ac:dyDescent="0.3">
      <c r="A67" t="s">
        <v>430</v>
      </c>
      <c r="B67">
        <v>333</v>
      </c>
    </row>
    <row r="68" spans="1:2" x14ac:dyDescent="0.3">
      <c r="A68" t="s">
        <v>431</v>
      </c>
      <c r="B68">
        <v>334</v>
      </c>
    </row>
    <row r="69" spans="1:2" x14ac:dyDescent="0.3">
      <c r="A69" t="s">
        <v>432</v>
      </c>
      <c r="B69">
        <v>335</v>
      </c>
    </row>
    <row r="70" spans="1:2" x14ac:dyDescent="0.3">
      <c r="A70" t="s">
        <v>433</v>
      </c>
      <c r="B70">
        <v>336</v>
      </c>
    </row>
    <row r="71" spans="1:2" x14ac:dyDescent="0.3">
      <c r="A71" t="s">
        <v>434</v>
      </c>
      <c r="B71">
        <v>337</v>
      </c>
    </row>
    <row r="72" spans="1:2" x14ac:dyDescent="0.3">
      <c r="A72" t="s">
        <v>435</v>
      </c>
      <c r="B72">
        <v>338</v>
      </c>
    </row>
    <row r="73" spans="1:2" x14ac:dyDescent="0.3">
      <c r="A73" t="s">
        <v>436</v>
      </c>
      <c r="B73">
        <v>339</v>
      </c>
    </row>
    <row r="74" spans="1:2" x14ac:dyDescent="0.3">
      <c r="A74" t="s">
        <v>437</v>
      </c>
      <c r="B74">
        <v>340</v>
      </c>
    </row>
    <row r="75" spans="1:2" x14ac:dyDescent="0.3">
      <c r="A75" t="s">
        <v>438</v>
      </c>
      <c r="B75">
        <v>342</v>
      </c>
    </row>
    <row r="76" spans="1:2" x14ac:dyDescent="0.3">
      <c r="A76" t="s">
        <v>439</v>
      </c>
      <c r="B76">
        <v>343</v>
      </c>
    </row>
    <row r="77" spans="1:2" x14ac:dyDescent="0.3">
      <c r="A77" t="s">
        <v>440</v>
      </c>
      <c r="B77">
        <v>344</v>
      </c>
    </row>
    <row r="78" spans="1:2" x14ac:dyDescent="0.3">
      <c r="A78" t="s">
        <v>441</v>
      </c>
      <c r="B78">
        <v>345</v>
      </c>
    </row>
    <row r="79" spans="1:2" x14ac:dyDescent="0.3">
      <c r="A79" t="s">
        <v>442</v>
      </c>
      <c r="B79">
        <v>346</v>
      </c>
    </row>
    <row r="80" spans="1:2" x14ac:dyDescent="0.3">
      <c r="A80" t="s">
        <v>443</v>
      </c>
      <c r="B80">
        <v>347</v>
      </c>
    </row>
    <row r="81" spans="1:2" x14ac:dyDescent="0.3">
      <c r="A81" t="s">
        <v>444</v>
      </c>
      <c r="B81">
        <v>348</v>
      </c>
    </row>
    <row r="82" spans="1:2" x14ac:dyDescent="0.3">
      <c r="A82" t="s">
        <v>445</v>
      </c>
      <c r="B82">
        <v>354</v>
      </c>
    </row>
    <row r="83" spans="1:2" x14ac:dyDescent="0.3">
      <c r="A83" t="s">
        <v>446</v>
      </c>
      <c r="B83">
        <v>355</v>
      </c>
    </row>
    <row r="84" spans="1:2" x14ac:dyDescent="0.3">
      <c r="A84" t="s">
        <v>447</v>
      </c>
      <c r="B84">
        <v>356</v>
      </c>
    </row>
    <row r="85" spans="1:2" x14ac:dyDescent="0.3">
      <c r="A85" t="s">
        <v>448</v>
      </c>
      <c r="B85">
        <v>361</v>
      </c>
    </row>
    <row r="86" spans="1:2" x14ac:dyDescent="0.3">
      <c r="A86" t="s">
        <v>380</v>
      </c>
      <c r="B86">
        <v>362</v>
      </c>
    </row>
    <row r="87" spans="1:2" x14ac:dyDescent="0.3">
      <c r="A87" t="s">
        <v>449</v>
      </c>
      <c r="B87">
        <v>363</v>
      </c>
    </row>
    <row r="88" spans="1:2" x14ac:dyDescent="0.3">
      <c r="A88" t="s">
        <v>399</v>
      </c>
      <c r="B88">
        <v>364</v>
      </c>
    </row>
    <row r="89" spans="1:2" x14ac:dyDescent="0.3">
      <c r="A89" t="s">
        <v>400</v>
      </c>
      <c r="B89">
        <v>365</v>
      </c>
    </row>
    <row r="90" spans="1:2" x14ac:dyDescent="0.3">
      <c r="A90" t="s">
        <v>401</v>
      </c>
      <c r="B90">
        <v>366</v>
      </c>
    </row>
    <row r="91" spans="1:2" x14ac:dyDescent="0.3">
      <c r="A91" t="s">
        <v>402</v>
      </c>
      <c r="B91">
        <v>367</v>
      </c>
    </row>
    <row r="92" spans="1:2" x14ac:dyDescent="0.3">
      <c r="A92" t="s">
        <v>450</v>
      </c>
      <c r="B92">
        <v>368</v>
      </c>
    </row>
    <row r="93" spans="1:2" x14ac:dyDescent="0.3">
      <c r="A93" t="s">
        <v>392</v>
      </c>
      <c r="B93">
        <v>369</v>
      </c>
    </row>
    <row r="94" spans="1:2" x14ac:dyDescent="0.3">
      <c r="A94" t="s">
        <v>403</v>
      </c>
      <c r="B94">
        <v>370</v>
      </c>
    </row>
    <row r="95" spans="1:2" x14ac:dyDescent="0.3">
      <c r="A95" t="s">
        <v>451</v>
      </c>
      <c r="B95">
        <v>371</v>
      </c>
    </row>
    <row r="96" spans="1:2" x14ac:dyDescent="0.3">
      <c r="A96" t="s">
        <v>452</v>
      </c>
      <c r="B96">
        <v>372</v>
      </c>
    </row>
    <row r="97" spans="1:2" x14ac:dyDescent="0.3">
      <c r="A97" t="s">
        <v>389</v>
      </c>
      <c r="B97">
        <v>373</v>
      </c>
    </row>
    <row r="98" spans="1:2" x14ac:dyDescent="0.3">
      <c r="A98" t="s">
        <v>397</v>
      </c>
      <c r="B98">
        <v>374</v>
      </c>
    </row>
    <row r="99" spans="1:2" x14ac:dyDescent="0.3">
      <c r="A99" t="s">
        <v>453</v>
      </c>
      <c r="B99">
        <v>375</v>
      </c>
    </row>
    <row r="100" spans="1:2" x14ac:dyDescent="0.3">
      <c r="A100" t="s">
        <v>454</v>
      </c>
      <c r="B100">
        <v>377</v>
      </c>
    </row>
    <row r="101" spans="1:2" x14ac:dyDescent="0.3">
      <c r="A101" t="s">
        <v>455</v>
      </c>
      <c r="B101">
        <v>379</v>
      </c>
    </row>
    <row r="102" spans="1:2" x14ac:dyDescent="0.3">
      <c r="A102" t="s">
        <v>456</v>
      </c>
      <c r="B102">
        <v>383</v>
      </c>
    </row>
    <row r="103" spans="1:2" x14ac:dyDescent="0.3">
      <c r="A103" t="s">
        <v>457</v>
      </c>
      <c r="B103">
        <v>384</v>
      </c>
    </row>
    <row r="104" spans="1:2" x14ac:dyDescent="0.3">
      <c r="A104" t="s">
        <v>458</v>
      </c>
      <c r="B104">
        <v>385</v>
      </c>
    </row>
    <row r="105" spans="1:2" x14ac:dyDescent="0.3">
      <c r="A105" t="s">
        <v>459</v>
      </c>
      <c r="B105">
        <v>386</v>
      </c>
    </row>
    <row r="106" spans="1:2" x14ac:dyDescent="0.3">
      <c r="A106" t="s">
        <v>404</v>
      </c>
      <c r="B106">
        <v>387</v>
      </c>
    </row>
    <row r="107" spans="1:2" x14ac:dyDescent="0.3">
      <c r="A107" t="s">
        <v>460</v>
      </c>
      <c r="B107">
        <v>388</v>
      </c>
    </row>
    <row r="108" spans="1:2" x14ac:dyDescent="0.3">
      <c r="A108" t="s">
        <v>461</v>
      </c>
      <c r="B108">
        <v>390</v>
      </c>
    </row>
    <row r="109" spans="1:2" x14ac:dyDescent="0.3">
      <c r="A109" t="s">
        <v>462</v>
      </c>
      <c r="B109">
        <v>391</v>
      </c>
    </row>
    <row r="110" spans="1:2" x14ac:dyDescent="0.3">
      <c r="A110" t="s">
        <v>463</v>
      </c>
      <c r="B110">
        <v>393</v>
      </c>
    </row>
    <row r="111" spans="1:2" x14ac:dyDescent="0.3">
      <c r="A111" t="s">
        <v>464</v>
      </c>
      <c r="B111">
        <v>395</v>
      </c>
    </row>
    <row r="112" spans="1:2" x14ac:dyDescent="0.3">
      <c r="A112" t="s">
        <v>465</v>
      </c>
      <c r="B112">
        <v>396</v>
      </c>
    </row>
    <row r="113" spans="1:2" x14ac:dyDescent="0.3">
      <c r="A113" t="s">
        <v>466</v>
      </c>
      <c r="B113">
        <v>397</v>
      </c>
    </row>
    <row r="114" spans="1:2" x14ac:dyDescent="0.3">
      <c r="A114" t="s">
        <v>467</v>
      </c>
      <c r="B114">
        <v>406</v>
      </c>
    </row>
    <row r="115" spans="1:2" x14ac:dyDescent="0.3">
      <c r="A115" t="s">
        <v>468</v>
      </c>
      <c r="B115">
        <v>407</v>
      </c>
    </row>
    <row r="116" spans="1:2" x14ac:dyDescent="0.3">
      <c r="A116" t="s">
        <v>469</v>
      </c>
      <c r="B116">
        <v>408</v>
      </c>
    </row>
    <row r="117" spans="1:2" x14ac:dyDescent="0.3">
      <c r="A117" t="s">
        <v>470</v>
      </c>
      <c r="B117">
        <v>409</v>
      </c>
    </row>
    <row r="118" spans="1:2" x14ac:dyDescent="0.3">
      <c r="A118" t="s">
        <v>390</v>
      </c>
      <c r="B118">
        <v>410</v>
      </c>
    </row>
    <row r="119" spans="1:2" x14ac:dyDescent="0.3">
      <c r="A119" t="s">
        <v>385</v>
      </c>
      <c r="B119">
        <v>411</v>
      </c>
    </row>
    <row r="120" spans="1:2" x14ac:dyDescent="0.3">
      <c r="A120" t="s">
        <v>471</v>
      </c>
      <c r="B120">
        <v>412</v>
      </c>
    </row>
    <row r="121" spans="1:2" x14ac:dyDescent="0.3">
      <c r="A121" t="s">
        <v>472</v>
      </c>
      <c r="B121">
        <v>413</v>
      </c>
    </row>
    <row r="122" spans="1:2" x14ac:dyDescent="0.3">
      <c r="A122" t="s">
        <v>473</v>
      </c>
      <c r="B122">
        <v>414</v>
      </c>
    </row>
    <row r="123" spans="1:2" x14ac:dyDescent="0.3">
      <c r="A123" t="s">
        <v>474</v>
      </c>
      <c r="B123">
        <v>415</v>
      </c>
    </row>
    <row r="124" spans="1:2" x14ac:dyDescent="0.3">
      <c r="A124" t="s">
        <v>475</v>
      </c>
      <c r="B124">
        <v>416</v>
      </c>
    </row>
    <row r="125" spans="1:2" x14ac:dyDescent="0.3">
      <c r="A125" t="s">
        <v>476</v>
      </c>
      <c r="B125">
        <v>417</v>
      </c>
    </row>
    <row r="126" spans="1:2" x14ac:dyDescent="0.3">
      <c r="A126" t="s">
        <v>477</v>
      </c>
      <c r="B126">
        <v>418</v>
      </c>
    </row>
    <row r="127" spans="1:2" x14ac:dyDescent="0.3">
      <c r="A127" t="s">
        <v>478</v>
      </c>
      <c r="B127">
        <v>419</v>
      </c>
    </row>
    <row r="128" spans="1:2" x14ac:dyDescent="0.3">
      <c r="A128" t="s">
        <v>479</v>
      </c>
      <c r="B128">
        <v>420</v>
      </c>
    </row>
    <row r="129" spans="1:2" x14ac:dyDescent="0.3">
      <c r="A129" t="s">
        <v>480</v>
      </c>
      <c r="B129">
        <v>421</v>
      </c>
    </row>
    <row r="130" spans="1:2" x14ac:dyDescent="0.3">
      <c r="A130" t="s">
        <v>481</v>
      </c>
      <c r="B130">
        <v>422</v>
      </c>
    </row>
    <row r="131" spans="1:2" x14ac:dyDescent="0.3">
      <c r="A131" t="s">
        <v>482</v>
      </c>
      <c r="B131">
        <v>423</v>
      </c>
    </row>
    <row r="132" spans="1:2" x14ac:dyDescent="0.3">
      <c r="A132" t="s">
        <v>297</v>
      </c>
      <c r="B132">
        <v>706</v>
      </c>
    </row>
    <row r="133" spans="1:2" x14ac:dyDescent="0.3">
      <c r="A133" t="s">
        <v>485</v>
      </c>
      <c r="B133">
        <v>709</v>
      </c>
    </row>
    <row r="134" spans="1:2" x14ac:dyDescent="0.3">
      <c r="A134" t="s">
        <v>469</v>
      </c>
      <c r="B134">
        <v>711</v>
      </c>
    </row>
    <row r="135" spans="1:2" x14ac:dyDescent="0.3">
      <c r="A135" t="s">
        <v>486</v>
      </c>
      <c r="B135">
        <v>712</v>
      </c>
    </row>
    <row r="136" spans="1:2" x14ac:dyDescent="0.3">
      <c r="A136" t="s">
        <v>487</v>
      </c>
      <c r="B136">
        <v>714</v>
      </c>
    </row>
    <row r="137" spans="1:2" x14ac:dyDescent="0.3">
      <c r="A137" t="s">
        <v>456</v>
      </c>
      <c r="B137">
        <v>715</v>
      </c>
    </row>
    <row r="138" spans="1:2" x14ac:dyDescent="0.3">
      <c r="A138" t="s">
        <v>488</v>
      </c>
      <c r="B138">
        <v>717</v>
      </c>
    </row>
    <row r="139" spans="1:2" x14ac:dyDescent="0.3">
      <c r="A139" t="s">
        <v>489</v>
      </c>
      <c r="B139">
        <v>728</v>
      </c>
    </row>
    <row r="140" spans="1:2" x14ac:dyDescent="0.3">
      <c r="A140" t="s">
        <v>490</v>
      </c>
      <c r="B140">
        <v>729</v>
      </c>
    </row>
    <row r="141" spans="1:2" x14ac:dyDescent="0.3">
      <c r="A141" t="s">
        <v>491</v>
      </c>
      <c r="B141">
        <v>731</v>
      </c>
    </row>
    <row r="142" spans="1:2" x14ac:dyDescent="0.3">
      <c r="A142" t="s">
        <v>492</v>
      </c>
      <c r="B142">
        <v>733</v>
      </c>
    </row>
    <row r="143" spans="1:2" x14ac:dyDescent="0.3">
      <c r="A143" t="s">
        <v>493</v>
      </c>
      <c r="B143">
        <v>734</v>
      </c>
    </row>
    <row r="144" spans="1:2" x14ac:dyDescent="0.3">
      <c r="A144" t="s">
        <v>494</v>
      </c>
      <c r="B144">
        <v>739</v>
      </c>
    </row>
    <row r="145" spans="1:2" x14ac:dyDescent="0.3">
      <c r="A145" t="s">
        <v>495</v>
      </c>
      <c r="B145">
        <v>740</v>
      </c>
    </row>
    <row r="146" spans="1:2" x14ac:dyDescent="0.3">
      <c r="A146" t="s">
        <v>496</v>
      </c>
      <c r="B146">
        <v>742</v>
      </c>
    </row>
    <row r="147" spans="1:2" x14ac:dyDescent="0.3">
      <c r="A147" t="s">
        <v>497</v>
      </c>
      <c r="B147">
        <v>743</v>
      </c>
    </row>
    <row r="148" spans="1:2" x14ac:dyDescent="0.3">
      <c r="A148" t="s">
        <v>498</v>
      </c>
      <c r="B148">
        <v>744</v>
      </c>
    </row>
    <row r="149" spans="1:2" x14ac:dyDescent="0.3">
      <c r="A149" t="s">
        <v>499</v>
      </c>
      <c r="B149">
        <v>745</v>
      </c>
    </row>
    <row r="150" spans="1:2" x14ac:dyDescent="0.3">
      <c r="A150" t="s">
        <v>500</v>
      </c>
      <c r="B150">
        <v>746</v>
      </c>
    </row>
    <row r="151" spans="1:2" x14ac:dyDescent="0.3">
      <c r="A151" t="s">
        <v>480</v>
      </c>
      <c r="B151">
        <v>747</v>
      </c>
    </row>
    <row r="152" spans="1:2" x14ac:dyDescent="0.3">
      <c r="A152" t="s">
        <v>501</v>
      </c>
      <c r="B152">
        <v>748</v>
      </c>
    </row>
    <row r="153" spans="1:2" x14ac:dyDescent="0.3">
      <c r="A153" t="s">
        <v>502</v>
      </c>
      <c r="B153">
        <v>749</v>
      </c>
    </row>
    <row r="154" spans="1:2" x14ac:dyDescent="0.3">
      <c r="A154" t="s">
        <v>504</v>
      </c>
      <c r="B154">
        <v>1101</v>
      </c>
    </row>
    <row r="155" spans="1:2" x14ac:dyDescent="0.3">
      <c r="A155" t="s">
        <v>506</v>
      </c>
      <c r="B155">
        <v>1102</v>
      </c>
    </row>
    <row r="156" spans="1:2" x14ac:dyDescent="0.3">
      <c r="A156" t="s">
        <v>507</v>
      </c>
      <c r="B156">
        <v>1103</v>
      </c>
    </row>
    <row r="157" spans="1:2" x14ac:dyDescent="0.3">
      <c r="A157" t="s">
        <v>508</v>
      </c>
      <c r="B157">
        <v>1104</v>
      </c>
    </row>
    <row r="158" spans="1:2" x14ac:dyDescent="0.3">
      <c r="A158" t="s">
        <v>509</v>
      </c>
      <c r="B158">
        <v>1105</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B6"/>
  <sheetViews>
    <sheetView zoomScaleNormal="100" workbookViewId="0"/>
  </sheetViews>
  <sheetFormatPr baseColWidth="10" defaultColWidth="8.6640625" defaultRowHeight="14.4" x14ac:dyDescent="0.3"/>
  <sheetData>
    <row r="2" spans="1:2" x14ac:dyDescent="0.3">
      <c r="A2" t="s">
        <v>364</v>
      </c>
      <c r="B2" t="s">
        <v>512</v>
      </c>
    </row>
    <row r="3" spans="1:2" x14ac:dyDescent="0.3">
      <c r="A3" t="s">
        <v>381</v>
      </c>
      <c r="B3" t="s">
        <v>513</v>
      </c>
    </row>
    <row r="4" spans="1:2" x14ac:dyDescent="0.3">
      <c r="A4" t="s">
        <v>407</v>
      </c>
      <c r="B4" t="s">
        <v>514</v>
      </c>
    </row>
    <row r="5" spans="1:2" x14ac:dyDescent="0.3">
      <c r="A5" t="s">
        <v>484</v>
      </c>
      <c r="B5" t="s">
        <v>515</v>
      </c>
    </row>
    <row r="6" spans="1:2" x14ac:dyDescent="0.3">
      <c r="A6" t="s">
        <v>505</v>
      </c>
      <c r="B6" t="s">
        <v>516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6</vt:i4>
      </vt:variant>
    </vt:vector>
  </HeadingPairs>
  <TitlesOfParts>
    <vt:vector size="18" baseType="lpstr">
      <vt:lpstr>🏠 PORTADA</vt:lpstr>
      <vt:lpstr>📖 INSTRUCTIVO</vt:lpstr>
      <vt:lpstr>📄 MATRIZ DOCUMENTAL</vt:lpstr>
      <vt:lpstr>⚕ REPS – Servicios</vt:lpstr>
      <vt:lpstr>🏗 REPS – Capacidad</vt:lpstr>
      <vt:lpstr>⚠ REPS – Sanciones</vt:lpstr>
      <vt:lpstr>📊 DASHBOARD</vt:lpstr>
      <vt:lpstr>📑 REPORTE EJECUTIVO</vt:lpstr>
      <vt:lpstr>📋 Catálogo REPS</vt:lpstr>
      <vt:lpstr>_SVC_</vt:lpstr>
      <vt:lpstr>_COD_</vt:lpstr>
      <vt:lpstr>_LK_</vt:lpstr>
      <vt:lpstr>GRP_Apoyo_Dx_y_Complementacion_Terapeutica</vt:lpstr>
      <vt:lpstr>GRP_Atencion_Inmediata</vt:lpstr>
      <vt:lpstr>GRP_Consulta_Externa</vt:lpstr>
      <vt:lpstr>GRP_Internacion</vt:lpstr>
      <vt:lpstr>GRP_Quirurgicos</vt:lpstr>
      <vt:lpstr>LISTA_GRUPOS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Adriana perdomo</cp:lastModifiedBy>
  <cp:revision>0</cp:revision>
  <dcterms:created xsi:type="dcterms:W3CDTF">2026-03-13T18:07:30Z</dcterms:created>
  <dcterms:modified xsi:type="dcterms:W3CDTF">2026-03-17T19:52:18Z</dcterms:modified>
  <dc:language>en-US</dc:language>
</cp:coreProperties>
</file>