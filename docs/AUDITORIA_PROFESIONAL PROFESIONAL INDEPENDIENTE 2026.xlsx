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ee80b6df3d9442f/Escritorio/PRODUCTOS DE AUDISALUD DIGITALES/"/>
    </mc:Choice>
  </mc:AlternateContent>
  <xr:revisionPtr revIDLastSave="2" documentId="8_{39D78FBC-EC64-486A-8918-2348207E30CF}" xr6:coauthVersionLast="47" xr6:coauthVersionMax="47" xr10:uidLastSave="{608A74F6-05C3-46D3-98B7-B6BA21E02516}"/>
  <bookViews>
    <workbookView xWindow="-108" yWindow="-108" windowWidth="23256" windowHeight="12456" tabRatio="998" activeTab="4" xr2:uid="{00000000-000D-0000-FFFF-FFFF00000000}"/>
  </bookViews>
  <sheets>
    <sheet name="Instructivo de Uso" sheetId="1" r:id="rId1"/>
    <sheet name="Dashboard" sheetId="4" r:id="rId2"/>
    <sheet name="Recomendaciones" sheetId="2" r:id="rId3"/>
    <sheet name="Diferencias entre Servicios" sheetId="3" r:id="rId4"/>
    <sheet name="Ficha Prestador" sheetId="6" r:id="rId5"/>
    <sheet name="Criterios Generales" sheetId="5" r:id="rId6"/>
    <sheet name="Auditoría Documental" sheetId="7" r:id="rId7"/>
    <sheet name="Auditoría Infraestructura" sheetId="8" r:id="rId8"/>
    <sheet name="Consulta Externa" sheetId="9" r:id="rId9"/>
    <sheet name="Terapias" sheetId="10" r:id="rId10"/>
    <sheet name="Laboratorio Clínico" sheetId="11" r:id="rId11"/>
    <sheet name="Toma de Muestras Lab" sheetId="12" r:id="rId12"/>
    <sheet name="Acta de Visita"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59" i="12" l="1"/>
  <c r="D59" i="12"/>
  <c r="C59" i="12"/>
  <c r="F59" i="12" s="1"/>
  <c r="G59" i="12" s="1"/>
  <c r="B59" i="12"/>
  <c r="E58" i="12"/>
  <c r="D58" i="12"/>
  <c r="C58" i="12"/>
  <c r="F58" i="12" s="1"/>
  <c r="G58" i="12" s="1"/>
  <c r="B58" i="12"/>
  <c r="E57" i="12"/>
  <c r="D57" i="12"/>
  <c r="C57" i="12"/>
  <c r="F57" i="12" s="1"/>
  <c r="G57" i="12" s="1"/>
  <c r="B57" i="12"/>
  <c r="E56" i="12"/>
  <c r="D56" i="12"/>
  <c r="C56" i="12"/>
  <c r="F56" i="12" s="1"/>
  <c r="G56" i="12" s="1"/>
  <c r="B56" i="12"/>
  <c r="E55" i="12"/>
  <c r="D55" i="12"/>
  <c r="C55" i="12"/>
  <c r="F55" i="12" s="1"/>
  <c r="G55" i="12" s="1"/>
  <c r="B55" i="12"/>
  <c r="E54" i="12"/>
  <c r="D54" i="12"/>
  <c r="C54" i="12"/>
  <c r="F54" i="12" s="1"/>
  <c r="G54" i="12" s="1"/>
  <c r="B54" i="12"/>
  <c r="E53" i="12"/>
  <c r="E60" i="12" s="1"/>
  <c r="D53" i="12"/>
  <c r="C53" i="12"/>
  <c r="C60" i="12" s="1"/>
  <c r="B53" i="12"/>
  <c r="B60" i="12" s="1"/>
  <c r="E96" i="11"/>
  <c r="D96" i="11"/>
  <c r="C96" i="11"/>
  <c r="F96" i="11" s="1"/>
  <c r="G96" i="11" s="1"/>
  <c r="B96" i="11"/>
  <c r="E95" i="11"/>
  <c r="D95" i="11"/>
  <c r="C95" i="11"/>
  <c r="F95" i="11" s="1"/>
  <c r="G95" i="11" s="1"/>
  <c r="B95" i="11"/>
  <c r="E94" i="11"/>
  <c r="D94" i="11"/>
  <c r="C94" i="11"/>
  <c r="F94" i="11" s="1"/>
  <c r="G94" i="11" s="1"/>
  <c r="B94" i="11"/>
  <c r="E93" i="11"/>
  <c r="D93" i="11"/>
  <c r="C93" i="11"/>
  <c r="F93" i="11" s="1"/>
  <c r="G93" i="11" s="1"/>
  <c r="B93" i="11"/>
  <c r="E92" i="11"/>
  <c r="D92" i="11"/>
  <c r="C92" i="11"/>
  <c r="F92" i="11" s="1"/>
  <c r="G92" i="11" s="1"/>
  <c r="B92" i="11"/>
  <c r="E91" i="11"/>
  <c r="D91" i="11"/>
  <c r="C91" i="11"/>
  <c r="F91" i="11" s="1"/>
  <c r="G91" i="11" s="1"/>
  <c r="B91" i="11"/>
  <c r="E90" i="11"/>
  <c r="E97" i="11" s="1"/>
  <c r="D90" i="11"/>
  <c r="D97" i="11" s="1"/>
  <c r="C90" i="11"/>
  <c r="C97" i="11" s="1"/>
  <c r="B90" i="11"/>
  <c r="B97" i="11" s="1"/>
  <c r="E54" i="10"/>
  <c r="D54" i="10"/>
  <c r="C54" i="10"/>
  <c r="F54" i="10" s="1"/>
  <c r="G54" i="10" s="1"/>
  <c r="B54" i="10"/>
  <c r="E53" i="10"/>
  <c r="D53" i="10"/>
  <c r="C53" i="10"/>
  <c r="F53" i="10" s="1"/>
  <c r="G53" i="10" s="1"/>
  <c r="B53" i="10"/>
  <c r="E52" i="10"/>
  <c r="D52" i="10"/>
  <c r="C52" i="10"/>
  <c r="F52" i="10" s="1"/>
  <c r="G52" i="10" s="1"/>
  <c r="B52" i="10"/>
  <c r="E51" i="10"/>
  <c r="D51" i="10"/>
  <c r="C51" i="10"/>
  <c r="F51" i="10" s="1"/>
  <c r="G51" i="10" s="1"/>
  <c r="B51" i="10"/>
  <c r="E50" i="10"/>
  <c r="D50" i="10"/>
  <c r="C50" i="10"/>
  <c r="F50" i="10" s="1"/>
  <c r="G50" i="10" s="1"/>
  <c r="B50" i="10"/>
  <c r="E49" i="10"/>
  <c r="E55" i="10" s="1"/>
  <c r="D49" i="10"/>
  <c r="D55" i="10" s="1"/>
  <c r="C49" i="10"/>
  <c r="F49" i="10" s="1"/>
  <c r="B49" i="10"/>
  <c r="B55" i="10" s="1"/>
  <c r="E202" i="9"/>
  <c r="D202" i="9"/>
  <c r="C202" i="9"/>
  <c r="F202" i="9" s="1"/>
  <c r="G202" i="9" s="1"/>
  <c r="B202" i="9"/>
  <c r="E201" i="9"/>
  <c r="D201" i="9"/>
  <c r="C201" i="9"/>
  <c r="F201" i="9" s="1"/>
  <c r="G201" i="9" s="1"/>
  <c r="B201" i="9"/>
  <c r="E200" i="9"/>
  <c r="D200" i="9"/>
  <c r="C200" i="9"/>
  <c r="F200" i="9" s="1"/>
  <c r="G200" i="9" s="1"/>
  <c r="B200" i="9"/>
  <c r="E199" i="9"/>
  <c r="D199" i="9"/>
  <c r="C199" i="9"/>
  <c r="F199" i="9" s="1"/>
  <c r="G199" i="9" s="1"/>
  <c r="B199" i="9"/>
  <c r="E198" i="9"/>
  <c r="D198" i="9"/>
  <c r="C198" i="9"/>
  <c r="F198" i="9" s="1"/>
  <c r="G198" i="9" s="1"/>
  <c r="B198" i="9"/>
  <c r="E197" i="9"/>
  <c r="E203" i="9" s="1"/>
  <c r="D197" i="9"/>
  <c r="D203" i="9" s="1"/>
  <c r="C11" i="4" s="1"/>
  <c r="C197" i="9"/>
  <c r="F197" i="9" s="1"/>
  <c r="G197" i="9" s="1"/>
  <c r="B197" i="9"/>
  <c r="E196" i="9"/>
  <c r="D196" i="9"/>
  <c r="C196" i="9"/>
  <c r="F196" i="9" s="1"/>
  <c r="B196" i="9"/>
  <c r="B203" i="9" s="1"/>
  <c r="E96" i="7"/>
  <c r="D96" i="7"/>
  <c r="C96" i="7"/>
  <c r="F96" i="7" s="1"/>
  <c r="G96" i="7" s="1"/>
  <c r="B96" i="7"/>
  <c r="E95" i="7"/>
  <c r="D95" i="7"/>
  <c r="C95" i="7"/>
  <c r="F95" i="7" s="1"/>
  <c r="G95" i="7" s="1"/>
  <c r="B95" i="7"/>
  <c r="E94" i="7"/>
  <c r="D94" i="7"/>
  <c r="C94" i="7"/>
  <c r="F94" i="7" s="1"/>
  <c r="G94" i="7" s="1"/>
  <c r="B94" i="7"/>
  <c r="E93" i="7"/>
  <c r="D93" i="7"/>
  <c r="C93" i="7"/>
  <c r="F93" i="7" s="1"/>
  <c r="G93" i="7" s="1"/>
  <c r="B93" i="7"/>
  <c r="E92" i="7"/>
  <c r="D92" i="7"/>
  <c r="C92" i="7"/>
  <c r="F92" i="7" s="1"/>
  <c r="G92" i="7" s="1"/>
  <c r="B92" i="7"/>
  <c r="E91" i="7"/>
  <c r="E97" i="7" s="1"/>
  <c r="D91" i="7"/>
  <c r="C91" i="7"/>
  <c r="F91" i="7" s="1"/>
  <c r="B91" i="7"/>
  <c r="B97" i="7" s="1"/>
  <c r="E42" i="6"/>
  <c r="D42" i="6"/>
  <c r="E41" i="6"/>
  <c r="D41" i="6"/>
  <c r="E40" i="6"/>
  <c r="D40" i="6"/>
  <c r="E39" i="6"/>
  <c r="D39" i="6"/>
  <c r="E38" i="6"/>
  <c r="D38" i="6"/>
  <c r="E37" i="6"/>
  <c r="D37" i="6"/>
  <c r="E36" i="6"/>
  <c r="D36" i="6"/>
  <c r="E35" i="6"/>
  <c r="D35" i="6"/>
  <c r="E34" i="6"/>
  <c r="D34" i="6"/>
  <c r="E33" i="6"/>
  <c r="D33" i="6"/>
  <c r="E32" i="6"/>
  <c r="D32" i="6"/>
  <c r="E31" i="6"/>
  <c r="D31" i="6"/>
  <c r="E173" i="5"/>
  <c r="D173" i="5"/>
  <c r="C173" i="5"/>
  <c r="B173" i="5"/>
  <c r="E172" i="5"/>
  <c r="D172" i="5"/>
  <c r="C172" i="5"/>
  <c r="F172" i="5" s="1"/>
  <c r="G172" i="5" s="1"/>
  <c r="B172" i="5"/>
  <c r="E171" i="5"/>
  <c r="D171" i="5"/>
  <c r="C171" i="5"/>
  <c r="F171" i="5" s="1"/>
  <c r="G171" i="5" s="1"/>
  <c r="B171" i="5"/>
  <c r="E170" i="5"/>
  <c r="D170" i="5"/>
  <c r="C170" i="5"/>
  <c r="B170" i="5"/>
  <c r="E169" i="5"/>
  <c r="D169" i="5"/>
  <c r="C169" i="5"/>
  <c r="B169" i="5"/>
  <c r="E168" i="5"/>
  <c r="D168" i="5"/>
  <c r="C168" i="5"/>
  <c r="F168" i="5" s="1"/>
  <c r="G168" i="5" s="1"/>
  <c r="B168" i="5"/>
  <c r="E167" i="5"/>
  <c r="E174" i="5" s="1"/>
  <c r="D167" i="5"/>
  <c r="B167" i="5"/>
  <c r="B174" i="5" s="1"/>
  <c r="F14" i="4"/>
  <c r="E14" i="4"/>
  <c r="I14" i="4" s="1"/>
  <c r="I13" i="4"/>
  <c r="F13" i="4"/>
  <c r="E13" i="4"/>
  <c r="F12" i="4"/>
  <c r="F11" i="4"/>
  <c r="I10" i="4"/>
  <c r="F10" i="4"/>
  <c r="E10" i="4"/>
  <c r="D10" i="4"/>
  <c r="H10" i="4" s="1"/>
  <c r="C10" i="4"/>
  <c r="F9" i="4"/>
  <c r="F8" i="4"/>
  <c r="F15" i="4" s="1"/>
  <c r="E8" i="4"/>
  <c r="I8" i="4" s="1"/>
  <c r="F169" i="5" l="1"/>
  <c r="G169" i="5" s="1"/>
  <c r="F170" i="5"/>
  <c r="G170" i="5" s="1"/>
  <c r="F173" i="5"/>
  <c r="G173" i="5" s="1"/>
  <c r="D174" i="5"/>
  <c r="C174" i="5"/>
  <c r="G196" i="9"/>
  <c r="D11" i="4"/>
  <c r="F203" i="9"/>
  <c r="G203" i="9" s="1"/>
  <c r="D9" i="4"/>
  <c r="G91" i="7"/>
  <c r="E9" i="4" s="1"/>
  <c r="I9" i="4" s="1"/>
  <c r="F97" i="7"/>
  <c r="G97" i="7" s="1"/>
  <c r="G49" i="10"/>
  <c r="E12" i="4" s="1"/>
  <c r="I12" i="4" s="1"/>
  <c r="F55" i="10"/>
  <c r="G55" i="10" s="1"/>
  <c r="C12" i="4"/>
  <c r="C14" i="4"/>
  <c r="C97" i="7"/>
  <c r="C203" i="9"/>
  <c r="C8" i="4"/>
  <c r="F167" i="5"/>
  <c r="F90" i="11"/>
  <c r="F53" i="12"/>
  <c r="C13" i="4"/>
  <c r="C55" i="10"/>
  <c r="D60" i="12"/>
  <c r="D97" i="7"/>
  <c r="C9" i="4" s="1"/>
  <c r="G10" i="4"/>
  <c r="D12" i="4" l="1"/>
  <c r="G9" i="4"/>
  <c r="H9" i="4"/>
  <c r="F60" i="12"/>
  <c r="G60" i="12" s="1"/>
  <c r="G53" i="12"/>
  <c r="D14" i="4" s="1"/>
  <c r="F97" i="11"/>
  <c r="G97" i="11" s="1"/>
  <c r="G90" i="11"/>
  <c r="D13" i="4" s="1"/>
  <c r="F174" i="5"/>
  <c r="G174" i="5" s="1"/>
  <c r="G167" i="5"/>
  <c r="C15" i="4"/>
  <c r="H11" i="4"/>
  <c r="G11" i="4"/>
  <c r="E11" i="4"/>
  <c r="G13" i="4" l="1"/>
  <c r="H13" i="4"/>
  <c r="G14" i="4"/>
  <c r="H14" i="4"/>
  <c r="D8" i="4"/>
  <c r="I11" i="4"/>
  <c r="E15" i="4"/>
  <c r="I15" i="4" s="1"/>
  <c r="G12" i="4"/>
  <c r="H12" i="4"/>
  <c r="G8" i="4" l="1"/>
  <c r="H8" i="4" s="1"/>
  <c r="D15" i="4"/>
  <c r="G15" i="4" l="1"/>
  <c r="H15" i="4" s="1"/>
</calcChain>
</file>

<file path=xl/sharedStrings.xml><?xml version="1.0" encoding="utf-8"?>
<sst xmlns="http://schemas.openxmlformats.org/spreadsheetml/2006/main" count="3337" uniqueCount="1348">
  <si>
    <t>📋  INSTRUCTIVO DE USO  —  HERRAMIENTA DE AUDITORÍA  PROFESIONAL INDEPENDIENTE EN SALUD</t>
  </si>
  <si>
    <t>Resolución 3100 de 2019  |  Sistema Único de Habilitación  |  Audisalud Colombia S.A.S.  |  Versión 2.0</t>
  </si>
  <si>
    <t xml:space="preserve">  1.  PROPÓSITO Y ALCANCE DE LA HERRAMIENTA</t>
  </si>
  <si>
    <t>ASPECTO</t>
  </si>
  <si>
    <t>DETALLE</t>
  </si>
  <si>
    <t>¿Para qué sirve?</t>
  </si>
  <si>
    <t>Auditar el cumplimiento de los estándares de habilitación (Res. 3100/2019) para PROFESIONALES INDEPENDIENTES. Cubre Talento Humano, Infraestructura, Dotación, Medicamentos/DM/Insumos, Procesos Prioritarios, Historia Clínica e Interdependencia para todos los servicios que puede habilitar un profesional independiente.</t>
  </si>
  <si>
    <t>¿A quién aplica?</t>
  </si>
  <si>
    <t>Profesionales independientes habilitados individualmente: médicos, enfermeras, nutricionistas, psicólogos, optómetras, fisioterapeutas, fonoaudiólogos, terapeutas ocupacionales, terapeutas respiratorios, bacteriólogos y demás profesionales con habilitación individual ante la Secretaría de Salud.</t>
  </si>
  <si>
    <t>¿Qué NO cubre?</t>
  </si>
  <si>
    <t>No cubre IPS, servicios hospitalarios, UCI, urgencias complejas, cirugías mayores, bancos de sangre, servicios de internación ni radioterapia / medicina nuclear. Para estos servicios se requieren instrumentos adicionales.</t>
  </si>
  <si>
    <t>Normativa base</t>
  </si>
  <si>
    <t>Resolución 3100 de 2019 — MinSalud Colombia. La herramienta usa el texto LITERAL de la norma, organizado por sección, número de referencia (11.1.1 – 11.3.12) y modalidad de prestación (intramural, extramural, telemedicina).</t>
  </si>
  <si>
    <t xml:space="preserve">  2.  ESTRUCTURA DEL LIBRO — DESCRIPCIÓN DE CADA HOJA</t>
  </si>
  <si>
    <t>#</t>
  </si>
  <si>
    <t>PESTAÑA</t>
  </si>
  <si>
    <t>DESCRIPCIÓN</t>
  </si>
  <si>
    <t>CUÁNDO USARLA</t>
  </si>
  <si>
    <t>1</t>
  </si>
  <si>
    <t>Instructivo de Uso</t>
  </si>
  <si>
    <t>Este documento. Explica la herramienta, íconos y flujo de trabajo recomendado.</t>
  </si>
  <si>
    <t>Leer SIEMPRE antes de iniciar una auditoría</t>
  </si>
  <si>
    <t>2</t>
  </si>
  <si>
    <t>Recomendaciones</t>
  </si>
  <si>
    <t>Recomendaciones prácticas por estándar con nivel de riesgo 🔴🟡🟠🟢.</t>
  </si>
  <si>
    <t>Consultar antes de cada visita para anticipar hallazgos</t>
  </si>
  <si>
    <t>3</t>
  </si>
  <si>
    <t>Diferencias Servicios</t>
  </si>
  <si>
    <t>Tabla comparativa de exigencias entre servicios y puntos críticos por tipo de servicio.</t>
  </si>
  <si>
    <t>Consultar cuando el prestador tiene más de un servicio habilitado</t>
  </si>
  <si>
    <t>4</t>
  </si>
  <si>
    <t>Dashboard</t>
  </si>
  <si>
    <t>Panel de control: % cumplimiento, semáforo y alertas críticas. Se actualiza automáticamente al marcar X.</t>
  </si>
  <si>
    <t>Ver durante y después de cada auditoría</t>
  </si>
  <si>
    <t>5</t>
  </si>
  <si>
    <t>Criterios Generales</t>
  </si>
  <si>
    <t>Criterios generales (Sec. 11.1.1–11.1.7) filtrados para profesional independiente.</t>
  </si>
  <si>
    <t>Aplicar PRIMERO — aplica a todos los servicios habilitados</t>
  </si>
  <si>
    <t>6</t>
  </si>
  <si>
    <t>Ficha Prestador</t>
  </si>
  <si>
    <t>Datos del prestador, habilitación, auditoría y semáforo automático de vencimientos de documentos.</t>
  </si>
  <si>
    <t>Diligenciar al inicio de TODA visita</t>
  </si>
  <si>
    <t>7</t>
  </si>
  <si>
    <t>Auditoría Documental</t>
  </si>
  <si>
    <t>Lista de chequeo de documentos requeridos por los estándares generales.</t>
  </si>
  <si>
    <t>Verificación de carpetas y archivos del prestador</t>
  </si>
  <si>
    <t>8</t>
  </si>
  <si>
    <t>Auditoría Infraestructura</t>
  </si>
  <si>
    <t>Criterios de infraestructura física según la Resolución 3100/2019.</t>
  </si>
  <si>
    <t>Recorrido físico por las instalaciones</t>
  </si>
  <si>
    <t>9</t>
  </si>
  <si>
    <t>Consulta Externa</t>
  </si>
  <si>
    <t>Criterios específicos CE General (Baja) y CE Especializada (Mediana), todas las modalidades incluida telemedicina.</t>
  </si>
  <si>
    <t>Cuando el prestador tiene habilitado servicio de CE</t>
  </si>
  <si>
    <t>10</t>
  </si>
  <si>
    <t>Terapias</t>
  </si>
  <si>
    <t>Criterios del servicio de Terapias Física, Ocupacional, Lenguaje y Respiratoria — Sec. 11.3.1.</t>
  </si>
  <si>
    <t>Cuando el prestador es fisioterapeuta, fonoaudiólogo, TO o TR</t>
  </si>
  <si>
    <t>11</t>
  </si>
  <si>
    <t>Laboratorio Clínico</t>
  </si>
  <si>
    <t>Criterios de Laboratorio Clínico Baja Complejidad — Sec. 11.3.12, incluye modalidad telemedicina.</t>
  </si>
  <si>
    <t>Cuando el prestador es bacteriólogo con laboratorio habilitado</t>
  </si>
  <si>
    <t>12</t>
  </si>
  <si>
    <t>Toma de Muestras Lab</t>
  </si>
  <si>
    <t>Criterios del servicio de Toma de Muestras — Sec. 11.3.11.</t>
  </si>
  <si>
    <t>Cuando tiene habilitado servicio de toma de muestras</t>
  </si>
  <si>
    <t>13</t>
  </si>
  <si>
    <t>Acta de Visita</t>
  </si>
  <si>
    <t>Acta oficial: hallazgos, concepto final (desplegable), requerimientos formales y firmas del auditor y el prestador.</t>
  </si>
  <si>
    <t>Generar y firmar al finalizar TODA visita</t>
  </si>
  <si>
    <t>14</t>
  </si>
  <si>
    <t>Claude Log</t>
  </si>
  <si>
    <t>Registro de versiones y cambios realizados en la herramienta.</t>
  </si>
  <si>
    <t>Consultar para verificar versión</t>
  </si>
  <si>
    <t xml:space="preserve">  3.  FLUJO DE TRABAJO RECOMENDADO — PASO A PASO</t>
  </si>
  <si>
    <t xml:space="preserve">  ANTES DE LA VISITA</t>
  </si>
  <si>
    <t xml:space="preserve">  1. Descarga y abre una COPIA del archivo (no trabajes sobre el original).</t>
  </si>
  <si>
    <t xml:space="preserve">  2. Revisa el semáforo de vencimientos en la Ficha Prestador para identificar alertas previas.</t>
  </si>
  <si>
    <t xml:space="preserve">  3. Identifica qué servicios tiene habilitados el prestador (CE, Terapias, Lab…).</t>
  </si>
  <si>
    <t xml:space="preserve">  4. Prepara los formatos a aplicar según los servicios habilitados.</t>
  </si>
  <si>
    <t xml:space="preserve">  DURANTE LA VISITA</t>
  </si>
  <si>
    <t xml:space="preserve">  5. Diligencia la Ficha Prestador con datos del prestador y de la auditoría.</t>
  </si>
  <si>
    <t xml:space="preserve">  6. Aplica Criterios Generales (aplican a TODOS los servicios).</t>
  </si>
  <si>
    <t xml:space="preserve">  7. Aplica las hojas de servicio específico según lo habilitado.</t>
  </si>
  <si>
    <t xml:space="preserve">  8. Marca X en columna C (Cumple), NC (No Cumple) o NA (No Aplica) en cada criterio.</t>
  </si>
  <si>
    <t xml:space="preserve">  9. Registra el hallazgo exacto en la columna 'Hallazgo / Evidencia'.</t>
  </si>
  <si>
    <t xml:space="preserve">  10. Si hay NC: llena Plan de Mejora, Responsable y Fecha de Compromiso.</t>
  </si>
  <si>
    <t xml:space="preserve">  11. Criterios ⚠️ (fondo amarillo) son CRÍTICOS: documenta con mayor detalle.</t>
  </si>
  <si>
    <t xml:space="preserve">  AL FINALIZAR LA VISITA</t>
  </si>
  <si>
    <t xml:space="preserve">  12. Revisa el Dashboard para verificar el % de cumplimiento global.</t>
  </si>
  <si>
    <t xml:space="preserve">  13. Identifica si hay criterios críticos con NC → son Requerimientos formales obligatorios.</t>
  </si>
  <si>
    <t xml:space="preserve">  14. Diligencia el Acta de Visita con los hallazgos más relevantes.</t>
  </si>
  <si>
    <t xml:space="preserve">  15. Selecciona el Concepto (desplegable en el Acta): Habilitado / Con Requerimientos / No Habilitado.</t>
  </si>
  <si>
    <t xml:space="preserve">  16. Firma el Acta con el prestador auditado.</t>
  </si>
  <si>
    <t xml:space="preserve">  17. Guarda el archivo con nombre: PRESTADOR_FECHA_AUDITORÍA.xlsx</t>
  </si>
  <si>
    <t xml:space="preserve">  4.  ÍCONOS, COLORES Y CONVENCIONES</t>
  </si>
  <si>
    <t>ÍCONO / COLOR</t>
  </si>
  <si>
    <t>SIGNIFICADO</t>
  </si>
  <si>
    <t>ACCIÓN REQUERIDA</t>
  </si>
  <si>
    <t>⚠️  Fondo AMARILLO en fila</t>
  </si>
  <si>
    <t>Criterio CRÍTICO — incumplimiento puede generar requerimiento o cierre del servicio</t>
  </si>
  <si>
    <t>Documentar con detalle. Si NC → Requerimiento formal obligatorio</t>
  </si>
  <si>
    <t>★  Número con estrella</t>
  </si>
  <si>
    <t>Criterio explícito para Profesional Independiente en la norma</t>
  </si>
  <si>
    <t>Verificar con prioridad — la norma hace distinción específica</t>
  </si>
  <si>
    <t>⊘  Fila GRIS tachada</t>
  </si>
  <si>
    <t>Criterio EXCLUIDO: no aplica al profesional independiente (aplica a IPS, hospitales)</t>
  </si>
  <si>
    <t>No evaluar — marcar NA si el sistema lo requiere</t>
  </si>
  <si>
    <t>Fila 🟢  VERDE</t>
  </si>
  <si>
    <t>Criterio marcado C (Cumple)</t>
  </si>
  <si>
    <t>Documenta la evidencia en la columna Hallazgo</t>
  </si>
  <si>
    <t>Fila 🔴  ROJA</t>
  </si>
  <si>
    <t>Criterio marcado NC (No Cumple)</t>
  </si>
  <si>
    <t>OBLIGATORIO: llenar Plan de Mejora, Responsable y Fecha</t>
  </si>
  <si>
    <t>Fila ⬜  GRIS</t>
  </si>
  <si>
    <t>Criterio marcado NA (No Aplica)</t>
  </si>
  <si>
    <t>Justificar brevemente en columna Hallazgo</t>
  </si>
  <si>
    <t>Dashboard 🟢  CUMPLE</t>
  </si>
  <si>
    <t>≥ 90% de criterios evaluados cumplen</t>
  </si>
  <si>
    <t>Estado ideal — revisión de mantenimiento</t>
  </si>
  <si>
    <t>Dashboard 🟡  EN PROCESO</t>
  </si>
  <si>
    <t>Entre 70% y 89% de criterios cumplen</t>
  </si>
  <si>
    <t>Plan de mejora en curso — seguimiento requerido</t>
  </si>
  <si>
    <t>Dashboard 🔴  NO CUMPLE</t>
  </si>
  <si>
    <t>Menos del 70% de criterios cumplen</t>
  </si>
  <si>
    <t>Situación crítica — posibles requerimientos</t>
  </si>
  <si>
    <t>Ficha 🟠  PRÓXIMO A VENCER</t>
  </si>
  <si>
    <t>Documento vence en menos de 30 días</t>
  </si>
  <si>
    <t>Notificar al prestador para renovación inmediata</t>
  </si>
  <si>
    <t>Ficha 🔴  VENCIDO</t>
  </si>
  <si>
    <t>Documento ya vencido</t>
  </si>
  <si>
    <t>Criterio crítico — consignar como hallazgo en el Acta</t>
  </si>
  <si>
    <t>C / NC / NA  en columnas</t>
  </si>
  <si>
    <t>Desplegable de marcación: escribe o selecciona X en la columna correspondiente</t>
  </si>
  <si>
    <t>Solo una X por fila — columnas G, H o I según aplique</t>
  </si>
  <si>
    <t>💡  RECOMENDACIONES DE AUDITORÍA Y HABILITACIÓN — PROFESIONAL INDEPENDIENTE</t>
  </si>
  <si>
    <t>Basadas en Res. 3100/2019 y experiencia práctica en el Sistema Único de Habilitación  |  Audisalud Colombia S.A.S.</t>
  </si>
  <si>
    <t xml:space="preserve">  TALENTO HUMANO</t>
  </si>
  <si>
    <t>RIESGO</t>
  </si>
  <si>
    <t>RECOMENDACIÓN PRÁCTICA</t>
  </si>
  <si>
    <t>Tarjeta profesional vigente</t>
  </si>
  <si>
    <t>🔴  CRÍTICO</t>
  </si>
  <si>
    <t>ReTHUS actualizado</t>
  </si>
  <si>
    <t>Formación continua</t>
  </si>
  <si>
    <t>🟡  ATENCIÓN</t>
  </si>
  <si>
    <t>Formación en telemedicina</t>
  </si>
  <si>
    <t>Si presta servicios en modalidad telemedicina, debe tener constancia de formación en el manejo de la tecnología utilizada. Es uno de los criterios más omitidos en habilitación de modalidad virtual.</t>
  </si>
  <si>
    <t>Estudiantes en práctica formativa</t>
  </si>
  <si>
    <t>No aplica</t>
  </si>
  <si>
    <t>NO APLICA AL PROFESIONAL INDEPENDIENTE — El criterio de escenarios de práctica formativa (convenio con IES y estudio de capacidad instalada) aplica a IPS y entidades con objeto social diferente que tienen estudiantes en práctica. El profesional independiente NO puede tener estudiantes asignados como escenario de práctica formativa; si lo hace, cambia su naturaleza jurídica de independiente a institución.</t>
  </si>
  <si>
    <t>Sedación: talento humano requerido</t>
  </si>
  <si>
    <t>Si realiza procedimientos bajo sedación fuera de salas de cirugía: verificar grado de sedación y el profesional anestesiólogo requerido. Grado I y II pueden ser realizados con médico capacitado en soporte vital y sedación. Grado IV requiere anestesiólogo obligatorio.</t>
  </si>
  <si>
    <t>Facturación como profesional independiente</t>
  </si>
  <si>
    <t>Critico</t>
  </si>
  <si>
    <t>El profesional independiente DEBE facturar como persona natural (cédula), NO como persona jurídica (NIT). Facturar bajo un NIT cambia automáticamente la naturaleza jurídica del prestador de 'Profesional Independiente' a 'Entidad con Objeto Social Diferente (EOSD)' o IPS, lo que implica requisitos de habilitación completamente distintos y más exigentes.
IMPLICACIONES PRÁCTICAS:
• La habilitación en REPS debe estar registrada a nombre del profesional (cédula), no a nombre de una empresa.
• Las facturas de venta de servicios de salud deben llevar el número de cédula del profesional.
• Si tiene empleados o contrata otros profesionales a su nombre, puede perder la categoría de independiente.
• El RUT del profesional debe reflejar la actividad de prestación de servicios de salud (código CIIU correspondiente).
• En la DIAN: registrarse como persona natural responsable de IVA o no responsable, según ingresos.
VERIFICAR EN AUDITORIA: Solicitar la factura de servicios o el contrato con la entidad pagadora — debe aparecer el nombre y cédula del profesional, NO una razón social ni un NIT de empresa.</t>
  </si>
  <si>
    <t xml:space="preserve">  INFRAESTRUCTURA</t>
  </si>
  <si>
    <t>Concepto sanitario vigente</t>
  </si>
  <si>
    <t>Es el documento que más demora en obtenerse (puede tardar 2-3 meses). Tramitar con anticipación ante la Secretaría de Salud. Su vencimiento afecta directamente la habilitación vigente en REPS.</t>
  </si>
  <si>
    <t>Certificado RETIE</t>
  </si>
  <si>
    <t>Certificado de Bomberos</t>
  </si>
  <si>
    <t>Gestionarlo con la Secretaría de Gobierno o el Cuerpo de Bomberos local. En municipios pequeños puede tramitarse con la administración municipal. Renovar con la misma periodicidad que define la entidad emisora.</t>
  </si>
  <si>
    <t>Consultorio: dimensiones mínimas</t>
  </si>
  <si>
    <t>Consultorio con examen físico: mínimo 10 m² SIN incluir la unidad sanitaria. Consultorio solo entrevista: mínimo 4 m². Medir siempre — el incumplimiento es más frecuente de lo que parece en consultorios pequeños.</t>
  </si>
  <si>
    <t>Pisos en media caña</t>
  </si>
  <si>
    <t>Obligatorio en laboratorios, consultorios de procedimientos y consulta odontológica. La unión entre pared y piso debe ser en media caña (sin aristas). Verificar visualmente durante el recorrido.</t>
  </si>
  <si>
    <t>Accesibilidad (ascensor / rampa)</t>
  </si>
  <si>
    <t>Edificación mixta — infraestructura</t>
  </si>
  <si>
    <t>🟢  OPORTUNIDAD</t>
  </si>
  <si>
    <t>La norma permite edificios mixtos (consultorio en edificio residencial/comercial). Cada prestador debe tener área delimitada físicamente. Pueden compartir: sala de espera y unidades sanitarias.</t>
  </si>
  <si>
    <t>Señalización rutas de evacuación</t>
  </si>
  <si>
    <t>Cada piso debe tener planos y señalización de rutas de evacuación, salidas de emergencia y puntos de encuentro, visibles al público. Es un criterio frecuentemente olvidado en consultorios pequeños.</t>
  </si>
  <si>
    <t xml:space="preserve">  DOTACIÓN</t>
  </si>
  <si>
    <t>Hoja de vida de equipos</t>
  </si>
  <si>
    <t>Cada equipo biomédico — incluidos tensiómetros, fonendos y báscula — debe tener hoja de vida con registro de mantenimientos. Error frecuente: omitir equipos de bajo costo pensando que no aplica.</t>
  </si>
  <si>
    <t>Calibración y mantenimiento</t>
  </si>
  <si>
    <t>Los equipos que miden variables fisiológicas (tensiómetros, glucómetros, balanzas) deben tener certificado de calibración vigente. Verificar fechas. El mantenimiento puede ser del fabricante o de técnico contratado.</t>
  </si>
  <si>
    <t>Programa de mantenimiento preventivo</t>
  </si>
  <si>
    <t>Puede ser un cronograma anual simple, pero debe existir. Incluir las recomendaciones del fabricante para cada equipo. El mantenimiento correctivo también debe registrarse.</t>
  </si>
  <si>
    <t>Suficiencia de dotación</t>
  </si>
  <si>
    <t>La norma NO exige número mínimo de equipos — exige que la dotación sea suficiente para la demanda del servicio. El prestador debe documentar su análisis de suficiencia según carga asistencial.</t>
  </si>
  <si>
    <t>No adaptar DM en extramural</t>
  </si>
  <si>
    <t>En modalidad extramural está PROHIBIDO adaptar o fabricar dispositivos médicos sobre medida. Solo se pueden usar equipos con registro sanitario INVIMA vigente.</t>
  </si>
  <si>
    <t>Equipos telemedicina: certificación</t>
  </si>
  <si>
    <t>Los equipos de captura y transmisión de información deben estar certificados por ingeniero biomédico y/o de sistemas. Las pantallas para diagnóstico deben cumplir especificaciones técnicas de dot pitch y resolución.</t>
  </si>
  <si>
    <t xml:space="preserve">  MEDICAMENTOS, DM E INSUMOS</t>
  </si>
  <si>
    <t>Registro INVIMA vigente</t>
  </si>
  <si>
    <t>Todos los medicamentos y dispositivos médicos deben tener registro sanitario INVIMA vigente. Verificar en vía.invima.gov.co en el momento de la visita. Las fechas de vencimiento físicas también deben estar visibles y controladas.</t>
  </si>
  <si>
    <t>Cadena de frío</t>
  </si>
  <si>
    <t>Si maneja insulinas, vacunas, biológicos o reactivos termolábiles: la cadena de frío es obligatoria. Debe tener nevera, termómetro calibrado y registro DIARIO de temperatura documentado.</t>
  </si>
  <si>
    <t>Kit de derrames</t>
  </si>
  <si>
    <t>Obligatorio para todo prestador que maneje medicamentos. Debe estar señalizado, accesible y documentado. El prestador define su contenido según los medicamentos que usa y las fichas técnicas del fabricante.</t>
  </si>
  <si>
    <t>Farmacovigilancia / Tecnovigilancia</t>
  </si>
  <si>
    <t>El profesional independiente que dispensa o administra medicamentos debe estar inscrito en el programa de Farmacovigilancia del INVIMA. Es uno de los criterios más frecuentemente incumplidos en independientes.</t>
  </si>
  <si>
    <t>Control de cadena de frío en extramural</t>
  </si>
  <si>
    <t>🟠  VIGILAR</t>
  </si>
  <si>
    <t>En modalidad domiciliaria y extramural, los medicamentos e insumos deben mantenerse en condiciones apropiadas durante el transporte. Documentar el procedimiento de manejo de temperatura en extramural.</t>
  </si>
  <si>
    <t>Relaciones de insumos actualizadas</t>
  </si>
  <si>
    <t>Las relaciones de medicamentos, DM y reactivos deben estar actualizadas. Mantenerlas en formato digital facilita la actualización y la presentación durante la auditoría.</t>
  </si>
  <si>
    <t xml:space="preserve">  PROCESOS PRIORITARIOS</t>
  </si>
  <si>
    <t>Política de seguridad del paciente</t>
  </si>
  <si>
    <t>Consentimiento informado funcional</t>
  </si>
  <si>
    <t>Debe existir un formato por tipo de procedimiento, firmado por el paciente o su acudiente ANTES del procedimiento, y conservado en la historia clínica. Verificar que el proceso sea real, no solo documental.</t>
  </si>
  <si>
    <t>Protocolo de higiene de manos</t>
  </si>
  <si>
    <t>Debe estar visible en el consultorio. Verificar que haya jabón, agua, toallas/papel desechable y/o gel de alcohol. Es un criterio de inspección visual directa — se verifica en el momento del recorrido.</t>
  </si>
  <si>
    <t>Violencias sexuales — independiente</t>
  </si>
  <si>
    <t>La norma exige EXPLÍCITAMENTE que el Profesional Independiente de CE cuente con el documento del proceso para atención de víctimas de violencias sexuales. Es un criterio diferencial específico del independiente.</t>
  </si>
  <si>
    <t>Guías de práctica clínica</t>
  </si>
  <si>
    <t>Priorizar GPC del MinSalud. Si no existen para la especialidad: GPC de sociedades científicas nacionales o internacionales. Documentar la selección realizada. Mínimo una GPC por patología más frecuente del servicio.</t>
  </si>
  <si>
    <t>Referencia y contrarreferencia</t>
  </si>
  <si>
    <t>Debe haber un protocolo escrito. Para el profesional independiente puede ser básico: a dónde refiere, cómo documenta la referencia, cómo hace seguimiento. Incluir datos de la red de referencia local.</t>
  </si>
  <si>
    <t>Pruebas POCT — inscripción RELAB</t>
  </si>
  <si>
    <t>Si realiza pruebas rápidas (glucometría, prueba de embarazo, hemoglobina, etc.) debe inscribirse en RELAB y tener documentado el proceso de control de calidad. Verificar inscripción en línea.</t>
  </si>
  <si>
    <t>Bioseguridad específica del servicio</t>
  </si>
  <si>
    <t>El protocolo de bioseguridad debe ser específico para el tipo de servicio. Para CE puede ser una página; para laboratorio clínico debe ser detallado incluyendo manejo de residuos biológicos peligrosos.</t>
  </si>
  <si>
    <t>Sedación — información documentada</t>
  </si>
  <si>
    <t>Si realiza procedimientos bajo sedación fuera de salas de cirugía: debe haber información documentada para realizar la sedación, manejo de emergencias, lista de chequeo en HC y recomendaciones de egreso al acompañante.</t>
  </si>
  <si>
    <t xml:space="preserve">  HISTORIA CLÍNICA Y REGISTROS</t>
  </si>
  <si>
    <t>Apertura obligatoria en primera atención</t>
  </si>
  <si>
    <t>Toda primera atención debe generar apertura de historia clínica. Verificar que no se atienden pacientes sin HC. El auditor puede solicitar al azar la HC de pacientes recientes.</t>
  </si>
  <si>
    <t>HC digital: requisitos legales</t>
  </si>
  <si>
    <t>Si usa software de HC digital: debe tener contrato de licencia vigente, backup automático, y el sistema no debe permitir modificar registros guardados. Requiere certificado de ingeniero de sistemas.</t>
  </si>
  <si>
    <t>Consentimiento informado en HC</t>
  </si>
  <si>
    <t>La norma exige que el CI esté incorporado al proceso de HC. Verificar que los formatos firmados estén archivados junto a la HC correspondiente de cada paciente.</t>
  </si>
  <si>
    <t>Legibilidad de HC física</t>
  </si>
  <si>
    <t>Las HC físicas deben ser legibles, sin tachones, sin corrector, con fecha, hora y firma en CADA anotación. En visitas de campo, este es el hallazgo más frecuente en todos los servicios.</t>
  </si>
  <si>
    <t>Custodia y archivo de HC</t>
  </si>
  <si>
    <t>Las HC deben conservarse mínimo 15 años desde la última atención (Res. 1995/99). Verificar condiciones: sin humedad, sin plagas, sin acceso de terceros no autorizados, con mecanismo de registro de préstamos.</t>
  </si>
  <si>
    <t>HC en telemedicina — certificación especial</t>
  </si>
  <si>
    <t>Requiere certificación de ingeniero de sistemas que avale: custodia, compresión sin pérdidas, firma electrónica, encriptación y sistemas de control de acceso. Es un requisito técnico complejo pero obligatorio.</t>
  </si>
  <si>
    <t>HC en extramural domiciliario</t>
  </si>
  <si>
    <t>La HC del servicio domiciliario es custodiada por el prestador (no queda en el domicilio del paciente). Debe incluir: valoración de ingreso, plan de tratamiento, cuidados del personal y cuidados encargados a la familia.</t>
  </si>
  <si>
    <t>🔍  DIFERENCIAS ENTRE SERVICIOS Y PUNTOS CRÍTICOS POR SERVICIO HABILITADO</t>
  </si>
  <si>
    <t>Resolución 3100 de 2019  |  Comparación de exigencias por tipo de servicio  |  Profesional Independiente  |  Audisalud Colombia S.A.S.</t>
  </si>
  <si>
    <t xml:space="preserve">  1.  COMPARATIVA DE EXIGENCIAS POR SERVICIO HABILITADO</t>
  </si>
  <si>
    <t>ASPECTO / CRITERIO</t>
  </si>
  <si>
    <t>CE General</t>
  </si>
  <si>
    <t>CE Especializada</t>
  </si>
  <si>
    <t>Lab Clínico</t>
  </si>
  <si>
    <t>Toma Muestras</t>
  </si>
  <si>
    <t>PROFESIONAL HABILITANTE</t>
  </si>
  <si>
    <t>Médico/Enf/Nut/Psic/u otro</t>
  </si>
  <si>
    <t>Especialista (MEN)</t>
  </si>
  <si>
    <t>Fisio/Fono/TO/TR</t>
  </si>
  <si>
    <t>Bacteriólogo</t>
  </si>
  <si>
    <t>Bacteriólogo o auxiliar</t>
  </si>
  <si>
    <t>COMPLEJIDAD EXIGIDA</t>
  </si>
  <si>
    <t>Baja</t>
  </si>
  <si>
    <t>Mediana</t>
  </si>
  <si>
    <t>Consultorio examen físico ≥10 m²</t>
  </si>
  <si>
    <t>✅</t>
  </si>
  <si>
    <t>❌</t>
  </si>
  <si>
    <t>Barrera física entre áreas</t>
  </si>
  <si>
    <t>⚙️ Cond.</t>
  </si>
  <si>
    <t>Área de procedimientos separada</t>
  </si>
  <si>
    <t>Ambiente técnico de procesamiento</t>
  </si>
  <si>
    <t>Cubículo específico toma de muestras</t>
  </si>
  <si>
    <t>Ducha/lavaojos en área técnica</t>
  </si>
  <si>
    <t>Área hidroterapia o húmeda</t>
  </si>
  <si>
    <t>Cabina sono-amortiguada / audiometría</t>
  </si>
  <si>
    <t>Camilla fija + escalerilla</t>
  </si>
  <si>
    <t>Tensiómetro + fonendoscopio</t>
  </si>
  <si>
    <t>Equipo de órganos de los sentidos</t>
  </si>
  <si>
    <t>Equipos de rehabilitación (TENS, etc.)</t>
  </si>
  <si>
    <t>15</t>
  </si>
  <si>
    <t>Equipos biomédicos de análisis (microscopio, etc.)</t>
  </si>
  <si>
    <t>16</t>
  </si>
  <si>
    <t>Equipos para toma de muestras</t>
  </si>
  <si>
    <t>17</t>
  </si>
  <si>
    <t>Reactivos con registro sanitario INVIMA</t>
  </si>
  <si>
    <t>18</t>
  </si>
  <si>
    <t>Control de calidad interno + PEEC externo</t>
  </si>
  <si>
    <t>19</t>
  </si>
  <si>
    <t>Registro de validación secundaria</t>
  </si>
  <si>
    <t>20</t>
  </si>
  <si>
    <t>Pruebas POCT documentadas</t>
  </si>
  <si>
    <t>21</t>
  </si>
  <si>
    <t>Contrato con laboratorio de referencia</t>
  </si>
  <si>
    <t>22</t>
  </si>
  <si>
    <t>Contrato con servicio de patología</t>
  </si>
  <si>
    <t>23</t>
  </si>
  <si>
    <t>Unidad sanitaria en consultorio (ginecoobst/urol)</t>
  </si>
  <si>
    <t>24</t>
  </si>
  <si>
    <t>Interdependencia con Lab Clínico</t>
  </si>
  <si>
    <t>25</t>
  </si>
  <si>
    <t>Consentimiento informado obligatorio</t>
  </si>
  <si>
    <t>26</t>
  </si>
  <si>
    <t>Historia clínica individual por paciente</t>
  </si>
  <si>
    <t>27</t>
  </si>
  <si>
    <t>Resultados firmados por profesional responsable</t>
  </si>
  <si>
    <t>28</t>
  </si>
  <si>
    <t>Disponibilidad modalidad telemedicina</t>
  </si>
  <si>
    <t>29</t>
  </si>
  <si>
    <t>Oxígeno medicinal disponible (ERA)</t>
  </si>
  <si>
    <t>30</t>
  </si>
  <si>
    <t>Inscripción RELAB (pruebas ISP)</t>
  </si>
  <si>
    <t xml:space="preserve">  LEYENDA:</t>
  </si>
  <si>
    <t>✅  Aplica siempre</t>
  </si>
  <si>
    <t>❌  No aplica / No exigido</t>
  </si>
  <si>
    <t>⚙️ Cond.  Condicional</t>
  </si>
  <si>
    <t xml:space="preserve">  2.  PUNTOS CRÍTICOS POR SERVICIO — LO QUE NO PUEDE FALTAR EN NINGUNA VISITA</t>
  </si>
  <si>
    <t xml:space="preserve">  ⚠️  CE GENERAL — Baja Complejidad</t>
  </si>
  <si>
    <t>NIVEL</t>
  </si>
  <si>
    <t>PUNTO CRÍTICO</t>
  </si>
  <si>
    <t>⚠️ CRÍTICO</t>
  </si>
  <si>
    <t>Tarjeta profesional VIGENTE del profesional — verificar en ReTHUS en tiempo real</t>
  </si>
  <si>
    <t>Concepto sanitario vigente — emitido por la Secretaría de Salud</t>
  </si>
  <si>
    <t>Certificado RETIE vigente — emitido por ingeniero eléctrico matriculado</t>
  </si>
  <si>
    <t>Protocolo de higiene de manos documentado, visible y con insumos disponibles</t>
  </si>
  <si>
    <t>Consentimiento informado firmado, funcional y archivado en HC</t>
  </si>
  <si>
    <t>Historia clínica con componentes mínimos de la Resolución 1995/99</t>
  </si>
  <si>
    <t>Documento para atención de víctimas de violencias sexuales (criterio específico del independiente)</t>
  </si>
  <si>
    <t>Programa de seguridad del paciente — puede ser el mismo prestador en el caso del independiente</t>
  </si>
  <si>
    <t>Importante</t>
  </si>
  <si>
    <t>Consultorio con examen físico: mínimo 10 m² con áreas separadas por barrera física</t>
  </si>
  <si>
    <t>Tensiómetro y fonendoscopio disponibles y con mantenimiento / calibración</t>
  </si>
  <si>
    <t>Sala de espera disponible con unidades sanitarias accesibles</t>
  </si>
  <si>
    <t>Condicional</t>
  </si>
  <si>
    <t>Para ERA: sala señalizada + protocolo de tiempos y condiciones de manejo documentado</t>
  </si>
  <si>
    <t xml:space="preserve">  ⚠️  CE ESPECIALIZADA — Mediana Complejidad</t>
  </si>
  <si>
    <t>TODOS los criterios de CE General aplican como base — no son opcionales</t>
  </si>
  <si>
    <t>Dotación específica para los procedimientos de la especialidad documentada en Procesos Prioritarios</t>
  </si>
  <si>
    <t>GPC adoptadas / adaptadas / desarrolladas para las patologías más frecuentes de la especialidad</t>
  </si>
  <si>
    <t>Información al paciente sobre preparación, complicaciones y controles post-procedimiento</t>
  </si>
  <si>
    <t>Ginecoobstetricia y urología: unidad sanitaria DENTRO del consultorio</t>
  </si>
  <si>
    <t>Para med. alternativa: criterios explícitos sobre qué procedimientos se pueden y no se pueden realizar</t>
  </si>
  <si>
    <t xml:space="preserve">  ⚠️  TERAPIAS — Física, Ocupacional, Lenguaje, Respiratoria</t>
  </si>
  <si>
    <t>Tarjeta profesional vigente y ReTHUS actualizado</t>
  </si>
  <si>
    <t>Dotación para los procedimientos documentada en PP — es la forma de acreditar suficiencia</t>
  </si>
  <si>
    <t>Procedimientos documentados con áreas, equipos, DM e insumos requeridos para cada tipo de terapia</t>
  </si>
  <si>
    <t>Área con barrera física fija o móvil cuando la terapia requiere privacidad para el paciente</t>
  </si>
  <si>
    <t>Si oferta integración neurosensorial: constancia de formación continua OBLIGATORIA</t>
  </si>
  <si>
    <t>Fonoaudiología: área de sillas y mesas de trabajo individual y grupal según oferta</t>
  </si>
  <si>
    <t>Si oferta audiometría: cabina sono-amortiguada o equipo de audiometría disponible</t>
  </si>
  <si>
    <t>Si oferta hidroterapia: pisos antideslizantes y tomas eléctricas con protección para ambientes húmedos</t>
  </si>
  <si>
    <t xml:space="preserve">  ⚠️  LABORATORIO CLÍNICO — Baja Complejidad (Sec. 11.3.12)</t>
  </si>
  <si>
    <t>Profesional de bacteriología con tarjeta profesional vigente — exigencia ABSOLUTA</t>
  </si>
  <si>
    <t>Ambiente técnico de procesamiento completo: mesón, lavaojos/ducha manual, área neveras, lavamanos</t>
  </si>
  <si>
    <t>Área de recepción de muestras e información separada del área técnica</t>
  </si>
  <si>
    <t>Reactivos con registro sanitario INVIMA vigente — verificar fechas de vencimiento</t>
  </si>
  <si>
    <t>Programa de control de calidad interno Y participación en PEEC (evaluación externa de calidad)</t>
  </si>
  <si>
    <t>Registro de pacientes y resultados firmados por el bacteriólogo responsable</t>
  </si>
  <si>
    <t>Nevera o refrigeración con termómetro calibrado para conservación de muestras y reactivos</t>
  </si>
  <si>
    <t>Validación secundaria o verificación documentada</t>
  </si>
  <si>
    <t>Unión pared-piso en media caña en el área de procesamiento</t>
  </si>
  <si>
    <t>Si recibe biopsias o material citológico: contrato con servicio de patología</t>
  </si>
  <si>
    <t>Si procesa bacterias anaerobias o técnicas de biología molecular: cabina de bioseguridad</t>
  </si>
  <si>
    <t>Si realiza pruebas de interés en salud pública: inscripción en RELAB obligatoria</t>
  </si>
  <si>
    <t xml:space="preserve">  ⚠️  TOMA DE MUESTRAS DE LABORATORIO CLÍNICO (Sec. 11.3.11)</t>
  </si>
  <si>
    <t>Profesional de bacteriología, auxiliar de laboratorio o auxiliar de enfermería habilitado</t>
  </si>
  <si>
    <t>Bacteriólogo disponible para supervisión cuando la toma la realiza el auxiliar — esto es obligatorio</t>
  </si>
  <si>
    <t>Cubículo específico para toma de muestras</t>
  </si>
  <si>
    <t>Área de preparación, embalaje y remisión con mesón de trabajo</t>
  </si>
  <si>
    <t>Lavamanos disponible en el área de toma de muestras</t>
  </si>
  <si>
    <t>Protocolo documentado de toma, identificación, transporte, conservación y remisión de muestras</t>
  </si>
  <si>
    <t>Registro de pacientes, muestras tomadas, exámenes solicitados y muestras remitidas</t>
  </si>
  <si>
    <t>Interdependencia documentada con servicio de laboratorio clínico (propio o contratado)</t>
  </si>
  <si>
    <t>Contrato con laboratorio de referencia para el procesamiento de muestras</t>
  </si>
  <si>
    <t>Contrato con servicio de patología cuando se recepcionen biopsias o material citológico</t>
  </si>
  <si>
    <t>Procedimiento y condiciones para toma de muestras en modalidad extramural cuando se realicen</t>
  </si>
  <si>
    <t>DASHBOARD DE AUDITORIA — HABILITACION EN SALUD — PROFESIONAL INDEPENDIENTE</t>
  </si>
  <si>
    <t>Resolucion 3100 de 2019  |  Sistema Unico de Habilitacion  |  Audisalud Colombia S.A.S.</t>
  </si>
  <si>
    <t>PRESTADOR:</t>
  </si>
  <si>
    <t>FECHA:</t>
  </si>
  <si>
    <t>AUDITOR:</t>
  </si>
  <si>
    <t>HORA INICIO:</t>
  </si>
  <si>
    <t>TIPO AUDITORIA:</t>
  </si>
  <si>
    <t>LEYENDA: C = Cumple | NC = No Cumple | NA = No Aplica  —  Marque X en cada criterio en la hoja correspondiente</t>
  </si>
  <si>
    <t xml:space="preserve">  CUMPLIMIENTO POR INSTRUMENTO DE AUDITORIA</t>
  </si>
  <si>
    <t>INSTRUMENTO</t>
  </si>
  <si>
    <t>TOTAL</t>
  </si>
  <si>
    <t>CUMPLE (C)</t>
  </si>
  <si>
    <t>NO CUMPLE (NC)</t>
  </si>
  <si>
    <t>NO APLICA (NA)</t>
  </si>
  <si>
    <t>% CUMPL.</t>
  </si>
  <si>
    <t>SEMAFORO</t>
  </si>
  <si>
    <t>ESTADO NC</t>
  </si>
  <si>
    <t>Auditoria Documental</t>
  </si>
  <si>
    <t>Auditoria Infraestructura</t>
  </si>
  <si>
    <t>Laboratorio Clinico</t>
  </si>
  <si>
    <t>TOTAL GENERAL</t>
  </si>
  <si>
    <t xml:space="preserve">  ALERTAS CRITICAS — CRITERIOS CON CAUSAL DE CIERRE O SANCION</t>
  </si>
  <si>
    <t>CRITERIO CRITICO</t>
  </si>
  <si>
    <t>INSTRUMENTO / HOJA</t>
  </si>
  <si>
    <t>ESTADO</t>
  </si>
  <si>
    <t>Tarjeta profesional VIGENTE del prestador</t>
  </si>
  <si>
    <t>CE / Terapias / Lab Clinico / Toma Muestras</t>
  </si>
  <si>
    <t>Pendiente</t>
  </si>
  <si>
    <t>Habilitacion vigente en REPS</t>
  </si>
  <si>
    <t>Ficha Prestador / Auditoria Infraestructura</t>
  </si>
  <si>
    <t>Certificado RETIE vigente</t>
  </si>
  <si>
    <t>Ficha Prestador / Auditoria Documental</t>
  </si>
  <si>
    <t>Programa de seguridad del paciente documentado</t>
  </si>
  <si>
    <t>Criterios Generales / CE / Terapias / Lab</t>
  </si>
  <si>
    <t>Consentimiento informado funcional y verificable</t>
  </si>
  <si>
    <t>Criterios Generales / CE / Terapias</t>
  </si>
  <si>
    <t>Protocolo de higiene de manos con insumos</t>
  </si>
  <si>
    <t>Historia clinica con componentes minimos (Res. 1995/99)</t>
  </si>
  <si>
    <t>CE / Terapias</t>
  </si>
  <si>
    <t>Plan de gestion integral de residuos (PGIRHS)</t>
  </si>
  <si>
    <t>Auditoria Documental / Infraestructura</t>
  </si>
  <si>
    <t>Reactivos con registro sanitario INVIMA vigente</t>
  </si>
  <si>
    <t>Doc. atencion victimas de violencias sexuales</t>
  </si>
  <si>
    <t>Criterios Generales / Consulta Externa</t>
  </si>
  <si>
    <t>Protocolo de bioseguridad especifico del servicio</t>
  </si>
  <si>
    <t xml:space="preserve">  LEYENDA DE SEMAFOROS</t>
  </si>
  <si>
    <t>CUMPLE</t>
  </si>
  <si>
    <t>90% o mas de criterios cumplen</t>
  </si>
  <si>
    <t>EN PROCESO</t>
  </si>
  <si>
    <t>Entre 70% y 89% cumplen</t>
  </si>
  <si>
    <t>NO CUMPLE</t>
  </si>
  <si>
    <t>Menos del 70% cumplen</t>
  </si>
  <si>
    <t>SIN EVALUAR</t>
  </si>
  <si>
    <t>Sin datos marcados aun</t>
  </si>
  <si>
    <t>CRITERIOS GENERALES APLICABLES AL PROFESIONAL INDEPENDIENTE DE SALUD</t>
  </si>
  <si>
    <t>Resolución 3100 de 2019  |  Secciones 11.1.1 a 11.1.7  |  Filtrado: Excluye servicios hospitalarios, urgencias, cirugía mayor, UCI, parto y transfusional</t>
  </si>
  <si>
    <t>LEYENDA:  ⚠️ = Crítico  |  ★ = Criterio explícito para Profesional Independiente en la norma  |  C = Condicional (cuando aplique según servicios ofertados)  |  G = General (aplica a todos)  |  Fila GRIS = No aplica a independiente (excluido del instrumento)</t>
  </si>
  <si>
    <t>⚠️  Los criterios marcados son CRÍTICOS. Su incumplimiento puede generar requerimiento o cierre del servicio.  Los criterios en fondo amarillo son de marcación crítica directa en la Resolución 3100/2019.</t>
  </si>
  <si>
    <t>N°</t>
  </si>
  <si>
    <t>N° REF</t>
  </si>
  <si>
    <t>ESTÁNDAR</t>
  </si>
  <si>
    <t>CRITERIO — SOLO APLICABLE A PROFESIONAL INDEPENDIENTE</t>
  </si>
  <si>
    <t>MODO VERIFICACIÓN</t>
  </si>
  <si>
    <t>⚠️</t>
  </si>
  <si>
    <t>C</t>
  </si>
  <si>
    <t>NC</t>
  </si>
  <si>
    <t>NA</t>
  </si>
  <si>
    <t>HALLAZGO / EVIDENCIA</t>
  </si>
  <si>
    <t>PLAN DE MEJORA</t>
  </si>
  <si>
    <t>RESPONSABLE</t>
  </si>
  <si>
    <t>FECHA COMPROMISO</t>
  </si>
  <si>
    <t>ESTÁNDAR DE TALENTO HUMANO  —  Sección 11.1.1  |  Todas las modalidades</t>
  </si>
  <si>
    <t>TALENTO HUMANO</t>
  </si>
  <si>
    <t>El talento humano en salud y otros profesionales que se relacionan con la atención cuentan con los títulos de educación superior o certificados de aptitud ocupacional expedidos por la entidad educativa competente. En el caso de títulos obtenidos en el extranjero: copia de la resolución de convalidación expedida por el MEN</t>
  </si>
  <si>
    <t>Inspección Documental</t>
  </si>
  <si>
    <t>El talento humano en salud cuenta con copia de la resolución de autorización del ejercicio expedida por la autoridad competente o inscripción en el Registro Único Nacional de Talento Humano en Salud — ReTHUS</t>
  </si>
  <si>
    <t>⊘ EXCLUIDO [3 ⚠️ EXCLUIDO] — CRITERIO NO APLICA PARA PROFESIONAL INDEPENDIENTE: Criterio 3 sobre determinación de cantidad de talento humano requerido — la norma establece explícitamente que no aplica para el profesional independiente</t>
  </si>
  <si>
    <t>Cuando el prestador actúe como escenario de práctica formativa cuenta con: convenio vigente con institución educativa autorizada, información documentada de mecanismos de supervisión permanente del personal en entrenamiento y estudio de capacidad instalada que determine el número máximo de estudiantes según los lineamientos del MinSalud</t>
  </si>
  <si>
    <t>En los servicios donde se atienden pacientes con enfermedades terminales, crónicas, degenerativas e irreversibles con conducta médica de manejo del dolor y cuidado paliativo: el profesional de la medicina tratante cuenta con constancia de formación continua en manejo del dolor y cuidado paliativo, cuando no sea especialista en la materia</t>
  </si>
  <si>
    <t>El talento humano en salud de los servicios de CE, internación y urgencias cuenta con constancia de formación continua en atención integral en salud de personas víctimas de violencia sexual</t>
  </si>
  <si>
    <t>Cuando en un servicio se realicen pruebas en el punto de atención del paciente (POCT): el talento humano que las realice, con excepción del profesional de bacteriología, cuenta con constancia de formación continua en el manejo de estas pruebas</t>
  </si>
  <si>
    <t>13 – Sedación</t>
  </si>
  <si>
    <t>Cuando se realicen procedimientos bajo sedación Grado I y II fuera de salas de cirugía: adicional al profesional que realiza el procedimiento, cuenta con: profesional de medicina especialista en anestesiología o profesional de medicina/odontología encargado de administrar el medicamento y monitoreo continuo; todos con constancia de formación en soporte vital básico y sedación (excepto anestesiólogo)</t>
  </si>
  <si>
    <t>13 – Sedación III</t>
  </si>
  <si>
    <t>Cuando fuera de salas de cirugía se realicen procedimientos bajo sedación Grado III: profesional de medicina con especialidad médico-quirúrgica responsable de administrar la sedación</t>
  </si>
  <si>
    <t>13 – Sedación IV</t>
  </si>
  <si>
    <t>Cuando fuera de salas de cirugía se realicen procedimientos bajo sedación Grado IV: profesional de medicina especialista en anestesiología responsable de administrar la sedación</t>
  </si>
  <si>
    <t xml:space="preserve">  ▸  Modalidad Telemedicina — Prestador Remisor y Prestador de Referencia</t>
  </si>
  <si>
    <t>TALENTO HUMANO – Telemedicina</t>
  </si>
  <si>
    <t>El talento humano que presta directamente servicios bajo la modalidad de telemedicina cuenta con constancia de formación continua en el manejo de la tecnología utilizada, los procesos y herramientas inherentes a la prestación bajo esta modalidad</t>
  </si>
  <si>
    <t>ESTÁNDAR DE INFRAESTRUCTURA  —  Sección 11.1.2</t>
  </si>
  <si>
    <t xml:space="preserve">  ▸  Edificaciones de Uso Mixto — Aplica para profesional independiente en consultorio compartido</t>
  </si>
  <si>
    <t>INFRAESTRUCTURA – Uso Mixto</t>
  </si>
  <si>
    <t>Cuando en una edificación de uso mixto funcionen varios prestadores de servicios de salud, cada uno cuenta con infraestructura separada y delimitada físicamente. Se pueden compartir salas de espera y unidades sanitarias</t>
  </si>
  <si>
    <t>Inspección Visual</t>
  </si>
  <si>
    <t>En edificaciones de uso mixto pueden funcionar prestadores que oferten servicios de los grupos de consulta externa, apoyo diagnóstico y complementación terapéutica y cirugía ambulatoria</t>
  </si>
  <si>
    <t>INFRAESTRUCTURA – Uso Exclusivo Salud</t>
  </si>
  <si>
    <t>Cuando en una edificación de uso exclusivo de salud funcionen varios prestadores con CE y apoyo diagnóstico, cada prestador cuenta con infraestructura separada y delimitada físicamente. Pueden compartir: aseo, salas de espera y unidades sanitarias</t>
  </si>
  <si>
    <t xml:space="preserve">  ▸  Accesibilidad — Aplica para todos</t>
  </si>
  <si>
    <t>INFRAESTRUCTURA – Accesibilidad</t>
  </si>
  <si>
    <t>Prestadores ubicados en edificaciones hasta 3 pisos que funcionen en 2° o 3° nivel cuentan con ascensor, rampa o sistema alternativo de elevación (el sistema alternativo no aplica para servicios hospitalarios, cirugía, urgencias, parto — estos no aplican a profesional independiente)</t>
  </si>
  <si>
    <t>9.1 a 9.4</t>
  </si>
  <si>
    <t>Sistemas alternativos de elevación: su ubicación no interfiere con la evacuación, disponibles para acceso y evacuación, manejo autónomo y garantizan seguridad durante su uso</t>
  </si>
  <si>
    <t>Las edificaciones con más de 3 pisos cuentan con ascensor</t>
  </si>
  <si>
    <t>Si se tienen escaleras o rampas: piso uniforme, antideslizante, pasamanos a uno o ambos lados y protecciones laterales hacia espacios libres</t>
  </si>
  <si>
    <t xml:space="preserve">  ▸  Servicios Básicos y Concepto Sanitario</t>
  </si>
  <si>
    <t>INFRAESTRUCTURA – Servicios Básicos</t>
  </si>
  <si>
    <t>Las edificaciones donde se presten servicios de salud cuentan con suministro de agua, energía eléctrica, conexión a la red de alcantarillado y sistemas de comunicaciones</t>
  </si>
  <si>
    <t>Cuando se utilicen equipos generadores de radiaciones ionizantes: licencia de práctica médica vigente expedida por la entidad competente</t>
  </si>
  <si>
    <t>⊘  NO APLICA PARA PROFESIONAL INDEPENDIENTE — [16] Fuentes radioactivas: aplica exclusivamente a medicina nuclear e imágenes diagnósticas con isótopos. No es aplicable al perfil de profesional independiente en CE y apoyo diagnóstico.</t>
  </si>
  <si>
    <t>Concepto sanitario vigente que dé cumplimiento a la normatividad sanitaria: agua para consumo humano, gestión de residuos, control de vectores, orden y aseo, condiciones locativas, entre otros</t>
  </si>
  <si>
    <t xml:space="preserve">  ▸  Generalidades de Ambientes y Áreas — Aplica para profesional independiente</t>
  </si>
  <si>
    <t>INFRAESTRUCTURA – Generalidades</t>
  </si>
  <si>
    <t>Las áreas y ambientes de todos los servicios cuentan con ventilación e iluminación natural o artificial</t>
  </si>
  <si>
    <t>Las áreas de circulación están libres de obstáculos que permitan la movilización de pacientes, talento humano, usuarios y equipos biomédicos</t>
  </si>
  <si>
    <t>Los ambientes y áreas permiten la instalación y movilización de equipos biomédicos y personal para la atención del paciente en condiciones de rutina o emergencia</t>
  </si>
  <si>
    <t>Cada piso o nivel cuenta con señalización y planos indicativos de rutas de evacuación, salidas de emergencia y puntos de encuentro, visibles al público</t>
  </si>
  <si>
    <t>Cuando se realicen procedimientos bajo sedación fuera de salas de cirugía: disponibilidad de área o ambiente para recuperación del paciente garantizando privacidad del usuario</t>
  </si>
  <si>
    <t xml:space="preserve">  ▸  Características de Ambientes y Áreas — Los más relevantes para profesional independiente</t>
  </si>
  <si>
    <t>28.1</t>
  </si>
  <si>
    <t>INFRAESTRUCTURA – Consultorios</t>
  </si>
  <si>
    <t>Consultorio donde se realiza examen físico: mínimo 10 m² (sin incluir la unidad sanitaria) con área de entrevista, área de examen, lavamanos; áreas separadas por barrera física fija o móvil (excepto urgencias, optometría y oftalmología)</t>
  </si>
  <si>
    <t>28.2</t>
  </si>
  <si>
    <t>Consultorio donde se realizan procedimientos: mínimo 10 m², área de entrevista, área de procedimientos separadas por barrera física fija, mesón de trabajo, poceta (cuando la requiera según PP), lavamanos</t>
  </si>
  <si>
    <t>28.3</t>
  </si>
  <si>
    <t>Consultorio odontológico con una unidad odontológica: mínimo 10 m², área para entrevista (si la requiere), área para unidad, lavamanos, área con mesón de trabajo con poceta</t>
  </si>
  <si>
    <t>Consultorio donde se realiza únicamente entrevista, sin examen físico ni procedimientos: mínimo 4 m², área para entrevista y lavamanos (no se exige adicional si cuenta con unidad sanitaria)</t>
  </si>
  <si>
    <t>31</t>
  </si>
  <si>
    <t>30.1</t>
  </si>
  <si>
    <t>INFRAESTRUCTURA – Salas</t>
  </si>
  <si>
    <t>Sala de procedimientos / curaciones: mínimo 8 m², mesón de trabajo, poceta (cuando la requiera según PP) y lavamanos</t>
  </si>
  <si>
    <t>32</t>
  </si>
  <si>
    <t>Sistema de alarma cuando se cuente con red de distribución de gases medicinales</t>
  </si>
  <si>
    <t>33</t>
  </si>
  <si>
    <t>37</t>
  </si>
  <si>
    <t>INFRAESTRUCTURA – Unidades Sanitarias</t>
  </si>
  <si>
    <t>Unidad sanitaria: sanitario y lavamanos</t>
  </si>
  <si>
    <t>34</t>
  </si>
  <si>
    <t>38</t>
  </si>
  <si>
    <t>Unidad sanitaria adaptada para personas con movilidad reducida: sanitario, lavamanos, dimensiones para silla de ruedas, puertas corredizas o con apertura hacia el exterior, accesorios de accesibilidad, alarma o sistema de llamado</t>
  </si>
  <si>
    <t>35</t>
  </si>
  <si>
    <t>40</t>
  </si>
  <si>
    <t>INFRAESTRUCTURA – Sala de Espera</t>
  </si>
  <si>
    <t>Sala de espera: área variable, independiente de áreas de circulación, con ventilación e iluminación natural/artificial; disponibilidad de unidades sanitarias discriminadas por sexo o baterías sanitarias</t>
  </si>
  <si>
    <t xml:space="preserve">  ▸  Condiciones de Orden, Aseo, Limpieza y Desinfección</t>
  </si>
  <si>
    <t>36</t>
  </si>
  <si>
    <t>41</t>
  </si>
  <si>
    <t>INFRAESTRUCTURA – Aseo y Limpieza</t>
  </si>
  <si>
    <t>Las condiciones de orden, aseo, limpieza y desinfección son evidentes y responden a un proceso dinámico de acuerdo con los servicios prestados</t>
  </si>
  <si>
    <t>42</t>
  </si>
  <si>
    <t>Pisos: resistentes a factores ambientales, continuos, antideslizantes, impermeables, lavables, sólidos, resistentes a procesos de lavado y desinfección. Dilataciones y juntas selladas</t>
  </si>
  <si>
    <t>43</t>
  </si>
  <si>
    <t>Cielo rasos o techos y paredes o muros: impermeables, lavables, sólidos, resistentes a factores ambientales e incombustibles y de superficie lisa y continua</t>
  </si>
  <si>
    <t>39</t>
  </si>
  <si>
    <t>44</t>
  </si>
  <si>
    <t>En salas de procedimientos, consultorios donde se realicen procedimientos, laboratorios, consulta odontológica y ambientes con procesos de limpieza y asepsia profundos: unión pared-piso en media caña (evita aristas o esquinas)</t>
  </si>
  <si>
    <t xml:space="preserve">  ▸  Modalidad Extramural — Aplica cuando el profesional presta servicios en esta modalidad</t>
  </si>
  <si>
    <t>46</t>
  </si>
  <si>
    <t>INFRAESTRUCTURA – Extramural General</t>
  </si>
  <si>
    <t>Cuando se presten servicios exclusivamente en modalidad extramural, la sede cuenta con: almacenamiento de medicamentos/DM/insumos (cuando se requiera), almacenamiento de equipos biomédicos y archivo de historias clínicas y registros</t>
  </si>
  <si>
    <t>47</t>
  </si>
  <si>
    <t>Disponibilidad de área para labores de aseo, limpieza y desinfección para las unidades móviles</t>
  </si>
  <si>
    <t>48</t>
  </si>
  <si>
    <t>INFRAESTRUCTURA – Domiciliaria</t>
  </si>
  <si>
    <t>Modalidad domiciliaria — El domicilio del paciente cumple: servicios públicos domiciliarios (acueducto, alcantarillado, energía eléctrica, sistema de comunicación) y unidad sanitaria o baño</t>
  </si>
  <si>
    <t>49-50</t>
  </si>
  <si>
    <t>INFRAESTRUCTURA – Unidad Móvil</t>
  </si>
  <si>
    <t>Modalidad unidad móvil: condiciones de orden, aseo, limpieza dinámicas; suministro de agua potable; tanque de aguas residuales; identificación visual; energía eléctrica o alternativa; señalización de seguridad y acceso; estructuras firmes para ingreso/salida; señalización de áreas restringidas</t>
  </si>
  <si>
    <t xml:space="preserve">  ▸  Modalidad Telemedicina</t>
  </si>
  <si>
    <t>51</t>
  </si>
  <si>
    <t>INFRAESTRUCTURA – Telemedicina Remisor</t>
  </si>
  <si>
    <t>Prestador remisor: conectividad con integridad y continuidad (sincrónico o asincrónico); plataformas tecnológicas con seguridad y privacidad de la información; suministro de energía eléctrica o baterías; nivel de iluminación homogénea con luz fluorescente blanca fría</t>
  </si>
  <si>
    <t>45</t>
  </si>
  <si>
    <t>52</t>
  </si>
  <si>
    <t>INFRAESTRUCTURA – Telemedicina Referencia</t>
  </si>
  <si>
    <t>Prestador de referencia: conectividad con integridad y continuidad; plataformas tecnológicas con seguridad y privacidad; suministro de energía eléctrica o baterías; nivel de iluminación homogénea</t>
  </si>
  <si>
    <t>53</t>
  </si>
  <si>
    <t>INFRAESTRUCTURA – Telemedicina Ref. Exclusivo</t>
  </si>
  <si>
    <t>Prestador de referencia exclusivo: ambiente exclusivo para atención a distancia (privacidad, confidencialidad, libre de interferencias); conectividad; plataformas tecnológicas; suministro de energía</t>
  </si>
  <si>
    <t>ESTÁNDAR DE DOTACIÓN  —  Sección 11.1.3  |  Todas las modalidades</t>
  </si>
  <si>
    <t>DOTACIÓN</t>
  </si>
  <si>
    <t>Registro de la relación de equipos biomédicos con: nombre, marca, modelo, serie, registro sanitario/permiso de comercialización cuando lo requiera, clasificación por riesgo cuando aplique</t>
  </si>
  <si>
    <t>2.1</t>
  </si>
  <si>
    <t>Programa de mantenimiento preventivo de equipos biomédicos, que incluya cumplimiento de recomendaciones del fabricante o protocolo definido por el prestador cuando el fabricante no lo haya definido</t>
  </si>
  <si>
    <t>49</t>
  </si>
  <si>
    <t>2.2</t>
  </si>
  <si>
    <t>Hoja(s) de vida del(los) equipo(s) biomédico(s) con registros de mantenimientos preventivos y correctivos según corresponda</t>
  </si>
  <si>
    <t>50</t>
  </si>
  <si>
    <t>Programa de capacitación en el uso de dispositivos médicos cuando éstos lo requieran (puede ser desarrollado por el fabricante, importador o el mismo prestador)</t>
  </si>
  <si>
    <t>La dotación de los servicios de salud está en concordancia con lo definido por el prestador en el estándar de procesos prioritarios</t>
  </si>
  <si>
    <t>La suficiencia de equipos biomédicos está relacionada con la frecuencia de uso, incluyendo los tiempos del proceso de esterilización cuando aplique</t>
  </si>
  <si>
    <t>El mantenimiento de equipos biomédicos es ejecutado por talento humano profesional, tecnólogo o técnico en áreas relacionadas (directamente o mediante contrato con un tercero)</t>
  </si>
  <si>
    <t>54</t>
  </si>
  <si>
    <t>Los prestadores que oferten servicios en la modalidad extramural no pueden elaborar ni adaptar dispositivos médicos sobre medida</t>
  </si>
  <si>
    <t>55</t>
  </si>
  <si>
    <t>El prestador que realice el proceso de esterilización cuenta con los equipos biomédicos y dotación de acuerdo con el método utilizado</t>
  </si>
  <si>
    <t>56</t>
  </si>
  <si>
    <t>Los servicios donde se realicen procedimientos bajo sedación fuera de salas de cirugía y monitorización electroencefalográfica con video y radio, cuentan con carro de paro</t>
  </si>
  <si>
    <t xml:space="preserve">  ▸  Modalidad Extramural</t>
  </si>
  <si>
    <t>57</t>
  </si>
  <si>
    <t>16.1</t>
  </si>
  <si>
    <t>DOTACIÓN – Extramural</t>
  </si>
  <si>
    <t>Sistemas de telecomunicaciones de doble vía</t>
  </si>
  <si>
    <t>58</t>
  </si>
  <si>
    <t>16.2</t>
  </si>
  <si>
    <t>Cuando se realicen pruebas para la detección de eventos de interés en salud pública: microscopio, cinta métrica y báscula</t>
  </si>
  <si>
    <t>59</t>
  </si>
  <si>
    <t>17.1.1</t>
  </si>
  <si>
    <t>DOTACIÓN – Telemedicina Remisor</t>
  </si>
  <si>
    <t>Documento firmado por ingeniero biomédico con tarjeta profesional vigente que certifique: dispositivos periféricos según oferta, equipos de captura que garanticen calidad equivalente al original, parámetros de digitalización y compresión que garanticen resolución para diagnóstico</t>
  </si>
  <si>
    <t>60</t>
  </si>
  <si>
    <t>17.1.2</t>
  </si>
  <si>
    <t>Documento firmado por ingeniero de sistemas con tarjeta profesional vigente que certifique: dispositivos de videoconferencia con óptima fidelidad de video y sonido; software que se adapta al cambio de ancho de banda; pantallas/monitores grado médico con dot pitch máximo de 0.25 mm</t>
  </si>
  <si>
    <t>61</t>
  </si>
  <si>
    <t>17.2</t>
  </si>
  <si>
    <t>DOTACIÓN – Telemedicina Referencia</t>
  </si>
  <si>
    <t>Documento firmado por ingeniero de sistemas con tarjeta profesional vigente que certifique: dispositivos de videoconferencia con óptima fidelidad; software adaptable; pantallas/monitores grado médico con dot pitch máximo de 0.19 mm, resolución mínima 1024x768, contraste mínimo 500:1, luminancia mínima 250 cd/m²</t>
  </si>
  <si>
    <t>ESTÁNDAR DE MEDICAMENTOS, DM E INSUMOS  —  Sección 11.1.4  |  Todas las modalidades</t>
  </si>
  <si>
    <t>62</t>
  </si>
  <si>
    <t>MEDICAMENTOS, DM E INSUMOS</t>
  </si>
  <si>
    <t>Registros de todos los medicamentos para uso humano requeridos, con: principio activo, forma farmacéutica, concentración, lote, fecha de vencimiento, presentación comercial, unidad de medida, registro sanitario vigente o permiso de comercialización (INVIMA)</t>
  </si>
  <si>
    <t>63</t>
  </si>
  <si>
    <t>Información documentada de dispositivos médicos: descripción, marca, serie (cuando aplique), presentación comercial, registro sanitario o permiso de comercialización (INVIMA), clasificación por riesgo, vida útil (cuando aplique), lote, fecha de vencimiento</t>
  </si>
  <si>
    <t>64</t>
  </si>
  <si>
    <t>Información documentada de reactivos de diagnóstico in vitro: nombre, marca, presentación comercial, registro sanitario o permiso de comercialización (INVIMA), clasificación de riesgo sanitario, vida útil (cuando aplique), fecha de vencimiento y lote</t>
  </si>
  <si>
    <t>65</t>
  </si>
  <si>
    <t>Información documentada de los procesos generales para: selección, adquisición, transporte, recepción, almacenamiento, conservación, control de fechas de vencimiento, control de cadena de frío y manejo de contingencias, distribución, dispensación, devolución, disposición final y seguimiento al uso</t>
  </si>
  <si>
    <t>66</t>
  </si>
  <si>
    <t>Cuando se realicen actividades con medicamentos de control especial: resolución de autorización vigente expedida por el Fondo Nacional de Estupefacientes o entidad que haga sus veces</t>
  </si>
  <si>
    <t>67</t>
  </si>
  <si>
    <t>Información documentada de planeación y ejecución de los programas de farmacovigilancia, tecnovigilancia y reactivovigilancia, según aplique</t>
  </si>
  <si>
    <t>68</t>
  </si>
  <si>
    <t>Las reservas de medicamentos, DM, reactivos e insumos se almacenan en condiciones apropiadas de temperatura, humedad, ventilación, segregación y seguridad. Cuenta con instrumento para medir humedad relativa y temperatura y evidencia su registro, control y gestión</t>
  </si>
  <si>
    <t>Inspección Visual y Documental</t>
  </si>
  <si>
    <t>69</t>
  </si>
  <si>
    <t>Para el protocolo de lavado de manos o higienización: los servicios cuentan con los insumos de aseo, limpieza y secado que garanticen su cumplimiento</t>
  </si>
  <si>
    <t>70</t>
  </si>
  <si>
    <t>La suficiencia de dispositivos médicos está relacionada con la frecuencia de uso, incluyendo los tiempos del proceso de esterilización cuando aplique</t>
  </si>
  <si>
    <t>71</t>
  </si>
  <si>
    <t>Paquete para el manejo de derrames y rupturas de medicamentos, ubicado en lugar de fácil acceso, visible y con señalización, disponible en los servicios donde se requiera. El prestador define su contenido según medicamentos utilizados y fichas técnicas del fabricante</t>
  </si>
  <si>
    <t xml:space="preserve">  ▸  Modalidad Extramural — Unidad Móvil, Jornada de Salud y Domiciliaria</t>
  </si>
  <si>
    <t>72</t>
  </si>
  <si>
    <t>MEDICAMENTOS, DM E INSUMOS – Extramural</t>
  </si>
  <si>
    <t>Dispositivos médicos e insumos asistenciales según la patología del paciente o eventos de interés en salud pública cuando se requiera</t>
  </si>
  <si>
    <t>73</t>
  </si>
  <si>
    <t>Medicamentos de acuerdo con inventario establecido por el prestador acorde a lo documentado en sus procesos prioritarios, cuando se requiera</t>
  </si>
  <si>
    <t>74</t>
  </si>
  <si>
    <t>MEDICAMENTOS, DM E INSUMOS – Telemedicina</t>
  </si>
  <si>
    <t>Cumple con los criterios que le apliquen del presente estándar</t>
  </si>
  <si>
    <t>ESTÁNDAR DE PROCESOS PRIORITARIOS  —  Sección 11.1.5  |  Todas las modalidades</t>
  </si>
  <si>
    <t>75</t>
  </si>
  <si>
    <t>PROCESOS PRIORITARIOS</t>
  </si>
  <si>
    <t>Política de seguridad del paciente acorde con los lineamientos expedidos por el MinSalud</t>
  </si>
  <si>
    <t>76</t>
  </si>
  <si>
    <t>Realiza actividades encaminadas a gestionar la seguridad del paciente</t>
  </si>
  <si>
    <t>★77</t>
  </si>
  <si>
    <t>3 ★ INDEPENDIENTE</t>
  </si>
  <si>
    <t>Comité o instancia que orienta y promueve la política de seguridad del paciente, el control de infecciones y la optimización del uso de antibióticos. PARA PROFESIONAL INDEPENDIENTE: el mismo prestador podrá ser dicho comité (criterio explícito en la norma)</t>
  </si>
  <si>
    <t>78</t>
  </si>
  <si>
    <t>4.1</t>
  </si>
  <si>
    <t>Información documentada: asegurar la correcta identificación del paciente (mínimo dos identificadores: nombre completo y número de identificación)</t>
  </si>
  <si>
    <t>79</t>
  </si>
  <si>
    <t>4.2</t>
  </si>
  <si>
    <t>Información documentada: gestión de comunicación adecuada entre quienes atienden y cuidan a los pacientes, incluyendo enfoques diferenciales</t>
  </si>
  <si>
    <t>80</t>
  </si>
  <si>
    <t>4.3</t>
  </si>
  <si>
    <t>Información documentada: detección, prevención y reducción de infecciones asociadas con la atención en salud (incluye protocolo de higiene de manos o higienización con soluciones a base de alcohol)</t>
  </si>
  <si>
    <t>81</t>
  </si>
  <si>
    <t>4.4</t>
  </si>
  <si>
    <t>Información documentada: detección, análisis y gestión de eventos adversos</t>
  </si>
  <si>
    <t>82</t>
  </si>
  <si>
    <t>4.5</t>
  </si>
  <si>
    <t>Información documentada: procedimientos de consentimiento informado funcionales</t>
  </si>
  <si>
    <t>83</t>
  </si>
  <si>
    <t>4.6</t>
  </si>
  <si>
    <t>Información documentada: mejora de la seguridad en la utilización de medicamentos, en los servicios donde aplique</t>
  </si>
  <si>
    <t>84</t>
  </si>
  <si>
    <t>4.7</t>
  </si>
  <si>
    <t>Información documentada: prevención y reducción de la frecuencia de caídas, en los servicios donde aplique</t>
  </si>
  <si>
    <t>85</t>
  </si>
  <si>
    <t>Promueve la cultura de seguridad del paciente mediante: capacitación del personal en seguridad del paciente y principales riesgos de la atención; actividades que ilustran al paciente y allegados en el autocuidado de su seguridad</t>
  </si>
  <si>
    <t>86</t>
  </si>
  <si>
    <t>Información documentada de las actividades y procedimientos del servicio según objeto, alcance y enfoque diferencial (GPC, procedimientos de atención, protocolos), incluye talento humano, equipos, medicamentos, DM e insumos</t>
  </si>
  <si>
    <t>87</t>
  </si>
  <si>
    <t>La información documentada es conocida mediante acciones de formación continua por el talento humano encargado y responsable de su aplicación, existe evidencia de socialización</t>
  </si>
  <si>
    <t>88</t>
  </si>
  <si>
    <t>Las GPC y protocolos a adoptar son en primera medida los del MinSalud. Si no están disponibles o hay nueva evidencia, el prestador adopta, adapta o desarrolla GPC o protocolos basados en evidencia científica nacional o internacional</t>
  </si>
  <si>
    <t>89</t>
  </si>
  <si>
    <t>Según las patologías más frecuentes del servicio, define la(s) guía(s) de práctica clínica a adoptar, adaptar o desarrollar</t>
  </si>
  <si>
    <t>90</t>
  </si>
  <si>
    <t>Información documentada de la adopción, adaptación o desarrollo de GPC o protocolos basados en evidencia científica</t>
  </si>
  <si>
    <t>91</t>
  </si>
  <si>
    <t>12.1</t>
  </si>
  <si>
    <t>Información documentada: detección, prevención y disminución del riesgo de accidentes e incidentes radiológicos (donde aplique)</t>
  </si>
  <si>
    <t>92</t>
  </si>
  <si>
    <t>12.2</t>
  </si>
  <si>
    <t>Información documentada: aseo, limpieza y desinfección de áreas y superficies</t>
  </si>
  <si>
    <t>93</t>
  </si>
  <si>
    <t>12.3</t>
  </si>
  <si>
    <t>Información documentada: procedimiento de reanimación cerebro cardio pulmonar (donde se realice)</t>
  </si>
  <si>
    <t>94</t>
  </si>
  <si>
    <t>12.4</t>
  </si>
  <si>
    <t>Información documentada: acciones para prevenir flebitis infecciosas, químicas y mecánicas (donde se realicen procedimientos de venopunción)</t>
  </si>
  <si>
    <t>95</t>
  </si>
  <si>
    <t>12.5</t>
  </si>
  <si>
    <t>Información documentada: aspectos de bioseguridad acordes con las condiciones y características del servicio</t>
  </si>
  <si>
    <t>96</t>
  </si>
  <si>
    <t>12.6</t>
  </si>
  <si>
    <t>Información documentada: descontaminación por derrames de sangre u otros fluidos corporales</t>
  </si>
  <si>
    <t>97</t>
  </si>
  <si>
    <t>12.7</t>
  </si>
  <si>
    <t>Información documentada: manejo de gases medicinales (atención de emergencias y sistema de alarma, cuando se utilicen)</t>
  </si>
  <si>
    <t>98</t>
  </si>
  <si>
    <t>13 – Esterilización</t>
  </si>
  <si>
    <t>Cuando se realice el proceso de esterilización: información documentada de buenas prácticas (recibo, transporte, lavado, secado, lubricación, empaque, etiquetado, esterilización, almacenamiento, verificación de integridad y control de calidad)</t>
  </si>
  <si>
    <t>99</t>
  </si>
  <si>
    <t>Cuando se contrate el proceso de esterilización con un tercero: contrato/convenio/acuerdo escrito que incluya características de calidad, supervisión de instalaciones y aplicación de procedimientos. El prestador es el responsable de garantizar la esterilidad del producto final</t>
  </si>
  <si>
    <t>100</t>
  </si>
  <si>
    <t>Procedimientos que garanticen el cumplimiento del no reúso de dispositivos médicos cuando el fabricante así lo haya establecido</t>
  </si>
  <si>
    <t>★101</t>
  </si>
  <si>
    <t>16 ★ INDEPENDIENTE</t>
  </si>
  <si>
    <t>Cuando se reusen dispositivos médicos (si el fabricante lo autoriza): información documentada de procedimientos de reprocesamiento, control de calidad. PARA PROFESIONAL INDEPENDIENTE: el seguimiento se realiza a través del programa de tecnovigilancia</t>
  </si>
  <si>
    <t>★</t>
  </si>
  <si>
    <t>102</t>
  </si>
  <si>
    <t>Para la referencia de pacientes: estabilización antes del traslado, medidas para el traslado, lista de chequeo de documentos (formato de referencia, resultados de apoyos diagnósticos, resumen HC, mecanismos tecnológicos, talento humano responsable, víctimas de violencia sexual deben referirse a urgencias)</t>
  </si>
  <si>
    <t>★103</t>
  </si>
  <si>
    <t>21 ★ INDEPENDIENTE</t>
  </si>
  <si>
    <t>CRITERIO ESPECÍFICO PARA PROFESIONAL INDEPENDIENTE Y EOSD — CE: documento del proceso que orienta la atención en salud de las víctimas de violencias sexuales (aplica específicamente a Profesional Independiente de Salud según el numeral 21 de la norma)</t>
  </si>
  <si>
    <t>104</t>
  </si>
  <si>
    <t>Información documentada de almacenamiento, conservación, control de fechas de vencimiento, uso y custodia de medicamentos, DM e insumos de los kits de derrames, ataque con agentes químicos y violencias sexuales según contenido</t>
  </si>
  <si>
    <t>105</t>
  </si>
  <si>
    <t>Los servicios que realicen pruebas de interés en salud pública deben inscribirse en el Registro de Laboratorios — RELAB</t>
  </si>
  <si>
    <t>106</t>
  </si>
  <si>
    <t>Cuando se realicen pruebas POCT en un servicio habilitado: información documentada sobre toma, procesamiento, control de calidad y entrega de resultados; controles de calidad realizados por laboratorio clínico propio o contratado; análisis de reportes y medidas preventivas y correctivas</t>
  </si>
  <si>
    <t xml:space="preserve">  ▸  Modalidad Extramural — Jornada de Salud y Unidad Móvil</t>
  </si>
  <si>
    <t>107</t>
  </si>
  <si>
    <t>PROCESOS PRIORITARIOS – Extramural</t>
  </si>
  <si>
    <t>Orientación a los usuarios sobre condiciones, requisitos y restricciones de acceso, permanencia y salida del vehículo en condiciones de rutina o emergencia (a cargo del conductor y el talento humano en salud)</t>
  </si>
  <si>
    <t>108</t>
  </si>
  <si>
    <t>Mecanismos que garanticen comunicación para el seguimiento de los pacientes que lo requieran</t>
  </si>
  <si>
    <t>109</t>
  </si>
  <si>
    <t>Mecanismos de supervisión de las actividades realizadas en el marco de los eventos de interés en salud pública, cuando aplique</t>
  </si>
  <si>
    <t xml:space="preserve">  ▸  Modalidad Telemedicina — Prestador Remisor</t>
  </si>
  <si>
    <t>110</t>
  </si>
  <si>
    <t>PROCESOS PRIORITARIOS – Telemedicina Remisor</t>
  </si>
  <si>
    <t>Información documentada de la prestación en esta modalidad: categorías de telemedicina ofertadas, rol (remisor/referencia), flujos de información, responsables, método de comunicación (sincrónico/asincrónico), características del relacionamiento entre prestadores, tiempos de respuesta, procedimiento de captura y transmisión de información, parámetros de digitalización y compresión</t>
  </si>
  <si>
    <t xml:space="preserve">  ▸  Modalidad Telemedicina — Prestador de Referencia</t>
  </si>
  <si>
    <t>111</t>
  </si>
  <si>
    <t>PROCESOS PRIORITARIOS – Telemedicina Referencia</t>
  </si>
  <si>
    <t>Adicional a los criterios del prestador remisor: información documentada de actividades y procedimientos de los servicios ofertados (GPC, protocolos de atención), incluye talento humano, equipos biomédicos, medicamentos, DM e insumos requeridos</t>
  </si>
  <si>
    <t>ESTÁNDAR DE HISTORIA CLÍNICA Y REGISTROS  —  Sección 11.1.6  |  Todas las modalidades</t>
  </si>
  <si>
    <t>112</t>
  </si>
  <si>
    <t>HISTORIA CLÍNICA Y REGISTROS</t>
  </si>
  <si>
    <t>Toda atención de primera vez incluye el proceso de apertura de historia clínica. Todos los pacientes atendidos cuentan con historia clínica</t>
  </si>
  <si>
    <t>113</t>
  </si>
  <si>
    <t>Procedimientos para utilizar historia única y para el registro de entrada y salida del archivo físico; mecanismo para unificar la información de cada paciente y su disponibilidad para el equipo de salud</t>
  </si>
  <si>
    <t>114</t>
  </si>
  <si>
    <t>Los medios electrónicos para la gestión de la historia clínica garantizan confidencialidad, seguridad, y el carácter permanente de registro sin que se puedan modificar los datos una vez guardados</t>
  </si>
  <si>
    <t>115</t>
  </si>
  <si>
    <t>Las historias clínicas cuentan con los componentes y contenidos mínimos definidos en la normatividad que regula la materia (Resolución 1995 de 1999)</t>
  </si>
  <si>
    <t>116</t>
  </si>
  <si>
    <t>La historia clínica y los registros asistenciales se diligencian en forma clara, legible, sin tachones, enmendaduras, intercalaciones, sin dejar espacios en blanco y sin utilizar siglas no estandarizadas</t>
  </si>
  <si>
    <t>117</t>
  </si>
  <si>
    <t>Cada anotación lleva la fecha y hora en la que se realiza, con el nombre completo y firma del autor</t>
  </si>
  <si>
    <t>118</t>
  </si>
  <si>
    <t>El diligenciamiento de los registros de atención se realiza simultánea o inmediatamente después de la atención en salud</t>
  </si>
  <si>
    <t>119</t>
  </si>
  <si>
    <t>La historia clínica y demás registros son conservados en archivo único garantizando custodia y confidencialidad de los documentos protegidos por reserva legal</t>
  </si>
  <si>
    <t>120</t>
  </si>
  <si>
    <t>Procedimiento de consentimiento informado que incluye mecanismos para verificar su aplicación, para que el paciente o su responsable apruebe o no documentalmente el procedimiento e intervención en salud, previa información de beneficios, riesgos, alternativas e implicaciones</t>
  </si>
  <si>
    <t>121</t>
  </si>
  <si>
    <t>Cuando se usen mecanismos electrónicos, ópticos o similares: documento firmado por ingeniero de sistemas con tarjeta profesional vigente que certifique que el mecanismo cumple con autenticidad, fiabilidad, integridad y disponibilidad, según normatividad del Archivo General de la Nación, SIC y MinTIC</t>
  </si>
  <si>
    <t>122</t>
  </si>
  <si>
    <t>Cuando se realice el proceso de esterilización dentro del servicio y fuera de centrales: registros de actividades documentadas de reúso de DM, registro de cargas, resultados de control de calidad, listas del contenido de paquetes, etiquetado de trazabilidad</t>
  </si>
  <si>
    <t>123</t>
  </si>
  <si>
    <t>HISTORIA CLÍNICA Y REGISTROS – Extramural</t>
  </si>
  <si>
    <t>Historia clínica custodiada por el prestador que oferta el servicio. Domiciliaria: valoración de ingreso con plan de tratamiento, nombre de pacientes atendidos, referencia y contrarreferencia (cuando se requiera), cuidados del personal de salud y cuidados encargados a la familia</t>
  </si>
  <si>
    <t>124</t>
  </si>
  <si>
    <t>14 – Unidad Móvil</t>
  </si>
  <si>
    <t>Unidad móvil / jornada de salud: registro de rutas, horarios y frecuencias; nombre de pacientes atendidos y trasladados; fecha y hora de ingreso; cuidados del personal; actividades realizadas</t>
  </si>
  <si>
    <t>125</t>
  </si>
  <si>
    <t>HISTORIA CLÍNICA Y REGISTROS – Telemedicina</t>
  </si>
  <si>
    <t>Documento firmado por ingeniero de sistemas con tarjeta profesional vigente que certifique: mecanismos de custodia, seguridad, confidencialidad y conservación integral durante la transmisión y almacenamiento de la HC; mecanismos de compresión sin pérdidas; método de firma electrónica o digital; encriptación y mecanismos de acceso; sistemas de seguridad y control de acceso</t>
  </si>
  <si>
    <t>126</t>
  </si>
  <si>
    <t>Plan de contingencia en caso de fallas del sistema activo o pérdida de datos</t>
  </si>
  <si>
    <t>127</t>
  </si>
  <si>
    <t>Todos los eventos y transacciones con ocasión de la prestación en modalidad de telemedicina son documentados y almacenados, y forman parte integral de la historia clínica</t>
  </si>
  <si>
    <t>128</t>
  </si>
  <si>
    <t>Registro de las atenciones realizadas en la modalidad de telemedicina</t>
  </si>
  <si>
    <t>ESTÁNDAR DE INTERDEPENDENCIA  —  Sección 11.1.7  |  Todas las modalidades</t>
  </si>
  <si>
    <t>129</t>
  </si>
  <si>
    <t>INTERDEPENDENCIA</t>
  </si>
  <si>
    <t>Cuando el servicio interdependiente sea contratado: contrato o acuerdo escrito entre las partes que establezca el servicio interdependiente que apoya el servicio principal, incluyendo mínimo: calidad en la entrega de productos, procedimientos documentados de atención en cada servicio, tiempos de entrega y supervisión al contratista que garantice la seguridad del resultado</t>
  </si>
  <si>
    <t>130</t>
  </si>
  <si>
    <t>Cuando se realicen procedimientos bajo sedación fuera de salas de cirugía y monitorización electroencefalográfica con video y radio: disponibilidad del servicio de transporte asistencial</t>
  </si>
  <si>
    <t>RESUMEN DE CUMPLIMIENTO POR ESTÁNDAR — CRITERIOS GENERALES PROFESIONAL INDEPENDIENTE</t>
  </si>
  <si>
    <t>% CUMPLIMIENTO</t>
  </si>
  <si>
    <t>INFRAESTRUCTURA</t>
  </si>
  <si>
    <t>FICHA TÉCNICA DEL PRESTADOR DE SERVICIOS DE SALUD</t>
  </si>
  <si>
    <t>Resolución 3100 de 2019 — Habilitación de Servicios de Salud — Profesionales Independientes</t>
  </si>
  <si>
    <t>1. DATOS BÁSICOS DEL PRESTADOR</t>
  </si>
  <si>
    <t>Código REPS:</t>
  </si>
  <si>
    <t>Código de Habilitación:</t>
  </si>
  <si>
    <t>Dirección:</t>
  </si>
  <si>
    <t>Municipio / Departamento:</t>
  </si>
  <si>
    <t>Teléfono:</t>
  </si>
  <si>
    <t>Correo electrónico:</t>
  </si>
  <si>
    <t>Representante Legal:</t>
  </si>
  <si>
    <t>Tipo de prestador:</t>
  </si>
  <si>
    <t>Profesión:</t>
  </si>
  <si>
    <t>N°. Tarjeta Profesional:</t>
  </si>
  <si>
    <t>Naturaleza jurídica:</t>
  </si>
  <si>
    <t>Complejidad:</t>
  </si>
  <si>
    <t>2. INFORMACIÓN DE HABILITACIÓN</t>
  </si>
  <si>
    <t>Servicios habilitados:</t>
  </si>
  <si>
    <t>Modalidad de prestación:</t>
  </si>
  <si>
    <t>Horario de atención:</t>
  </si>
  <si>
    <t>Fecha de habilitación:</t>
  </si>
  <si>
    <t>Fecha vencimiento:</t>
  </si>
  <si>
    <t>Sede:</t>
  </si>
  <si>
    <t>N° de sede:</t>
  </si>
  <si>
    <t>Estado actual REPS:</t>
  </si>
  <si>
    <t>Fecha última actualización:</t>
  </si>
  <si>
    <t>3. INFORMACIÓN DE LA AUDITORÍA</t>
  </si>
  <si>
    <t>Tipo de auditoría:</t>
  </si>
  <si>
    <t>Fecha de auditoría:</t>
  </si>
  <si>
    <t>Hora inicio:</t>
  </si>
  <si>
    <t>Hora finalización:</t>
  </si>
  <si>
    <t>Nombre del auditor:</t>
  </si>
  <si>
    <t>Cargo:</t>
  </si>
  <si>
    <t>Profesión del auditor:</t>
  </si>
  <si>
    <t>N°. Tarjeta profesional:</t>
  </si>
  <si>
    <t>Entidad contratante:</t>
  </si>
  <si>
    <t>Objeto de la auditoría:</t>
  </si>
  <si>
    <t>Hallazgos previos:</t>
  </si>
  <si>
    <t>Plan de mejora vigente:</t>
  </si>
  <si>
    <t>Fecha próxima visita:</t>
  </si>
  <si>
    <t>Responsable seguimiento:</t>
  </si>
  <si>
    <t>4. CONTROL DE DOCUMENTOS Y VENCIMIENTOS</t>
  </si>
  <si>
    <t>DOCUMENTO</t>
  </si>
  <si>
    <t>FECHA VENCIMIENTO</t>
  </si>
  <si>
    <t>DÍAS RESTANTES</t>
  </si>
  <si>
    <t>Licencia de construcción / Uso de suelos</t>
  </si>
  <si>
    <t>Certificado RETIE (Ingeniero eléctrico)</t>
  </si>
  <si>
    <t>Concepto sanitario (Salud Pública)</t>
  </si>
  <si>
    <t>Habilitación vigente REPS</t>
  </si>
  <si>
    <t>Seguro de responsabilidad civil profesional</t>
  </si>
  <si>
    <t>Plan de gestión integral de residuos (PGIRHS)</t>
  </si>
  <si>
    <t>Certificado de fumigación</t>
  </si>
  <si>
    <t>Certificado lavado de tanques de agua</t>
  </si>
  <si>
    <t>Licencia práctica radiológica (si aplica)</t>
  </si>
  <si>
    <t>Tarjeta profesional del prestador</t>
  </si>
  <si>
    <t>Inscripción Farmacovigilancia / Tecnovigilancia</t>
  </si>
  <si>
    <t>AUDITORÍA DE PROCESOS DOCUMENTALES — HABILITACIÓN EN SALUD</t>
  </si>
  <si>
    <t>Resolución 3100 de 2019  |  Profesionales Independientes</t>
  </si>
  <si>
    <t>HORA FINAL:</t>
  </si>
  <si>
    <t>⚠️  Los criterios marcados con este símbolo son de carácter CRÍTICO. Su incumplimiento puede generar requerimiento o cierre del servicio.</t>
  </si>
  <si>
    <t>CRITERIO</t>
  </si>
  <si>
    <t>MODO DE VERIFICACIÓN</t>
  </si>
  <si>
    <t>Programa de capacitación al personal: i) análisis de necesidades, ii) planificación, iii) contenidos, iv) duración, v) formadores, vi) ejecución, evaluación y seguimiento</t>
  </si>
  <si>
    <t>Cronograma del programa de capacitación</t>
  </si>
  <si>
    <t>Soportes de ejecución del programa de capacitación (listas de asistencia, certificados)</t>
  </si>
  <si>
    <t>Listado de documentos para hoja de vida del personal</t>
  </si>
  <si>
    <t>Licencia de construcción</t>
  </si>
  <si>
    <t>Uso de suelos</t>
  </si>
  <si>
    <t>Certificado RETIE / Ingeniero eléctrico</t>
  </si>
  <si>
    <t>Acta de visita de salud pública (concepto sanitario)</t>
  </si>
  <si>
    <t>Programa de mantenimiento de infraestructura y equipos fijos</t>
  </si>
  <si>
    <t>Protocolo de lavado de tanques y caracterización del agua</t>
  </si>
  <si>
    <t>Protocolo de fumigación</t>
  </si>
  <si>
    <t>Plan hospitalario de emergencia</t>
  </si>
  <si>
    <t>Plan de gestión integral de residuos hospitalarios y RH1 (15 puntos o 7 según aplique)</t>
  </si>
  <si>
    <t>Formato RH1</t>
  </si>
  <si>
    <t>Planillas de limpieza y desinfección</t>
  </si>
  <si>
    <t>Ruta de evacuación por piso (señalizada y visible)</t>
  </si>
  <si>
    <t>Inspección Documental y Visual</t>
  </si>
  <si>
    <t>Ruta sanitaria de residuos</t>
  </si>
  <si>
    <t>Relación de equipos biomédicos: nombre, marca, modelo, serie, registro sanitario, clasificación del riesgo</t>
  </si>
  <si>
    <t>Formato hoja de vida de equipos biomédicos</t>
  </si>
  <si>
    <t>Formato cronograma de mantenimientos de los equipos biomédicos</t>
  </si>
  <si>
    <t>Registro de mantenimientos de equipos biomédicos (preventivo, correctivo, calibraciones)</t>
  </si>
  <si>
    <t>Programa de mantenimiento preventivo de equipos biomédicos, incluye recomendaciones del fabricante</t>
  </si>
  <si>
    <t>Capacitaciones en equipos biomédicos (cuando se requieran), incluidas dentro del programa de capacitaciones</t>
  </si>
  <si>
    <t>Registro de suficiencia de equipos biomédicos</t>
  </si>
  <si>
    <t>Hoja de vida del responsable de mantenimiento de equipos con soportes y/o contrato</t>
  </si>
  <si>
    <t>Equipos para telemedicina: certificado de cumplimiento emitido por ingeniero de sistemas con tarjeta profesional vigente (cuando aplique)</t>
  </si>
  <si>
    <t>INSUMOS</t>
  </si>
  <si>
    <t>Relación de medicamentos: principio activo, forma farmacéutica, concentración, lote, fecha de vencimiento, presentación comercial, unidad de medida, registro sanitario</t>
  </si>
  <si>
    <t>Relación de dispositivos médicos: descripción, marca, serie, presentación comercial, registro sanitario, clasificación de riesgo, vida útil, lote, fecha de vencimiento</t>
  </si>
  <si>
    <t>Relación de reactivos: nombre, marca, presentación comercial, registro sanitario, clasificación del riesgo, vida útil, fecha de vencimiento, lote</t>
  </si>
  <si>
    <t>Información documentada: selección, adquisición, transporte, recepción, almacenamiento, conservación, control de fechas de vencimiento, cadena de frío, distribución, dispensación, devolución, disposición final</t>
  </si>
  <si>
    <t>Medicamentos de control: resolución de autorización vigente expedida por el Fondo Nacional de Estupefacientes (cuando aplique)</t>
  </si>
  <si>
    <t>Programa de Farmacovigilancia: inscripción y reportes mensuales</t>
  </si>
  <si>
    <t>Programa de Tecnovigilancia: inscripción y reportes trimestrales</t>
  </si>
  <si>
    <t>Programa de Reactivovigilancia: inscripción y reportes trimestrales (cuando aplique)</t>
  </si>
  <si>
    <t>Alertas sanitarias y seguimiento a las mismas</t>
  </si>
  <si>
    <t>Formato control de temperatura y humedad</t>
  </si>
  <si>
    <t>Protocolo de lavado de manos o higienización (jabón, sistema de secado)</t>
  </si>
  <si>
    <t>Información documentada sobre derrame de medicamentos con respectivo kit</t>
  </si>
  <si>
    <t>Programa de seguridad del paciente: incluye lista de chequeo de seguridad del paciente</t>
  </si>
  <si>
    <t>Acta de creación del comité de seguridad del paciente y seguimientos</t>
  </si>
  <si>
    <t>Información documentada para correcta identificación del paciente (mínimo 2 identificadores: nombre completo y número de identificación)</t>
  </si>
  <si>
    <t>Gestión de comunicación adecuada con enfoque diferencial (género, etnia, ciclo de vida u otros)</t>
  </si>
  <si>
    <t>Detección, prevención y reducción de infecciones asociadas a la atención en salud. Incluye protocolo de higiene de manos con soluciones a base de alcohol</t>
  </si>
  <si>
    <t>Detección, análisis y gestión de eventos adversos</t>
  </si>
  <si>
    <t>Garantizar la funcionalidad de los procedimientos de consentimiento informado</t>
  </si>
  <si>
    <t>Mejorar la seguridad en la utilización de medicamentos (cuando aplique)</t>
  </si>
  <si>
    <t>Prevenir y reducir la frecuencia de caídas</t>
  </si>
  <si>
    <t>Garantizar la atención segura de la gestante y el recién nacido (donde aplique)</t>
  </si>
  <si>
    <t>Prevenir complicaciones asociadas a disponibilidad y manejo de sangre y transfusión sanguínea (donde aplique)</t>
  </si>
  <si>
    <t>Prevenir úlceras por presión (donde aplique)</t>
  </si>
  <si>
    <t>Mejorar la seguridad en los procedimientos quirúrgicos (donde aplique)</t>
  </si>
  <si>
    <t>Capacitación del personal en seguridad del paciente y principales riesgos de la atención</t>
  </si>
  <si>
    <t>Actividades de ilustración al paciente y allegados en el autocuidado de su seguridad</t>
  </si>
  <si>
    <t>Modelo de atención: incluye talento humano, enfoque diferencial, equipos biomédicos, medicamentos y dispositivos médicos e insumos</t>
  </si>
  <si>
    <t>Socialización de los procesos documentales al personal (cronograma, listas de asistencia, certificados)</t>
  </si>
  <si>
    <t>Guías de manejo (nacionales o internacionales basadas en evidencia científica)</t>
  </si>
  <si>
    <t>Información documentada de la adopción, adaptación o desarrollo de guías</t>
  </si>
  <si>
    <t>Protocolos de manejo clínico</t>
  </si>
  <si>
    <t>Información documentada: detección, prevención y disminución del riesgo de accidentes radiológicos (donde aplique)</t>
  </si>
  <si>
    <t>Protocolo de aseo, limpieza y desinfección de áreas y superficies</t>
  </si>
  <si>
    <t>Procedimiento de reanimación cerebro-cardio-pulmonar (donde se realice)</t>
  </si>
  <si>
    <t>Acciones para prevenir flebitis infecciosas, químicas y mecánicas (donde aplique)</t>
  </si>
  <si>
    <t>Aspectos de bioseguridad acordes con las condiciones y características del servicio</t>
  </si>
  <si>
    <t>Descontaminación por derrames de sangre u otros fluidos corporales</t>
  </si>
  <si>
    <t>Manejo de gases medicinales: atención de emergencias y sistema de alarma (cuando aplique)</t>
  </si>
  <si>
    <t>Manual de Esterilización (cuando aplique): recibo, transporte, lavado, empaque, etiquetado, esterilización, almacenamiento, verificación, control de calidad</t>
  </si>
  <si>
    <t>Política de no reúso y reúso de dispositivos médicos</t>
  </si>
  <si>
    <t>Protocolo de referencia y contrarreferencia</t>
  </si>
  <si>
    <t>Documento del proceso institucional para atención en salud de víctimas de violencias sexuales (donde aplique)</t>
  </si>
  <si>
    <t>Documento de conformación del equipo institucional para atención de víctimas de violencias sexuales (donde aplique)</t>
  </si>
  <si>
    <t>HISTORIA CLÍNICA</t>
  </si>
  <si>
    <t>Información documentada: procedimientos para utilizar historia única y registro de entrada/salida del archivo físico</t>
  </si>
  <si>
    <t>HC digital: licencia de software, backup, registro no modificable (cuando aplique)</t>
  </si>
  <si>
    <t>Las historias clínicas cuentan con componentes y contenidos mínimos (Resolución 1995/99)</t>
  </si>
  <si>
    <t>La historia clínica y registros asistenciales se diligencian en forma clara, legible, sin tachones ni enmendaduras</t>
  </si>
  <si>
    <t>Cada anotación lleva fecha, hora, nombre completo y firma del autor</t>
  </si>
  <si>
    <t>El prestador cuenta con procedimiento de consentimiento informado con mecanismos para verificar su aplicación</t>
  </si>
  <si>
    <t>Cuando se usan mecanismos electrónicos: certificado de ingeniero de sistemas con tarjeta profesional vigente</t>
  </si>
  <si>
    <t>Proceso de esterilización: actividades documentadas, registro de cargas, resultados de control de calidad, listas de contenido de paquetes, etiquetado de trazabilidad (cuando aplique)</t>
  </si>
  <si>
    <t>RESUMEN DE CUMPLIMIENTO POR ESTÁNDAR</t>
  </si>
  <si>
    <t>TOTAL CRITERIOS</t>
  </si>
  <si>
    <t>%  CUMPLIMIENTO</t>
  </si>
  <si>
    <t>AUDITORÍA DE INFRAESTRUCTURA — HABILITACIÓN EN SALUD</t>
  </si>
  <si>
    <t>INFRAESTRUCTURA: Edificaciones de uso exclusivo en salud</t>
  </si>
  <si>
    <t>Los servicios de urgencias, atención del parto, hospitalarios y cirugía con procedimientos quirúrgicos no ambulatorios, solo se prestan en edificaciones de uso exclusivo de salud</t>
  </si>
  <si>
    <t>Servicios de urgencias, cirugía e internación y donde se realice esterilización, cuentan con ambiente de aseo de uso exclusivo</t>
  </si>
  <si>
    <t>Cuando funcionen más de un prestador con servicios de consulta externa y apoyo diagnóstico, cada prestador tiene infraestructura separada y delimitada. Pueden compartir: aseo, salas de espera y unidades sanitarias</t>
  </si>
  <si>
    <t>Edificaciones donde se presten servicios de urgencias e internación cuentan con tanque de almacenamiento de agua (mínimo 24 horas, 600 lt por cama/camilla/día)</t>
  </si>
  <si>
    <t>INFRAESTRUCTURA: Edificaciones de uso mixto</t>
  </si>
  <si>
    <t>Cuando en edificación de uso mixto funcionen varios prestadores, cada uno cuenta con infraestructura separada y delimitada. Pueden compartir salas de espera y unidades sanitarias</t>
  </si>
  <si>
    <t>En edificaciones de uso mixto pueden funcionar prestadores de consulta externa, apoyo diagnóstico y cirugía ambulatoria</t>
  </si>
  <si>
    <t>INFRAESTRUCTURA: Accesibilidad</t>
  </si>
  <si>
    <t>Edificaciones hasta 3 pisos con servicios en 2° o 3° nivel cuentan con ascensor, rampa o sistema alternativo de elevación (no aplica para hospitalizaci, cirugía, urgencias, parto)</t>
  </si>
  <si>
    <t>Si hay escaleras o rampas: piso uniforme, antideslizante, pasamanos a uno o ambos lados y protecciones laterales hacia espacios libres</t>
  </si>
  <si>
    <t>Edificaciones con más de 3 pisos cuentan con ascensor</t>
  </si>
  <si>
    <t>INFRAESTRUCTURA: Servicios básicos</t>
  </si>
  <si>
    <t>Servicios de cirugía, parto, laboratorio clínico, urgencias, gestión pre-transfusional, diálisis, hospitalarios, imágenes diagnósticas, vacunación, farmacéutico y cadena de frío, cuentan con planta eléctrica</t>
  </si>
  <si>
    <t>Cada prestador cuenta con concepto sanitario vigente (agua, residuos, vectores, orden y aseo, condiciones locativas)</t>
  </si>
  <si>
    <t>Prestador que use equipos generadores de radiaciones ionizantes cuenta con licencia de práctica médica vigente (entidad competente)</t>
  </si>
  <si>
    <t>Prestador que use fuentes radioactivas cuenta con autorización vigente de empleo de material radiactivo</t>
  </si>
  <si>
    <t>INFRAESTRUCTURA: Gestión ambiental</t>
  </si>
  <si>
    <t>INFRAESTRUCTURA: Generalidades de ambientes y áreas</t>
  </si>
  <si>
    <t>Las áreas de circulación están libres de obstáculos para movilización de pacientes, talento humano, usuarios y equipos</t>
  </si>
  <si>
    <t>Los ambientes permiten la instalación y movilización de equipos biomédicos y personal para atención en condiciones de rutina o emergencia</t>
  </si>
  <si>
    <t>Cada piso cuenta con señalización y planos de rutas de evacuación, salidas de emergencia y puntos de encuentro, visibles al público</t>
  </si>
  <si>
    <t>Si se realizan procedimientos bajo sedación fuera de salas de cirugía: disponibilidad de área o ambiente para recuperación de pacientes garantizando privacidad</t>
  </si>
  <si>
    <t>INFRAESTRUCTURA: Características de ambientes</t>
  </si>
  <si>
    <t>Consultorio donde se realiza examen físico: mínimo 10 m² (sin incluir unidad sanitaria) con área de entrevista, área de examen y lavamanos</t>
  </si>
  <si>
    <t>Áreas de entrevista y examen separadas por barrera física fija o móvil (excepto urgencias, optometría y oftalmología)</t>
  </si>
  <si>
    <t>Consultorio donde se realizan procedimientos: mínimo 10 m², área de entrevista, área de procedimientos separadas por barrera fija, mesón de trabajo, poceta y lavamanos</t>
  </si>
  <si>
    <t>Consultorio de entrevista (sin examen físico ni procedimientos): mínimo 4 m² con lavamanos</t>
  </si>
  <si>
    <t>Consultorio odontológico con una unidad: mínimo 10 m² con área de entrevista, área para unidad, lavamanos y mesón con poceta</t>
  </si>
  <si>
    <t>Sala de procedimientos / curaciones: mínimo 8 m², mesón de trabajo, poceta (cuando requiera) y lavamanos</t>
  </si>
  <si>
    <t>Sistema de alarma cuando cuente con red de distribución de gases medicinales</t>
  </si>
  <si>
    <t>Sala de espera: área variable, independiente de circulación, con ventilación e iluminación natural/artificial; disponibilidad de unidades sanitarias por sexo</t>
  </si>
  <si>
    <t>Ambiente o área de trabajo limpio: mesón de trabajo, área para almacenamiento y alistamiento de medicamentos, lavamanos</t>
  </si>
  <si>
    <t>Ambiente de trabajo sucio: mesón de trabajo con poceta y lavamanos</t>
  </si>
  <si>
    <t>INFRAESTRUCTURA: Esterilización</t>
  </si>
  <si>
    <t>Prestador que realice el proceso de esterilización cuenta con: área recibo material contaminado, lavado, secado, empaque, esterilización, almacenamiento material estéril, mesón con poceta, lavamanos</t>
  </si>
  <si>
    <t>Prestador que contrate esterilización cuenta con: área para lavado/limpieza y entrega al proveedor; área para recepción y almacenamiento de material estéril</t>
  </si>
  <si>
    <t>INFRAESTRUCTURA: Condiciones de orden y aseo</t>
  </si>
  <si>
    <t>Condiciones de orden, aseo, limpieza y desinfección evidentes y dinámicas acordes con los servicios prestados</t>
  </si>
  <si>
    <t>Pisos: resistentes a factores ambientales, continuos, antideslizantes, impermeables, lavables, sólidos, resistentes a lavado y desinfección. Dilataciones y juntas selladas</t>
  </si>
  <si>
    <t>Cielo rasos, techos y paredes: impermeables, lavables, sólidos, resistentes a factores ambientales, incombustibles, de superficie lisa y continua</t>
  </si>
  <si>
    <t>En servicios de cirugía, parto, TPR, procedimientos, consultorios con procedimientos, internación, urgencias, diálisis, hemodinamia, laboratorio, odontología: unión pared-piso en media caña</t>
  </si>
  <si>
    <t>En servicios de cirugía, parto, TPR y esterilización: unión cielo raso-pared y unión entre paredes en media caña</t>
  </si>
  <si>
    <t>INFRAESTRUCTURA: Modalidad extramural</t>
  </si>
  <si>
    <t>Cuando el prestador preste servicios exclusivamente en modalidad extramural, la sede cuenta con: almacenamiento de medicamentos/DM/insumos, almacenamiento equipos biomédicos, archivo historias clínicas</t>
  </si>
  <si>
    <t>Disponibilidad de área para labores de aseo, limpieza y desinfección para unidades móviles</t>
  </si>
  <si>
    <t>INFRAESTRUCTURA: Modalidad domiciliaria</t>
  </si>
  <si>
    <t>El domicilio del paciente cumple: acueducto, alcantarillado, energía eléctrica, sistema de comunicación y unidad sanitaria</t>
  </si>
  <si>
    <t>INFRAESTRUCTURA: Unidad móvil</t>
  </si>
  <si>
    <t>La unidad móvil cumple condiciones de orden, aseo, limpieza y desinfección dinámicas</t>
  </si>
  <si>
    <t>Unidad móvil: suministro de agua potable permanente; tanque para almacenamiento de aguas residuales; identificación visual; acceso a energía eléctrica o alternativa; señalización y seguridad</t>
  </si>
  <si>
    <t>INFRAESTRUCTURA: Telemedicina - Remisor</t>
  </si>
  <si>
    <t>Conectividad que garantice prestación con integridad y continuidad (sincrónico o asincrónico)</t>
  </si>
  <si>
    <t>Plataformas tecnológicas con seguridad y privacidad de la información, disponibilidad permanente, cumpliendo normatividad de protección de datos</t>
  </si>
  <si>
    <t>Suministro de energía eléctrica o baterías para instrumentos de comunicación y equipos biomédicos</t>
  </si>
  <si>
    <t>Nivel de iluminación homogénea con luz fluorescente blanca fría (no mezclar cálida con fría)</t>
  </si>
  <si>
    <t>INFRAESTRUCTURA: Telemedicina - Referencia exclusivo</t>
  </si>
  <si>
    <t>Ambiente exclusivo para atención a distancia: garantía de privacidad, confidencialidad, seguridad de equipos y condiciones para funcionamiento, libre de interferencias visuales y sonoras</t>
  </si>
  <si>
    <t>Conectividad que garantice prestación con integridad y continuidad</t>
  </si>
  <si>
    <t>Plataformas tecnológicas con seguridad, privacidad y disponibilidad permanente</t>
  </si>
  <si>
    <t>AUDITORÍA — SERVICIO DE CONSULTA EXTERNA  |  General y Especializada</t>
  </si>
  <si>
    <t>Resolución 3100 de 2019  |  Criterios por Estándar, Complejidad y Modalidad de Prestación</t>
  </si>
  <si>
    <t>⚠️  Los criterios marcados con este símbolo son CRÍTICOS según la Resolución 3100/2019. Su incumplimiento puede generar requerimiento o cierre del servicio.</t>
  </si>
  <si>
    <t>LEYENDA:  C = Cumple  ·  NC = No Cumple  ·  NA = No Aplica  |  Marque X en la columna correspondiente. La fila cambia de color automáticamente.</t>
  </si>
  <si>
    <t>11.2.1  SERVICIO DE CONSULTA EXTERNA GENERAL  |  Complejidad: Baja  |  Resolución 3100 de 2019, Pág. 80-93</t>
  </si>
  <si>
    <t>ESTÁNDAR DE TALENTO HUMANO</t>
  </si>
  <si>
    <t xml:space="preserve">  ▸  Modalidades: Intramural · Extramural Unidad Móvil · Jornada de Salud · Domiciliaria</t>
  </si>
  <si>
    <t>Profesional de la salud de acuerdo con el servicio a ofertar (medicina, enfermería, nutrición, psicología, optometría u otra especialidad)</t>
  </si>
  <si>
    <t>Tarjeta profesional vigente del profesional independiente (criterio crítico de habilitación)</t>
  </si>
  <si>
    <t>Resolución de autorización del servicio cuando aplique según normatividad</t>
  </si>
  <si>
    <t>Constancia de formación continua en las actividades relacionadas con el servicio ofertado</t>
  </si>
  <si>
    <t>ERA – Disponibilidad de: Profesional de medicina</t>
  </si>
  <si>
    <t>ERA – Disponibilidad de: Profesional de enfermería o terapia respiratoria o fisioterapia</t>
  </si>
  <si>
    <t xml:space="preserve">  ▸  Modalidad Telemedicina – Categoría Interactiva y No Interactiva (Prestador de Referencia)</t>
  </si>
  <si>
    <t>TALENTO HUMANO – Telemedicina Interactiva/No Interactiva</t>
  </si>
  <si>
    <t>Profesional de la salud de acuerdo con el servicio a ofertar (criterios aplicables de todos los servicios)</t>
  </si>
  <si>
    <t xml:space="preserve">  ▸  Modalidad Telemedicina – Categoría Telexperticia (Prestador Remisor)</t>
  </si>
  <si>
    <t>TALENTO HUMANO – Telexperticia Remisor</t>
  </si>
  <si>
    <t>Cuando se realice telexperticia entre profesionales: profesional de la salud de acuerdo con el servicio a ofertar</t>
  </si>
  <si>
    <t>Cuando se realice telexperticia entre personal no profesional y profesional: técnico, tecnólogo o auxiliar que atiende presencialmente al usuario</t>
  </si>
  <si>
    <t xml:space="preserve">  ▸  Modalidad Telemedicina – Categoría Telexperticia (Prestador de Referencia)</t>
  </si>
  <si>
    <t>TALENTO HUMANO – Telexperticia Referencia</t>
  </si>
  <si>
    <t>Profesional de la salud que atiende a distancia, de acuerdo con el servicio a ofertar</t>
  </si>
  <si>
    <t xml:space="preserve">  ▸  Modalidad Telemedicina – Categoría Telemonitoreo (Prestador de Referencia)</t>
  </si>
  <si>
    <t>TALENTO HUMANO – Telemonitoreo Referencia</t>
  </si>
  <si>
    <t>Personal de salud profesional requerido para realizar el telemonitoreo según lo documentado en el estándar de procesos prioritarios</t>
  </si>
  <si>
    <t>ESTÁNDAR DE INFRAESTRUCTURA</t>
  </si>
  <si>
    <t>Cumple con los criterios que le sean aplicables de todos los servicios (criterios generales de infraestructura Res. 3100/2019)</t>
  </si>
  <si>
    <t>Consultorio donde se realiza examen físico: mínimo 10 m² (sin unidad sanitaria), con área de entrevista, área de examen y lavamanos</t>
  </si>
  <si>
    <t>Áreas de entrevista y examen separadas por barrera física fija o móvil (excepto CE urgencias, optometría y oftalmología)</t>
  </si>
  <si>
    <t>Consultorio donde se realizan procedimientos: mínimo 10 m², área de entrevista, área de procedimientos separadas por barrera fija, mesón de trabajo, poceta (cuando la requiera) y lavamanos</t>
  </si>
  <si>
    <t>Ambiente de entrevista donde no se realiza examen físico ni procedimientos: mínimo 4 m² con lavamanos</t>
  </si>
  <si>
    <t>Consultorio odontológico con una unidad odontológica: mínimo 10 m², área entrevista, área para unidad, lavamanos, mesón de trabajo con poceta</t>
  </si>
  <si>
    <t>Sala de procedimientos cuando se requiera (ver criterio 30 generalidades)</t>
  </si>
  <si>
    <t>Disponibilidad de sala de espera (área variable, independiente de circulación, ventilación e iluminación natural/artificial)</t>
  </si>
  <si>
    <t>Hasta 2 consultorios: mínimo 1 unidad sanitaria de uso mixto apta para personas con movilidad reducida</t>
  </si>
  <si>
    <t>Más de 2 consultorios: mínimo 1 unidad sanitaria discriminada por sexo apta para personas con movilidad reducida o batería sanitaria discriminada por sexo</t>
  </si>
  <si>
    <t>ERA – El ambiente cuenta con: lavamanos, mesón de trabajo, poceta (cuando la requiera según procedimientos documentados), barrera física móvil o fija para separación entre sillas</t>
  </si>
  <si>
    <t>Cuando se realicen terapias/intervenciones grupales para consumo de sustancias psicoactivas o alteraciones en salud mental: ambiente con dimensión variable</t>
  </si>
  <si>
    <t>Cuando se realicen actividades grupales de educación para la salud: disponibilidad de ambiente con dimensión variable</t>
  </si>
  <si>
    <t xml:space="preserve">  ▸  Modalidad Extramural: Unidad Móvil · Jornada de Salud · Domiciliaria</t>
  </si>
  <si>
    <t>INFRAESTRUCTURA – Extramural</t>
  </si>
  <si>
    <t>Cumple con los criterios que le sean aplicables de todos los servicios (criterios generales extramural)</t>
  </si>
  <si>
    <t>INFRAESTRUCTURA – Telemedicina Interactiva</t>
  </si>
  <si>
    <t>Cumple con los criterios que le sean aplicables de todos los servicios</t>
  </si>
  <si>
    <t>INFRAESTRUCTURA – Telexperticia Remisor</t>
  </si>
  <si>
    <t>Cumple con los criterios establecidos en el servicio de consulta externa general</t>
  </si>
  <si>
    <t>INFRAESTRUCTURA – Telexperticia Referencia</t>
  </si>
  <si>
    <t>INFRAESTRUCTURA – Telemonitoreo</t>
  </si>
  <si>
    <t>ESTÁNDAR DE DOTACIÓN</t>
  </si>
  <si>
    <t xml:space="preserve">  ▸  Modalidad Intramural – Complejidad Baja</t>
  </si>
  <si>
    <t>DOTACIÓN – Intramural</t>
  </si>
  <si>
    <t>Consultorio donde se realice examen físico: camilla fija</t>
  </si>
  <si>
    <t>Consultorio donde se realice examen físico: escalerilla</t>
  </si>
  <si>
    <t>Tensiómetro para adulto o pediátrico según la oferta del servicio</t>
  </si>
  <si>
    <t>Fonendoscopio para adulto o pediátrico según la oferta del servicio</t>
  </si>
  <si>
    <t>Martillo de reflejos</t>
  </si>
  <si>
    <t>Tallímetro o infantómetro según la oferta del servicio</t>
  </si>
  <si>
    <t>Cinta métrica</t>
  </si>
  <si>
    <t>Báscula grado médico o pesa bebé, según la oferta del servicio</t>
  </si>
  <si>
    <t>Termómetro cuando lo requiera</t>
  </si>
  <si>
    <t>Negatoscopio cuando se requiera o sistema de visualización según la tecnología utilizada por el prestador</t>
  </si>
  <si>
    <t>Consultorio sin examen físico ni procedimientos: dotación según lo documentado en el estándar de procesos prioritarios (no se exige dotación anterior)</t>
  </si>
  <si>
    <t>Consultorio donde se realicen procedimientos: dotación mínima definida para consultorio de examen físico + dotación para procedimientos documentados en procesos prioritarios</t>
  </si>
  <si>
    <t>Sala de procedimientos: dotación para procedimientos documentados + camilla con barandas, ruedas y freno (cuando los procedimientos requieran estas características)</t>
  </si>
  <si>
    <t>DOTACIÓN – Odontología Intramural</t>
  </si>
  <si>
    <t>Consultorio odontológico: unidad odontológica fija</t>
  </si>
  <si>
    <t>Consultorio odontológico: lámpara de fotocurado o amalgamador según la oferta</t>
  </si>
  <si>
    <t>Consultorio odontológico: negatoscopio o sistema de visualización según tecnología</t>
  </si>
  <si>
    <t>Consultorio odontológico: sistema de succión (puede estar incorporado a la unidad)</t>
  </si>
  <si>
    <t>Consultorio odontológico: compresor de aire para uso odontológico</t>
  </si>
  <si>
    <t>Consultorio odontológico: instrumental básico definido por el prestador según oferta (adultos/pediatría), capacidad instalada, procedimientos en PP y técnica de esterilización</t>
  </si>
  <si>
    <t>Cuando se realice esterilización dentro del servicio: equipos para esterilización según procedimientos realizados y documentados en PP</t>
  </si>
  <si>
    <t>DOTACIÓN – Extramural Medicina General</t>
  </si>
  <si>
    <t>Medicina general extramural: fonendoscopio para adulto o pediátrico según oferta</t>
  </si>
  <si>
    <t>Medicina general extramural: tensiómetro para adulto o pediátrico según oferta</t>
  </si>
  <si>
    <t>Medicina general extramural: equipo de órganos de los sentidos</t>
  </si>
  <si>
    <t>Medicina general extramural: oxímetro</t>
  </si>
  <si>
    <t>Medicina general extramural: glucómetro</t>
  </si>
  <si>
    <t>Medicina general extramural: martillo de reflejos</t>
  </si>
  <si>
    <t>Medicina general extramural: termómetro cuando lo requiera</t>
  </si>
  <si>
    <t>Medicina general extramural: cinta métrica</t>
  </si>
  <si>
    <t>Medicina general extramural: báscula grado médico o pesa bebé según oferta</t>
  </si>
  <si>
    <t>Dotación necesaria para realizar los procedimientos documentados en el estándar de procesos prioritarios</t>
  </si>
  <si>
    <t>DOTACIÓN – Odontología Extramural</t>
  </si>
  <si>
    <t>Odontología extramural: unidad odontológica portátil</t>
  </si>
  <si>
    <t>Odontología extramural: lámpara de fotocurado o amalgamador según oferta</t>
  </si>
  <si>
    <t>Odontología extramural: negatoscopio o sistema de visualización según tecnología</t>
  </si>
  <si>
    <t>Odontología extramural: sistema de succión (puede estar incorporado a la unidad)</t>
  </si>
  <si>
    <t>Odontología extramural: compresor de aire para uso odontológico</t>
  </si>
  <si>
    <t>Odontología extramural: instrumental básico estéril según oferta (adultos/pediatría), capacidad instalada y procedimientos documentados en PP</t>
  </si>
  <si>
    <t>DOTACIÓN – Extramural General</t>
  </si>
  <si>
    <t>DOTACIÓN – Telemedicina Interactiva</t>
  </si>
  <si>
    <t>DOTACIÓN – Telexperticia Remisor</t>
  </si>
  <si>
    <t>Cumple con los criterios que le sean aplicables de todos los servicios y los establecidos en el servicio de consulta externa general</t>
  </si>
  <si>
    <t>DOTACIÓN – Telexperticia Referencia</t>
  </si>
  <si>
    <t>DOTACIÓN – Telemonitoreo</t>
  </si>
  <si>
    <t>ESTÁNDAR DE MEDICAMENTOS, DISPOSITIVOS MÉDICOS E INSUMOS</t>
  </si>
  <si>
    <t>MEDICAMENTOS E INSUMOS</t>
  </si>
  <si>
    <t>ERA – El ambiente cuenta con oxígeno medicinal disponible</t>
  </si>
  <si>
    <t xml:space="preserve">  ▸  Modalidad Telemedicina – Todas las Categorías</t>
  </si>
  <si>
    <t>MEDICAMENTOS E INSUMOS – Telemedicina</t>
  </si>
  <si>
    <t>Cumple con los criterios que le sean aplicables de todos los servicios (aplica para interactiva, no interactiva, telexperticia remisor/referencia y telemonitoreo)</t>
  </si>
  <si>
    <t>ESTÁNDAR DE PROCESOS PRIORITARIOS</t>
  </si>
  <si>
    <t>Cuando se realicen procedimientos: procedimientos que se pueden realizar, incluyendo los que requieran anestesia local (no implique anestesia regional ni general)</t>
  </si>
  <si>
    <t>Cuando se realicen procedimientos: información al paciente sobre preparación, recomendaciones post-procedimiento, controles y posibles complicaciones</t>
  </si>
  <si>
    <t>PROCESOS PRIORITARIOS – ERA</t>
  </si>
  <si>
    <t>Sala ERA señalizada y cuenta con información documentada de: manejo de pacientes con enfermedad respiratoria alta y baja, incluyendo ingreso, valoración y seguimiento del estado clínico</t>
  </si>
  <si>
    <t>Tiempos máximos de manejo en CE de pacientes con enfermedad respiratoria alta y baja, y de remisión al servicio de hospitalización</t>
  </si>
  <si>
    <t>Condiciones clínicas de pacientes que pueden ser manejadas en la sala ERA y de las que no, de acuerdo con los procedimientos realizados</t>
  </si>
  <si>
    <t>PROCESOS PRIORITARIOS – Telemedicina Interactiva</t>
  </si>
  <si>
    <t>PROCESOS PRIORITARIOS – Telexperticia Remisor</t>
  </si>
  <si>
    <t>PROCESOS PRIORITARIOS – Telexperticia Referencia</t>
  </si>
  <si>
    <t>PROCESOS PRIORITARIOS – Telemonitoreo</t>
  </si>
  <si>
    <t>ESTÁNDAR DE HISTORIA CLÍNICA Y REGISTROS</t>
  </si>
  <si>
    <t xml:space="preserve">  ▸  Modalidades: Intramural · Extramural · Telemedicina (todas las categorías)</t>
  </si>
  <si>
    <t>Procedimiento para historia única y registro de entrada/salida del archivo físico</t>
  </si>
  <si>
    <t>Historias clínicas con componentes y contenidos mínimos (Resolución 1995/99)</t>
  </si>
  <si>
    <t>HC diligenciadas en forma clara, legible, sin tachones ni enmendaduras, sin dejar espacios en blanco, sin siglas no estandarizadas</t>
  </si>
  <si>
    <t>Cada anotación con fecha, hora, nombre completo y firma del autor</t>
  </si>
  <si>
    <t>Consentimiento informado documentado y verificable</t>
  </si>
  <si>
    <t>Si usa HC digital: licencia de software, backup, registro no modificable. Cuando se usen mecanismos electrónicos: certificado de ingeniero de sistemas con tarjeta profesional vigente</t>
  </si>
  <si>
    <t>ESTÁNDAR DE INTERDEPENDENCIA</t>
  </si>
  <si>
    <t>INTERDEPENDENCIA – Telemedicina</t>
  </si>
  <si>
    <t>No aplica (aplica para interactiva, no interactiva, telexperticia remisor/referencia y telemonitoreo)</t>
  </si>
  <si>
    <t>11.2.2  SERVICIO DE CONSULTA EXTERNA ESPECIALIZADA  |  Complejidad: Mediana  |  Resolución 3100 de 2019</t>
  </si>
  <si>
    <t>TALENTO HUMANO – CE Especializada</t>
  </si>
  <si>
    <t>Cumple con los criterios definidos para el servicio de consulta externa general</t>
  </si>
  <si>
    <t>Profesional de la salud con título de especialista según los programas académicos autorizados por el MEN</t>
  </si>
  <si>
    <t>Para medicina alternativa y terapias alternativas y complementarias: profesional con título de especialista en su disciplina, acreditando certificación académica expedida por IES reconocida por el Estado y según lo documentado en PP</t>
  </si>
  <si>
    <t>TALENTO HUMANO – CE Esp. Telemedicina Interactiva</t>
  </si>
  <si>
    <t>Profesional de la salud con título de especialista de acuerdo con el servicio a ofertar</t>
  </si>
  <si>
    <t>TALENTO HUMANO – CE Esp. Telexperticia Remisor</t>
  </si>
  <si>
    <t>Cuando se realice telexperticia entre profesionales: profesional con título de especialista según el servicio a ofertar</t>
  </si>
  <si>
    <t>TALENTO HUMANO – CE Esp. Telexperticia Referencia</t>
  </si>
  <si>
    <t>Profesional de la salud con título de especialista que atiende a distancia, de acuerdo con el servicio a ofertar</t>
  </si>
  <si>
    <t>TALENTO HUMANO – CE Esp. Telemonitoreo</t>
  </si>
  <si>
    <t>Personal de salud profesional con título de especialista requerido para el telemonitoreo según lo documentado en PP</t>
  </si>
  <si>
    <t xml:space="preserve">  ▸  Modalidad Intramural – Complejidad Mediana</t>
  </si>
  <si>
    <t>INFRAESTRUCTURA – CE Especializada</t>
  </si>
  <si>
    <t>Cumple con los criterios definidos para el servicio de consulta externa general de acuerdo con la oferta</t>
  </si>
  <si>
    <t>Consultorio de ginecoobstetricia y urología: cuenta con unidad sanitaria dentro del consultorio</t>
  </si>
  <si>
    <t xml:space="preserve">  ▸  Modalidades: Extramural Unidad Móvil · Jornada de Salud · Domiciliaria · Telemedicina (todas las categorías)</t>
  </si>
  <si>
    <t>INFRAESTRUCTURA – CE Esp. Extramural/Telemedicina</t>
  </si>
  <si>
    <t>Cumple con los criterios que le sean aplicables de todos los servicios (aplica para extramural, telemedicina interactiva, no interactiva, telexperticia y telemonitoreo)</t>
  </si>
  <si>
    <t>DOTACIÓN – CE Especializada</t>
  </si>
  <si>
    <t>Los consultorios de los especialistas cuentan con dotación necesaria para realizar los procedimientos documentados en el estándar de procesos prioritarios</t>
  </si>
  <si>
    <t>DOTACIÓN – CE Esp. Telemedicina Interactiva</t>
  </si>
  <si>
    <t>DOTACIÓN – CE Esp. Telexperticia Remisor</t>
  </si>
  <si>
    <t>Cumple con los criterios que le sean aplicables de todos los servicios y los establecidos en el servicio de consulta externa especializada</t>
  </si>
  <si>
    <t>DOTACIÓN – CE Esp. Telexperticia Referencia</t>
  </si>
  <si>
    <t>DOTACIÓN – CE Esp. Telemonitoreo</t>
  </si>
  <si>
    <t>MEDICAMENTOS E INSUMOS – CE Especializada</t>
  </si>
  <si>
    <t>Cumple con los criterios que le sean aplicables de todos los servicios (aplica para todas las modalidades)</t>
  </si>
  <si>
    <t>PROCESOS PRIORITARIOS – CE Especializada</t>
  </si>
  <si>
    <t>PROCESOS PRIORITARIOS – CE Esp. Medicina Alternativa</t>
  </si>
  <si>
    <t>Medicina alternativa y terapias alternativas y complementarias: criterios explícitos y documentados sobre procedimientos que se pueden y no se pueden realizar en el marco de la competencia</t>
  </si>
  <si>
    <t>Medicina alternativa y terapias: procedimientos para información al paciente sobre preparación, recomendaciones post-procedimiento, controles, posibles complicaciones y disponibilidad de consulta permanente</t>
  </si>
  <si>
    <t>PROCESOS PRIORITARIOS – CE Esp. Telemedicina Interactiva</t>
  </si>
  <si>
    <t>PROCESOS PRIORITARIOS – CE Esp. Telexperticia Remisor</t>
  </si>
  <si>
    <t xml:space="preserve">  ▸  Modalidad Telemedicina – Categoría Telexperticia y Telemonitoreo (Referencia)</t>
  </si>
  <si>
    <t>PROCESOS PRIORITARIOS – CE Esp. Telemedicina Referencia</t>
  </si>
  <si>
    <t>Cumple con los criterios que le sean aplicables de todos los servicios (telexperticia referencia y telemonitoreo referencia)</t>
  </si>
  <si>
    <t>HISTORIA CLÍNICA – CE Especializada</t>
  </si>
  <si>
    <t>INTERDEPENDENCIA – CE Esp. Médica</t>
  </si>
  <si>
    <t>No aplica para consulta externa médica especializada</t>
  </si>
  <si>
    <t>INTERDEPENDENCIA – CE Esp. Odontológica</t>
  </si>
  <si>
    <t>Consulta odontológica especializada: disponibilidad de servicio de radiología odontológica</t>
  </si>
  <si>
    <t>Consulta odontológica especializada: transporte asistencial cuando se realicen procedimientos bajo sedación grado I y II</t>
  </si>
  <si>
    <t>INTERDEPENDENCIA – CE Esp. Telemedicina</t>
  </si>
  <si>
    <t>Telemedicina (todas las categorías): No aplica</t>
  </si>
  <si>
    <t>RESUMEN DE CUMPLIMIENTO POR ESTÁNDAR — CONSULTA EXTERNA</t>
  </si>
  <si>
    <t>AUDITORÍA — SERVICIO DE TERAPIAS (Física, Ocupacional, Lenguaje, Respiratoria)</t>
  </si>
  <si>
    <t>Resolución 3100 de 2019  |  Criterios Específicos del Servicio</t>
  </si>
  <si>
    <t>Profesional de la salud con título según programas autorizados por el MEN en el ámbito de la rehabilitación (fisioterapia, fonoaudiología, terapia ocupacional, terapia respiratoria)</t>
  </si>
  <si>
    <t>Si oferta integración neurosensorial: constancia de formación continua</t>
  </si>
  <si>
    <t>Área para camillas, sillas de ruedas y aditamentos ortopédicos (cuando se requiera)</t>
  </si>
  <si>
    <t>Vestidor de pacientes con área para casilleros y unidad sanitaria de uso mixto (cuando el tipo de terapia lo requiera)</t>
  </si>
  <si>
    <t>Ambiente para realizar entrevista (cuando se requiera según procesos prioritarios)</t>
  </si>
  <si>
    <t>Área para atención individual con barrera física fija o móvil (cuando se requiera privacidad)</t>
  </si>
  <si>
    <t>Área de depósito para almacenamiento de insumos, equipos biomédicos y materiales</t>
  </si>
  <si>
    <t>Área con equipamiento para actividades de terapia ocupacional (cuando se requiera)</t>
  </si>
  <si>
    <t>Área húmeda o hidroterapia (si se oferta): pisos antideslizantes y tomas eléctricas con protección para ambientes húmedos</t>
  </si>
  <si>
    <t>Para fonoaudiología o terapia ocupacional: área para sillas y mesas de trabajo individual o grupal</t>
  </si>
  <si>
    <t>Cabina sono-amortiguada o equipo de audiometría (según procedimientos ofertados en fonoaudiología)</t>
  </si>
  <si>
    <t>Disponibilidad de sala de espera</t>
  </si>
  <si>
    <t>Unidades sanitarias discriminadas por sexo</t>
  </si>
  <si>
    <t>Ventilación e iluminación natural o artificial</t>
  </si>
  <si>
    <t>Pisos resistentes, continuos, antideslizantes, impermeables y lavables</t>
  </si>
  <si>
    <t>Dotación requerida para realizar procedimientos documentados en procesos prioritarios</t>
  </si>
  <si>
    <t>Equipos biomédicos para fisioterapia según oferta (TENS, ultrasonido terapéutico, etc.)</t>
  </si>
  <si>
    <t>Equipos y materiales para fonoaudiología según oferta</t>
  </si>
  <si>
    <t>Equipos y materiales para terapia ocupacional según oferta</t>
  </si>
  <si>
    <t>Medicamentos, dispositivos médicos e insumos según criterios generales aplicables</t>
  </si>
  <si>
    <t>Información documentada de procedimientos (áreas/ambientes, equipos, dispositivos e insumos requeridos)</t>
  </si>
  <si>
    <t>Programa de seguridad del paciente con lista de chequeo</t>
  </si>
  <si>
    <t>Protocolo para correcta identificación del paciente</t>
  </si>
  <si>
    <t>Consentimiento informado</t>
  </si>
  <si>
    <t>Guías y protocolos de manejo para los tipos de terapia ofertados</t>
  </si>
  <si>
    <t>Modelo de atención con enfoque diferencial</t>
  </si>
  <si>
    <t>Protocolo de aseo, limpieza y desinfección</t>
  </si>
  <si>
    <t>Aspectos de bioseguridad acordes con el servicio</t>
  </si>
  <si>
    <t>Historias clínicas con componentes mínimos según normatividad (Res. 1995/99)</t>
  </si>
  <si>
    <t>HC diligenciadas clara y legiblemente, sin tachones ni enmendaduras</t>
  </si>
  <si>
    <t>Cada anotación con fecha, hora, nombre completo y firma</t>
  </si>
  <si>
    <t>AUDITORÍA — SERVICIO DE LABORATORIO CLÍNICO  |  Baja Complejidad</t>
  </si>
  <si>
    <t>Resolución 3100 de 2019  |  Sección 11.3.12  |  Criterios por Estándar y Modalidad de Prestación</t>
  </si>
  <si>
    <t>⚠️  Los criterios marcados son CRÍTICOS. Su incumplimiento puede generar requerimiento o cierre del servicio.  |  Referencia normativa: Res. 3100/2019, Sección 11.3.12, Pág. 132</t>
  </si>
  <si>
    <t>N° CRITERIO</t>
  </si>
  <si>
    <t>ESTÁNDAR DE TALENTO HUMANO  —  Sección 11.3.12</t>
  </si>
  <si>
    <t xml:space="preserve">  ▸  Modalidades: Intramural · Extramural Unidad Móvil · Jornada de Salud · Telemedicina Prestador Remisor</t>
  </si>
  <si>
    <t>Cumple con los criterios que le sean aplicables de todos los servicios y adicionalmente, cuenta con:</t>
  </si>
  <si>
    <t>1.1</t>
  </si>
  <si>
    <t>Profesional de bacteriología</t>
  </si>
  <si>
    <t>1.2</t>
  </si>
  <si>
    <t>Talento humano profesional que cuenta con constancia de asistencia en las acciones de formación continua en las actividades relacionadas con el laboratorio clínico, cuando se requiera</t>
  </si>
  <si>
    <t>1.3</t>
  </si>
  <si>
    <t>Auxiliar de laboratorio clínico o de enfermería, cuando se requiera</t>
  </si>
  <si>
    <t>1.4</t>
  </si>
  <si>
    <t>Cuenta con gestor comunitario en salud con constancia de asistencia en acciones de formación continua para la detección temprana y diagnóstico de enfermedades de interés en salud pública, entre otras, cuando se requiera</t>
  </si>
  <si>
    <t>Disponibilidad de bacteriólogo en zonas especiales de dispersión geográfica con permanencia de acuerdo con lo definido por el prestador en el estándar de procesos prioritarios</t>
  </si>
  <si>
    <t>Cuando se realicen pruebas de inmunología para trasplantes: el profesional de bacteriología cuenta con constancia de asistencia en acciones de formación continua en la realización de dichas pruebas</t>
  </si>
  <si>
    <t>Cuando se realicen controles de calidad a pruebas en el punto de atención del paciente (POCT) a otros servicios: el profesional de bacteriología cuenta con constancia de asistencia en acciones de formación continua en el manejo de las mismas</t>
  </si>
  <si>
    <t>TALENTO HUMANO – Telemedicina Referencia</t>
  </si>
  <si>
    <t>El profesional de bacteriología puede hacer uso de la categoría telexperticia sincrónica o asincrónica entre profesionales de la salud, de acuerdo con lo definido por el prestador en el estándar de procesos prioritarios</t>
  </si>
  <si>
    <t>ESTÁNDAR DE INFRAESTRUCTURA  —  Sección 11.3.12</t>
  </si>
  <si>
    <t xml:space="preserve">  ▸  Modalidades: Intramural · Telemedicina Prestador Remisor</t>
  </si>
  <si>
    <t>Cuenta con:</t>
  </si>
  <si>
    <t>8.1</t>
  </si>
  <si>
    <t>Área para recepción de muestras, información y entrega de resultados</t>
  </si>
  <si>
    <t>8.2</t>
  </si>
  <si>
    <t>Ambiente(s) técnico(s) de procedimientos que cuenta con todos los sub-ítems 8.2.1 a 8.2.5:</t>
  </si>
  <si>
    <t>8.2.1</t>
  </si>
  <si>
    <t>Mesón de trabajo, con poceta cuando ésta se requiera</t>
  </si>
  <si>
    <t>8.2.2</t>
  </si>
  <si>
    <t>Ducha manual o lavaojos que puede ser compartida entre los ambientes técnicos</t>
  </si>
  <si>
    <t>8.2.3</t>
  </si>
  <si>
    <t>Área para neveras o cuarto frío</t>
  </si>
  <si>
    <t>8.2.4</t>
  </si>
  <si>
    <t>Lavamanos</t>
  </si>
  <si>
    <t>8.2.5</t>
  </si>
  <si>
    <t>Ambiente oscuro, cuando se requiera</t>
  </si>
  <si>
    <t>8.3</t>
  </si>
  <si>
    <t>Área o ambiente para el almacenamiento de materiales, insumos y reactivos</t>
  </si>
  <si>
    <t>8.4</t>
  </si>
  <si>
    <t>Ambiente para la toma de muestras especiales (cuando las realice), que cumple con los criterios definidos para el servicio de toma de muestras de laboratorio clínico</t>
  </si>
  <si>
    <t>8.5</t>
  </si>
  <si>
    <t>Cubículo para toma de muestras (cuando se realice), que cumple con los criterios definidos para el servicio de toma de muestras de laboratorio clínico</t>
  </si>
  <si>
    <t>Disponibilidad de:</t>
  </si>
  <si>
    <t>9.1</t>
  </si>
  <si>
    <t>Sala de espera</t>
  </si>
  <si>
    <t>9.2</t>
  </si>
  <si>
    <t>Unidades sanitarias discriminadas por sexo o de uso mixto para profesional independiente</t>
  </si>
  <si>
    <t xml:space="preserve">  ▸  Modalidades: Extramural Unidad Móvil · Jornada de Salud</t>
  </si>
  <si>
    <t>ESTÁNDAR DE DOTACIÓN  —  Sección 11.3.12</t>
  </si>
  <si>
    <t>Equipos biomédicos manuales, semi-automatizados o automatizados para los procedimientos que realice</t>
  </si>
  <si>
    <t>Cabina de bioseguridad, si procesa muestras para el análisis de bacterias anaerobias, micosis subcutáneas o profundas y pruebas por técnica de biología molecular, cuando se requiera</t>
  </si>
  <si>
    <t>Microscopio para toma e interpretación de pruebas para enfermedades transmitidas por vectores en zonas rurales, zonas especiales de dispersión geográfica y endémica</t>
  </si>
  <si>
    <t>ESTÁNDAR DE MEDICAMENTOS, DISPOSITIVOS MÉDICOS E INSUMOS  —  Sección 11.3.12</t>
  </si>
  <si>
    <t>Cumple con los criterios que le sean aplicables de todos los servicios y adicionalmente cuenta con medicamentos, dispositivos médicos e insumos requeridos para el procesamiento de las muestras, de acuerdo con las pruebas que realice</t>
  </si>
  <si>
    <t>MEDICAMENTOS, DM E INSUMOS – Telemedicina Referencia</t>
  </si>
  <si>
    <t>ESTÁNDAR DE PROCESOS PRIORITARIOS  —  Sección 11.3.12</t>
  </si>
  <si>
    <t>Cumple con los criterios que le sean aplicables de todos los servicios y adicionalmente cuenta con la siguiente información documentada:</t>
  </si>
  <si>
    <t>Programa de control de calidad interno y externo, que contemple las pruebas realizadas</t>
  </si>
  <si>
    <t>Validación secundaria o verificación</t>
  </si>
  <si>
    <t>16.3</t>
  </si>
  <si>
    <t>Análisis de los reportes del control de calidad y toma de medidas preventivas y correctivas</t>
  </si>
  <si>
    <t>16.4</t>
  </si>
  <si>
    <t>Toma, identificación, transporte, conservación, embalaje y remisión de las muestras, cuando aplique</t>
  </si>
  <si>
    <t>16.5</t>
  </si>
  <si>
    <t>Entrega de resultados</t>
  </si>
  <si>
    <t>16.6</t>
  </si>
  <si>
    <t>Supervisión de la toma de muestras cuando sea realizada por los auxiliares, cuando aplique</t>
  </si>
  <si>
    <t>16.7</t>
  </si>
  <si>
    <t>Limpieza y desinfección del material que se utilice en el procesamiento de las muestras, cuando aplique</t>
  </si>
  <si>
    <t>16.8</t>
  </si>
  <si>
    <t>Control de calidad de las pruebas en el punto de atención del paciente (point of care testing - POCT), cuando aplique</t>
  </si>
  <si>
    <t>16.9</t>
  </si>
  <si>
    <t>Procedimiento y condiciones para la toma de muestras, que incluya los equipos biomédicos y medicamentos, dispositivos médicos e insumos requeridos, según las muestras que se tomen</t>
  </si>
  <si>
    <t>ESTÁNDAR DE HISTORIA CLÍNICA Y REGISTROS  —  Sección 11.3.12</t>
  </si>
  <si>
    <t>Cumple con los criterios que le sean aplicables de todos los servicios y adicionalmente cuenta con:</t>
  </si>
  <si>
    <t>18.1</t>
  </si>
  <si>
    <t>Registro de pacientes, exámenes solicitados y pruebas realizadas</t>
  </si>
  <si>
    <t>18.2</t>
  </si>
  <si>
    <t>Registro de muestras tomadas y muestras remitidas, cuando aplique</t>
  </si>
  <si>
    <t>18.3</t>
  </si>
  <si>
    <t>Registro de validación secundaria o verificación</t>
  </si>
  <si>
    <t>18.4</t>
  </si>
  <si>
    <t>Formato de reporte de resultados</t>
  </si>
  <si>
    <t>18.5</t>
  </si>
  <si>
    <t>Registro de resultados de los exámenes remitidos. Los resultados deben ser entregados al paciente con el nombre del laboratorio clínico y la persona que los realizó</t>
  </si>
  <si>
    <t>18.6</t>
  </si>
  <si>
    <t>Registro de control de calidad interno y externo</t>
  </si>
  <si>
    <t>18.7</t>
  </si>
  <si>
    <t>Registro de control de calidad de las pruebas en el punto de atención del paciente (POCT), cuando aplique</t>
  </si>
  <si>
    <t>18.8</t>
  </si>
  <si>
    <t>Contrato o convenio escrito con el/los laboratorios que realizan el procesamiento de las muestras, cuando lo requiera. Cuando se trate de sedes del mismo prestador no requiere convenio o contrato. Si el laboratorio está en otro país: copia del documento que autorice el funcionamiento en dicho país</t>
  </si>
  <si>
    <t>18.9</t>
  </si>
  <si>
    <t>Contrato o convenio escrito con el servicio de patología cuando se recepcionen fragmentos de tejidos, órganos (biopsias) y material citológico de origen humano. Si el servicio de patología está en otro país: copia del documento que autorice su funcionamiento. Cuando se trate de sedes del mismo prestador no requiere convenio o contrato</t>
  </si>
  <si>
    <t>HISTORIA CLÍNICA Y REGISTROS – Telemedicina Referencia</t>
  </si>
  <si>
    <t>ESTÁNDAR DE INTERDEPENDENCIA  —  Sección 11.3.12</t>
  </si>
  <si>
    <t xml:space="preserve">  ▸  Modalidades: Intramural · Extramural · Telemedicina (Prestador Remisor y Prestador de Referencia)</t>
  </si>
  <si>
    <t>RESUMEN DE CUMPLIMIENTO POR ESTÁNDAR — LABORATORIO CLÍNICO BAJA COMPLEJIDAD</t>
  </si>
  <si>
    <t>AUDITORÍA — SERVICIO DE TOMA DE MUESTRAS DE LABORATORIO CLÍNICO</t>
  </si>
  <si>
    <t>Resolución 3100 de 2019  |  Sección 11.3.11  |  Criterios por Estándar y Modalidad de Prestación</t>
  </si>
  <si>
    <t>⚠️  Los criterios marcados son CRÍTICOS. Su incumplimiento puede generar requerimiento o cierre del servicio.  |  Ref: Res. 3100/2019, Sección 11.3.11, Pág. 130-131</t>
  </si>
  <si>
    <t>ESTÁNDAR DE TALENTO HUMANO  —  Sección 11.3.11</t>
  </si>
  <si>
    <t>Cumple con los criterios que le sean aplicables de todos los servicios y adicionalmente cuenta con: profesional de bacteriología o auxiliar de laboratorio clínico o auxiliar de enfermería</t>
  </si>
  <si>
    <t>Disponibilidad de: profesional de bacteriología quien realiza la supervisión cuando la toma de muestras es realizada por el auxiliar</t>
  </si>
  <si>
    <t>ESTÁNDAR DE INFRAESTRUCTURA  —  Sección 11.3.11</t>
  </si>
  <si>
    <t xml:space="preserve">  ▸  Modalidad Intramural</t>
  </si>
  <si>
    <t>Cumple con los criterios que le sean aplicables de todos los servicios (criterios generales de infraestructura Res. 3100/2019 — sección 11.1.2)</t>
  </si>
  <si>
    <t>Cubículo para la toma de muestras</t>
  </si>
  <si>
    <t>Ambiente para la toma de muestras especiales cuando lo oferte, con unidad sanitaria y perchero (si el procedimiento lo indica)</t>
  </si>
  <si>
    <t>4.5 / 4.5.1</t>
  </si>
  <si>
    <t>Área de preparación, embalaje y remisión de las muestras que cuenta con: mesón de trabajo, con poceta cuando ésta se requiera</t>
  </si>
  <si>
    <t>5.1</t>
  </si>
  <si>
    <t>5.2</t>
  </si>
  <si>
    <t xml:space="preserve">  ▸  Modalidades: Extramural Unidad Móvil · Jornada de Salud · Domiciliaria</t>
  </si>
  <si>
    <t>ESTÁNDAR DE DOTACIÓN  —  Sección 11.3.11</t>
  </si>
  <si>
    <t>Cumple con los criterios que le sean aplicables de todos los servicios y adicionalmente cuenta con: equipos biomédicos necesarios según las muestras que se tomen, de acuerdo con lo documentado en el estándar de procesos prioritarios</t>
  </si>
  <si>
    <t>ESTÁNDAR DE MEDICAMENTOS, DISPOSITIVOS MÉDICOS E INSUMOS  —  Sección 11.3.11</t>
  </si>
  <si>
    <t>Cumple con los criterios que le sean aplicables de todos los servicios y adicionalmente cuenta con: medicamentos, dispositivos médicos e insumos requeridos para la toma de las muestras, de acuerdo con lo documentado en el estándar de procesos prioritarios</t>
  </si>
  <si>
    <t>ESTÁNDAR DE PROCESOS PRIORITARIOS  —  Sección 11.3.11</t>
  </si>
  <si>
    <t>Toma, recepción, identificación, transporte, conservación, embalaje y remisión de las muestras</t>
  </si>
  <si>
    <t>9.3</t>
  </si>
  <si>
    <t>Supervisión de la toma de muestras cuando sea realizada por los auxiliares</t>
  </si>
  <si>
    <t>9.4</t>
  </si>
  <si>
    <t>Procedimiento y condiciones para la toma de muestras en la modalidad extramural cuando se realicen</t>
  </si>
  <si>
    <t>ESTÁNDAR DE HISTORIA CLÍNICA Y REGISTROS  —  Sección 11.3.11</t>
  </si>
  <si>
    <t>10.1</t>
  </si>
  <si>
    <t>10.2</t>
  </si>
  <si>
    <t>Registro de los resultados de los exámenes remitidos. Los resultados deben ser entregados al paciente con el nombre del laboratorio clínico y la persona que los realizó</t>
  </si>
  <si>
    <t>10.3</t>
  </si>
  <si>
    <t>Contrato o convenio escrito con el/los laboratorios que realizan el procesamiento de las muestras. Cuando se trate de sedes de un mismo prestador no requiere convenio o contrato</t>
  </si>
  <si>
    <t>10.4</t>
  </si>
  <si>
    <t>Contrato o convenio escrito con el servicio de patología cuando se recepcionen fragmentos de tejidos, órganos (biopsias) y material citológico de origen humano. Cuando se trate de sedes de un mismo prestador no requiere convenio o contrato</t>
  </si>
  <si>
    <t>ESTÁNDAR DE INTERDEPENDENCIA  —  Sección 11.3.11</t>
  </si>
  <si>
    <t>Cumple con los criterios que le sean aplicables de todos los servicios y adicionalmente disponibilidad de: servicio de laboratorio clínico (propio o contratado mediante convenio escrito)</t>
  </si>
  <si>
    <t>RESUMEN DE CUMPLIMIENTO POR ESTÁNDAR — TOMA DE MUESTRAS DE LABORATORIO CLÍNICO</t>
  </si>
  <si>
    <t>ACTA DE VISITA — AUDITORÍA DE HABILITACIÓN EN SALUD</t>
  </si>
  <si>
    <t>Resolución 3100 de 2019  |  Sistema Único de Habilitación  |  Audisalud Colombia S.A.S.</t>
  </si>
  <si>
    <t>1. IDENTIFICACIÓN DEL PROCESO</t>
  </si>
  <si>
    <t>CAMPO</t>
  </si>
  <si>
    <t>DATO</t>
  </si>
  <si>
    <t>N°. de Acta:</t>
  </si>
  <si>
    <t>Fecha de la visita:</t>
  </si>
  <si>
    <t>Tipo de visita:</t>
  </si>
  <si>
    <t>Modalidad:</t>
  </si>
  <si>
    <t>Objeto:</t>
  </si>
  <si>
    <t>Cargo / Tarjeta:</t>
  </si>
  <si>
    <t>Nombre del prestador:</t>
  </si>
  <si>
    <t>Municipio:</t>
  </si>
  <si>
    <t>Servicios auditados:</t>
  </si>
  <si>
    <t>2. INSTRUMENTOS APLICADOS</t>
  </si>
  <si>
    <t>APLICADO (SÍ/NO)</t>
  </si>
  <si>
    <t>N° CRITERIOS EVALUADOS</t>
  </si>
  <si>
    <t>N° CUMPLE</t>
  </si>
  <si>
    <t>N° NO CUMPLE</t>
  </si>
  <si>
    <t>3. DESCRIPCIÓN DE HALLAZGOS POR INSTRUMENTO</t>
  </si>
  <si>
    <t>INSTRUMENTO / ESTÁNDAR</t>
  </si>
  <si>
    <t>CALIFICACIÓN</t>
  </si>
  <si>
    <t>4. CONCEPTO DE LA VISITA</t>
  </si>
  <si>
    <t>Seleccione el concepto de la visita en la celda anterior</t>
  </si>
  <si>
    <t>5. REQUERIMIENTOS PARA HABILITACIÓN (si aplica)</t>
  </si>
  <si>
    <t>REQUERIMIENTO</t>
  </si>
  <si>
    <t>CRITERIO BASE</t>
  </si>
  <si>
    <t>PLAZO OTORGADO</t>
  </si>
  <si>
    <t>6. FIRMAS Y COMPROMISOS</t>
  </si>
  <si>
    <t>AUDITOR
Nombre: ________________________
Cargo: _________________________
No. Tarjeta: ___________________
Firma: _________________________
Fecha: ________________________</t>
  </si>
  <si>
    <t>PRESTADOR AUDITADO
Nombre: ________________________
Cargo: _________________________
No. Identificación: ______________
Firma: _________________________
Fecha: ________________________</t>
  </si>
  <si>
    <t>El criterio más verificado y más incumplido. La tarjeta no puede estar vencida ni cancelada. Verificar siempre en el portal ReTHUS (https://web.sispro.gov.co/THS/Cliente/ConsultasPublicas/ConsultaPublicaDeTHxIdentificacion.aspx) — el registro electrónico prevalece sobre el documento físico. Es causal de cierre inmediato del servicio.</t>
  </si>
  <si>
    <t>Todo profesional debe estar inscrito en el Registro Único Nacional de Talento Humano en Salud. Si hay discrepancia entre la tarjeta profesional y el ReTHUS, prevalece el ReTHUS. Verificar en línea en el momento de la visita.incluyendo especialistas.</t>
  </si>
  <si>
    <t xml:space="preserve">La norma NO exige horas mínimas — basta con evidenciar continuidad en la actualización. Guardar constancias de cursos, congresos y talleres. Si cuenta con personal de apoyo incluye formacion continuia </t>
  </si>
  <si>
    <t xml:space="preserve">Debe ser emitido por ingeniero eléctrico con matrícula vigente. Aplica incluso en consultorios pequeños. Verificar que cubra las instalaciones actuales y que la matrícula del ingeniero esté vigente. Si la infraestructura es antes de mayo 2025 si es posterior se debe hacer con una empresa avalada por la onac </t>
  </si>
  <si>
    <t>Si el consultorio está en 2° o 3° piso, es obligatorio contar con ascensor, rampa o sistema alternativo de elevación (incluso para prestadores pequeños). Verificar el tipo de sistema y sus condiciones. Aplica para los inscritos despues de el 25 noviembre 2019 (resolucion 544)</t>
  </si>
  <si>
    <t>Es el documento estratégico más importante. Para el profesional independiente  debe existir, estar firmado, fechado y socializado. La norma permite que el mismo prestador sea el comité.</t>
  </si>
  <si>
    <t>Título de ESPECIALISTA reconocido— sin este título no puede habilitar CE especializada</t>
  </si>
  <si>
    <t>Para medicina/terapias alternativas: certificación académica de la especialidad expedida  reconocida</t>
  </si>
  <si>
    <t>Título en el ámbito de la rehabilitación — fisioterapia, fonoaudiología, TO o TR</t>
  </si>
  <si>
    <t>X</t>
  </si>
  <si>
    <t xml:space="preserve"> Cédula:</t>
  </si>
  <si>
    <t>Cédula:</t>
  </si>
  <si>
    <t xml:space="preserve">Plan de gestión integral de residuos hospitalarios y RH1 </t>
  </si>
  <si>
    <t xml:space="preserve">Nombre  y apellido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</si>
</sst>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45" x14ac:knownFonts="1">
    <font>
      <sz val="11"/>
      <color theme="1"/>
      <name val="Calibri"/>
      <family val="2"/>
      <charset val="1"/>
    </font>
    <font>
      <b/>
      <sz val="13"/>
      <color rgb="FFFFFFFF"/>
      <name val="Arial"/>
      <charset val="1"/>
    </font>
    <font>
      <sz val="9"/>
      <color rgb="FFFFFFFF"/>
      <name val="Arial"/>
      <charset val="1"/>
    </font>
    <font>
      <b/>
      <sz val="11"/>
      <color rgb="FFFFFFFF"/>
      <name val="Arial"/>
      <charset val="1"/>
    </font>
    <font>
      <b/>
      <sz val="9"/>
      <color rgb="FFFFFFFF"/>
      <name val="Arial"/>
      <charset val="1"/>
    </font>
    <font>
      <sz val="9"/>
      <color rgb="FF000000"/>
      <name val="Arial"/>
      <charset val="1"/>
    </font>
    <font>
      <b/>
      <sz val="9"/>
      <color rgb="FF1B4F72"/>
      <name val="Arial"/>
      <charset val="1"/>
    </font>
    <font>
      <b/>
      <sz val="9"/>
      <color rgb="FF1D6A39"/>
      <name val="Arial"/>
      <charset val="1"/>
    </font>
    <font>
      <b/>
      <sz val="9"/>
      <color rgb="FF922B21"/>
      <name val="Arial"/>
      <charset val="1"/>
    </font>
    <font>
      <b/>
      <sz val="9"/>
      <color rgb="FF7F4000"/>
      <name val="Arial"/>
      <charset val="1"/>
    </font>
    <font>
      <b/>
      <sz val="9"/>
      <color rgb="FF000000"/>
      <name val="Arial"/>
      <charset val="1"/>
    </font>
    <font>
      <sz val="8"/>
      <color rgb="FF5D6D7E"/>
      <name val="Arial"/>
      <charset val="1"/>
    </font>
    <font>
      <b/>
      <sz val="10"/>
      <color rgb="FFFFFFFF"/>
      <name val="Arial"/>
      <charset val="1"/>
    </font>
    <font>
      <b/>
      <sz val="9"/>
      <color rgb="FF888888"/>
      <name val="Arial"/>
      <charset val="1"/>
    </font>
    <font>
      <b/>
      <sz val="9"/>
      <color rgb="FF5D6D7E"/>
      <name val="Arial"/>
      <charset val="1"/>
    </font>
    <font>
      <b/>
      <sz val="9"/>
      <color rgb="FF784212"/>
      <name val="Arial"/>
      <charset val="1"/>
    </font>
    <font>
      <b/>
      <sz val="9"/>
      <color rgb="FF1B3F6A"/>
      <name val="Arial"/>
      <charset val="1"/>
    </font>
    <font>
      <i/>
      <sz val="9"/>
      <color rgb="FF888888"/>
      <name val="Arial"/>
      <charset val="1"/>
    </font>
    <font>
      <i/>
      <strike/>
      <sz val="9"/>
      <color rgb="FF888888"/>
      <name val="Arial"/>
      <charset val="1"/>
    </font>
    <font>
      <b/>
      <sz val="8"/>
      <color rgb="FF7F4000"/>
      <name val="Arial"/>
      <charset val="1"/>
    </font>
    <font>
      <b/>
      <sz val="8"/>
      <color rgb="FF1B4F72"/>
      <name val="Arial"/>
      <charset val="1"/>
    </font>
    <font>
      <b/>
      <sz val="8"/>
      <color rgb="FF5D6D7E"/>
      <name val="Arial"/>
      <charset val="1"/>
    </font>
    <font>
      <sz val="9"/>
      <color rgb="FF1B4F72"/>
      <name val="Arial"/>
      <charset val="1"/>
    </font>
    <font>
      <sz val="8"/>
      <color rgb="FF7F4000"/>
      <name val="Arial"/>
      <charset val="1"/>
    </font>
    <font>
      <sz val="9"/>
      <color rgb="FF5D6D7E"/>
      <name val="Arial"/>
      <charset val="1"/>
    </font>
    <font>
      <sz val="9"/>
      <color rgb="FF1D6A39"/>
      <name val="Arial"/>
      <charset val="1"/>
    </font>
    <font>
      <sz val="9"/>
      <color rgb="FF7F4000"/>
      <name val="Arial"/>
      <charset val="1"/>
    </font>
    <font>
      <sz val="9"/>
      <color rgb="FF922B21"/>
      <name val="Arial"/>
      <charset val="1"/>
    </font>
    <font>
      <b/>
      <sz val="12"/>
      <color rgb="FFFFFFFF"/>
      <name val="Arial"/>
      <charset val="1"/>
    </font>
    <font>
      <sz val="8"/>
      <color rgb="FF1B3F6A"/>
      <name val="Arial"/>
      <charset val="1"/>
    </font>
    <font>
      <i/>
      <sz val="8"/>
      <color rgb="FF7F4000"/>
      <name val="Arial"/>
      <charset val="1"/>
    </font>
    <font>
      <sz val="8"/>
      <color rgb="FF000000"/>
      <name val="Arial"/>
      <charset val="1"/>
    </font>
    <font>
      <sz val="9"/>
      <name val="Arial"/>
      <charset val="1"/>
    </font>
    <font>
      <i/>
      <strike/>
      <sz val="8"/>
      <color rgb="FF888888"/>
      <name val="Arial"/>
      <charset val="1"/>
    </font>
    <font>
      <b/>
      <sz val="9"/>
      <color rgb="FF4A4A4A"/>
      <name val="Arial"/>
      <charset val="1"/>
    </font>
    <font>
      <sz val="8"/>
      <color rgb="FF4A4A4A"/>
      <name val="Arial"/>
      <charset val="1"/>
    </font>
    <font>
      <sz val="9"/>
      <color rgb="FF4A4A4A"/>
      <name val="Arial"/>
      <charset val="1"/>
    </font>
    <font>
      <i/>
      <sz val="9"/>
      <color rgb="FFFFFFFF"/>
      <name val="Arial"/>
      <charset val="1"/>
    </font>
    <font>
      <sz val="8"/>
      <color rgb="FF154360"/>
      <name val="Arial"/>
      <charset val="1"/>
    </font>
    <font>
      <sz val="9"/>
      <color rgb="FF154360"/>
      <name val="Arial"/>
      <charset val="1"/>
    </font>
    <font>
      <b/>
      <sz val="9"/>
      <color rgb="FF154360"/>
      <name val="Arial"/>
      <charset val="1"/>
    </font>
    <font>
      <b/>
      <sz val="9"/>
      <name val="Arial"/>
      <charset val="1"/>
    </font>
    <font>
      <sz val="10"/>
      <color rgb="FFFFFFFF"/>
      <name val="Arial"/>
      <charset val="1"/>
    </font>
    <font>
      <b/>
      <sz val="12"/>
      <color rgb="FF1B3F6A"/>
      <name val="Arial"/>
      <charset val="1"/>
    </font>
    <font>
      <i/>
      <sz val="8"/>
      <color rgb="FF5A5A5A"/>
      <name val="Arial"/>
      <charset val="1"/>
    </font>
  </fonts>
  <fills count="39">
    <fill>
      <patternFill patternType="none"/>
    </fill>
    <fill>
      <patternFill patternType="gray125"/>
    </fill>
    <fill>
      <patternFill patternType="solid">
        <fgColor rgb="FF1B3F6A"/>
        <bgColor rgb="FF154360"/>
      </patternFill>
    </fill>
    <fill>
      <patternFill patternType="solid">
        <fgColor rgb="FF2E75B6"/>
        <bgColor rgb="FF2980B9"/>
      </patternFill>
    </fill>
    <fill>
      <patternFill patternType="solid">
        <fgColor rgb="FFFFFFFF"/>
        <bgColor rgb="FFFDFEFE"/>
      </patternFill>
    </fill>
    <fill>
      <patternFill patternType="solid">
        <fgColor rgb="FFEBF5FB"/>
        <bgColor rgb="FFF2F3F4"/>
      </patternFill>
    </fill>
    <fill>
      <patternFill patternType="solid">
        <fgColor rgb="FFE2EFDA"/>
        <bgColor rgb="FFE8E8E8"/>
      </patternFill>
    </fill>
    <fill>
      <patternFill patternType="solid">
        <fgColor rgb="FFFCE4D6"/>
        <bgColor rgb="FFFDEBD0"/>
      </patternFill>
    </fill>
    <fill>
      <patternFill patternType="solid">
        <fgColor rgb="FFFFF2CC"/>
        <bgColor rgb="FFFDEBD0"/>
      </patternFill>
    </fill>
    <fill>
      <patternFill patternType="solid">
        <fgColor rgb="FFF7FBFF"/>
        <bgColor rgb="FFFDFEFE"/>
      </patternFill>
    </fill>
    <fill>
      <patternFill patternType="solid">
        <fgColor rgb="FF117A65"/>
        <bgColor rgb="FF1E8449"/>
      </patternFill>
    </fill>
    <fill>
      <patternFill patternType="solid">
        <fgColor rgb="FF922B21"/>
        <bgColor rgb="FFB22222"/>
      </patternFill>
    </fill>
    <fill>
      <patternFill patternType="solid">
        <fgColor rgb="FF0B4F6C"/>
        <bgColor rgb="FF1B4F72"/>
      </patternFill>
    </fill>
    <fill>
      <patternFill patternType="solid">
        <fgColor rgb="FF2E7D32"/>
        <bgColor rgb="FF1E7B1E"/>
      </patternFill>
    </fill>
    <fill>
      <patternFill patternType="solid">
        <fgColor rgb="FF1F618D"/>
        <bgColor rgb="FF1A5276"/>
      </patternFill>
    </fill>
    <fill>
      <patternFill patternType="solid">
        <fgColor rgb="FF0B3D0B"/>
        <bgColor rgb="FF154360"/>
      </patternFill>
    </fill>
    <fill>
      <patternFill patternType="solid">
        <fgColor rgb="FF884EA0"/>
        <bgColor rgb="FF7D3C98"/>
      </patternFill>
    </fill>
    <fill>
      <patternFill patternType="solid">
        <fgColor rgb="FFA04000"/>
        <bgColor rgb="FF7F4000"/>
      </patternFill>
    </fill>
    <fill>
      <patternFill patternType="solid">
        <fgColor rgb="FF566573"/>
        <bgColor rgb="FF5D6D7E"/>
      </patternFill>
    </fill>
    <fill>
      <patternFill patternType="solid">
        <fgColor rgb="FFF2F3F4"/>
        <bgColor rgb="FFF4F6F7"/>
      </patternFill>
    </fill>
    <fill>
      <patternFill patternType="solid">
        <fgColor rgb="FFFFF9C4"/>
        <bgColor rgb="FFFFF2CC"/>
      </patternFill>
    </fill>
    <fill>
      <patternFill patternType="solid">
        <fgColor rgb="FFFDEBD0"/>
        <bgColor rgb="FFFFF2CC"/>
      </patternFill>
    </fill>
    <fill>
      <patternFill patternType="solid">
        <fgColor rgb="FFFFF5F5"/>
        <bgColor rgb="FFFFF9E6"/>
      </patternFill>
    </fill>
    <fill>
      <patternFill patternType="solid">
        <fgColor rgb="FFEEEEEE"/>
        <bgColor rgb="FFEFEFEF"/>
      </patternFill>
    </fill>
    <fill>
      <patternFill patternType="solid">
        <fgColor rgb="FF6E2F00"/>
        <bgColor rgb="FF7F4000"/>
      </patternFill>
    </fill>
    <fill>
      <patternFill patternType="solid">
        <fgColor rgb="FF4A235A"/>
        <bgColor rgb="FF4A4A4A"/>
      </patternFill>
    </fill>
    <fill>
      <patternFill patternType="solid">
        <fgColor rgb="FFD6EAF8"/>
        <bgColor rgb="FFD6E4F0"/>
      </patternFill>
    </fill>
    <fill>
      <patternFill patternType="solid">
        <fgColor rgb="FF1A5276"/>
        <bgColor rgb="FF1B4F72"/>
      </patternFill>
    </fill>
    <fill>
      <patternFill patternType="solid">
        <fgColor rgb="FFC0392B"/>
        <bgColor rgb="FFB22222"/>
      </patternFill>
    </fill>
    <fill>
      <patternFill patternType="solid">
        <fgColor rgb="FFFFF9E6"/>
        <bgColor rgb="FFFFF5F5"/>
      </patternFill>
    </fill>
    <fill>
      <patternFill patternType="solid">
        <fgColor rgb="FFD6E4F0"/>
        <bgColor rgb="FFD6EAF8"/>
      </patternFill>
    </fill>
    <fill>
      <patternFill patternType="solid">
        <fgColor rgb="FF1E7B1E"/>
        <bgColor rgb="FF2E7D32"/>
      </patternFill>
    </fill>
    <fill>
      <patternFill patternType="solid">
        <fgColor rgb="FFB22222"/>
        <bgColor rgb="FF922B21"/>
      </patternFill>
    </fill>
    <fill>
      <patternFill patternType="solid">
        <fgColor rgb="FF5A5A5A"/>
        <bgColor rgb="FF566573"/>
      </patternFill>
    </fill>
    <fill>
      <patternFill patternType="solid">
        <fgColor rgb="FFE8E8E8"/>
        <bgColor rgb="FFEEEEEE"/>
      </patternFill>
    </fill>
    <fill>
      <patternFill patternType="solid">
        <fgColor rgb="FFF4F6F7"/>
        <bgColor rgb="FFF2F3F4"/>
      </patternFill>
    </fill>
    <fill>
      <patternFill patternType="solid">
        <fgColor rgb="FFFDFEFE"/>
        <bgColor rgb="FFFFFFFF"/>
      </patternFill>
    </fill>
    <fill>
      <patternFill patternType="solid">
        <fgColor rgb="FF154360"/>
        <bgColor rgb="FF1B3F6A"/>
      </patternFill>
    </fill>
    <fill>
      <patternFill patternType="solid">
        <fgColor rgb="FF2980B9"/>
        <bgColor rgb="FF2E75B6"/>
      </patternFill>
    </fill>
  </fills>
  <borders count="8">
    <border>
      <left/>
      <right/>
      <top/>
      <bottom/>
      <diagonal/>
    </border>
    <border>
      <left style="thin">
        <color rgb="FFB0B0B0"/>
      </left>
      <right style="thin">
        <color rgb="FFB0B0B0"/>
      </right>
      <top style="thin">
        <color rgb="FFB0B0B0"/>
      </top>
      <bottom style="thin">
        <color rgb="FFB0B0B0"/>
      </bottom>
      <diagonal/>
    </border>
    <border>
      <left style="thin">
        <color rgb="FFAAAAAA"/>
      </left>
      <right style="thin">
        <color rgb="FFAAAAAA"/>
      </right>
      <top style="thin">
        <color rgb="FFAAAAAA"/>
      </top>
      <bottom style="thin">
        <color rgb="FFAAAAAA"/>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diagonal/>
    </border>
  </borders>
  <cellStyleXfs count="1">
    <xf numFmtId="0" fontId="0" fillId="0" borderId="0"/>
  </cellStyleXfs>
  <cellXfs count="226">
    <xf numFmtId="0" fontId="0" fillId="0" borderId="0" xfId="0"/>
    <xf numFmtId="0" fontId="4" fillId="3" borderId="1" xfId="0" applyFont="1" applyFill="1" applyBorder="1" applyAlignment="1">
      <alignment horizontal="left" vertical="center" wrapText="1"/>
    </xf>
    <xf numFmtId="0" fontId="10" fillId="9"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0" fontId="4" fillId="12" borderId="1"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4" fillId="14" borderId="1"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4" fillId="16"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13" fillId="19"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14" fillId="19" borderId="1" xfId="0" applyFont="1" applyFill="1" applyBorder="1" applyAlignment="1">
      <alignment horizontal="left" vertical="center" wrapText="1"/>
    </xf>
    <xf numFmtId="0" fontId="9" fillId="20" borderId="1" xfId="0" applyFont="1" applyFill="1" applyBorder="1" applyAlignment="1">
      <alignment horizontal="left" vertical="center" wrapText="1"/>
    </xf>
    <xf numFmtId="0" fontId="15" fillId="21" borderId="1" xfId="0" applyFont="1" applyFill="1" applyBorder="1" applyAlignment="1">
      <alignment horizontal="left" vertical="center" wrapText="1"/>
    </xf>
    <xf numFmtId="0" fontId="16" fillId="9" borderId="1" xfId="0" applyFont="1" applyFill="1" applyBorder="1" applyAlignment="1">
      <alignment horizontal="left" vertical="center" wrapText="1"/>
    </xf>
    <xf numFmtId="0" fontId="17" fillId="19" borderId="2" xfId="0" applyFont="1" applyFill="1" applyBorder="1" applyAlignment="1">
      <alignment horizontal="center" vertical="center"/>
    </xf>
    <xf numFmtId="0" fontId="18" fillId="19" borderId="2" xfId="0" applyFont="1" applyFill="1" applyBorder="1" applyAlignment="1">
      <alignment horizontal="left" vertical="center"/>
    </xf>
    <xf numFmtId="0" fontId="17" fillId="19" borderId="2" xfId="0" applyFont="1" applyFill="1" applyBorder="1" applyAlignment="1">
      <alignment horizontal="left" vertical="center" wrapText="1"/>
    </xf>
    <xf numFmtId="0" fontId="8" fillId="7" borderId="2" xfId="0" applyFont="1" applyFill="1" applyBorder="1" applyAlignment="1">
      <alignment horizontal="center" vertical="center"/>
    </xf>
    <xf numFmtId="0" fontId="8" fillId="7" borderId="2" xfId="0" applyFont="1" applyFill="1" applyBorder="1" applyAlignment="1">
      <alignment horizontal="left" vertical="center"/>
    </xf>
    <xf numFmtId="0" fontId="5" fillId="22" borderId="2"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0" fillId="0" borderId="3" xfId="0" applyBorder="1"/>
    <xf numFmtId="0" fontId="0" fillId="0" borderId="4" xfId="0" applyBorder="1"/>
    <xf numFmtId="0" fontId="3" fillId="10" borderId="1" xfId="0" applyFont="1" applyFill="1" applyBorder="1" applyAlignment="1">
      <alignment horizontal="left" vertical="center" wrapText="1"/>
    </xf>
    <xf numFmtId="0" fontId="3" fillId="24" borderId="1" xfId="0" applyFont="1" applyFill="1" applyBorder="1" applyAlignment="1">
      <alignment horizontal="left" vertical="center" wrapText="1"/>
    </xf>
    <xf numFmtId="0" fontId="15" fillId="21" borderId="1" xfId="0" applyFont="1" applyFill="1" applyBorder="1" applyAlignment="1">
      <alignment horizontal="center" vertical="center" wrapText="1"/>
    </xf>
    <xf numFmtId="0" fontId="3" fillId="25"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4" fillId="16"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19" borderId="1" xfId="0" applyFont="1" applyFill="1" applyBorder="1" applyAlignment="1">
      <alignment horizontal="center" vertical="center" wrapText="1"/>
    </xf>
    <xf numFmtId="0" fontId="6" fillId="26" borderId="2" xfId="0" applyFont="1" applyFill="1" applyBorder="1" applyAlignment="1">
      <alignment horizontal="right" vertical="center"/>
    </xf>
    <xf numFmtId="0" fontId="22" fillId="26" borderId="2" xfId="0" applyFont="1" applyFill="1" applyBorder="1" applyAlignment="1">
      <alignment horizontal="center" vertical="center"/>
    </xf>
    <xf numFmtId="0" fontId="20" fillId="26" borderId="2" xfId="0" applyFont="1" applyFill="1" applyBorder="1" applyAlignment="1">
      <alignment horizontal="right" vertical="center"/>
    </xf>
    <xf numFmtId="0" fontId="5" fillId="4"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2" xfId="0" applyFont="1" applyFill="1" applyBorder="1" applyAlignment="1">
      <alignment horizontal="left" vertical="center"/>
    </xf>
    <xf numFmtId="0" fontId="10" fillId="9" borderId="2" xfId="0" applyFont="1" applyFill="1" applyBorder="1" applyAlignment="1">
      <alignment horizontal="center" vertical="center"/>
    </xf>
    <xf numFmtId="0" fontId="4" fillId="27" borderId="2" xfId="0" applyFont="1" applyFill="1" applyBorder="1" applyAlignment="1">
      <alignment horizontal="left" vertical="center"/>
    </xf>
    <xf numFmtId="0" fontId="5" fillId="9" borderId="2" xfId="0" applyFont="1" applyFill="1" applyBorder="1" applyAlignment="1">
      <alignment horizontal="center" vertical="center"/>
    </xf>
    <xf numFmtId="0" fontId="7" fillId="6" borderId="2" xfId="0" applyFont="1" applyFill="1" applyBorder="1" applyAlignment="1">
      <alignment horizontal="center" vertical="center"/>
    </xf>
    <xf numFmtId="0" fontId="24" fillId="19" borderId="2" xfId="0" applyFont="1" applyFill="1" applyBorder="1" applyAlignment="1">
      <alignment horizontal="center" vertical="center"/>
    </xf>
    <xf numFmtId="164" fontId="10" fillId="9" borderId="2" xfId="0" applyNumberFormat="1" applyFont="1" applyFill="1" applyBorder="1" applyAlignment="1">
      <alignment horizontal="center" vertical="center"/>
    </xf>
    <xf numFmtId="0" fontId="10" fillId="4" borderId="2" xfId="0" applyFont="1" applyFill="1" applyBorder="1" applyAlignment="1">
      <alignment horizontal="center" vertical="center"/>
    </xf>
    <xf numFmtId="0" fontId="4" fillId="13" borderId="2" xfId="0" applyFont="1" applyFill="1" applyBorder="1" applyAlignment="1">
      <alignment horizontal="left" vertical="center"/>
    </xf>
    <xf numFmtId="164" fontId="10" fillId="4" borderId="2" xfId="0" applyNumberFormat="1" applyFont="1" applyFill="1" applyBorder="1" applyAlignment="1">
      <alignment horizontal="center" vertical="center"/>
    </xf>
    <xf numFmtId="0" fontId="4" fillId="14" borderId="2" xfId="0" applyFont="1" applyFill="1" applyBorder="1" applyAlignment="1">
      <alignment horizontal="left" vertical="center"/>
    </xf>
    <xf numFmtId="0" fontId="4" fillId="10" borderId="2" xfId="0" applyFont="1" applyFill="1" applyBorder="1" applyAlignment="1">
      <alignment horizontal="left" vertical="center"/>
    </xf>
    <xf numFmtId="0" fontId="4" fillId="15" borderId="2" xfId="0" applyFont="1" applyFill="1" applyBorder="1" applyAlignment="1">
      <alignment horizontal="left" vertical="center"/>
    </xf>
    <xf numFmtId="0" fontId="4" fillId="16" borderId="2" xfId="0" applyFont="1" applyFill="1" applyBorder="1" applyAlignment="1">
      <alignment horizontal="left" vertical="center"/>
    </xf>
    <xf numFmtId="0" fontId="12" fillId="2" borderId="2" xfId="0" applyFont="1" applyFill="1" applyBorder="1" applyAlignment="1">
      <alignment horizontal="center" vertical="center"/>
    </xf>
    <xf numFmtId="164" fontId="12" fillId="2" borderId="2" xfId="0" applyNumberFormat="1" applyFont="1" applyFill="1" applyBorder="1" applyAlignment="1">
      <alignment horizontal="center" vertical="center"/>
    </xf>
    <xf numFmtId="0" fontId="4" fillId="28" borderId="2" xfId="0" applyFont="1" applyFill="1" applyBorder="1" applyAlignment="1">
      <alignment horizontal="center" vertical="center"/>
    </xf>
    <xf numFmtId="0" fontId="4" fillId="28" borderId="2" xfId="0" applyFont="1" applyFill="1" applyBorder="1" applyAlignment="1">
      <alignment horizontal="left" vertical="center"/>
    </xf>
    <xf numFmtId="0" fontId="9" fillId="8" borderId="2" xfId="0" applyFont="1" applyFill="1" applyBorder="1" applyAlignment="1">
      <alignment horizontal="center" vertical="center"/>
    </xf>
    <xf numFmtId="0" fontId="9" fillId="8" borderId="2" xfId="0" applyFont="1" applyFill="1" applyBorder="1" applyAlignment="1">
      <alignment horizontal="left" vertical="center" wrapText="1"/>
    </xf>
    <xf numFmtId="0" fontId="24" fillId="8" borderId="2" xfId="0" applyFont="1" applyFill="1" applyBorder="1" applyAlignment="1">
      <alignment horizontal="center" vertical="center"/>
    </xf>
    <xf numFmtId="0" fontId="9" fillId="29" borderId="2" xfId="0" applyFont="1" applyFill="1" applyBorder="1" applyAlignment="1">
      <alignment horizontal="center" vertical="center"/>
    </xf>
    <xf numFmtId="0" fontId="9" fillId="29" borderId="2" xfId="0" applyFont="1" applyFill="1" applyBorder="1" applyAlignment="1">
      <alignment horizontal="left" vertical="center" wrapText="1"/>
    </xf>
    <xf numFmtId="0" fontId="24" fillId="29" borderId="2"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31" borderId="6" xfId="0" applyFont="1" applyFill="1" applyBorder="1" applyAlignment="1">
      <alignment horizontal="center" vertical="center" wrapText="1"/>
    </xf>
    <xf numFmtId="0" fontId="4" fillId="32" borderId="6" xfId="0" applyFont="1" applyFill="1" applyBorder="1" applyAlignment="1">
      <alignment horizontal="center" vertical="center" wrapText="1"/>
    </xf>
    <xf numFmtId="0" fontId="4" fillId="33" borderId="6" xfId="0" applyFont="1" applyFill="1" applyBorder="1" applyAlignment="1">
      <alignment horizontal="center" vertical="center" wrapText="1"/>
    </xf>
    <xf numFmtId="0" fontId="9" fillId="8" borderId="6" xfId="0" applyFont="1" applyFill="1" applyBorder="1" applyAlignment="1">
      <alignment horizontal="center" vertical="center"/>
    </xf>
    <xf numFmtId="0" fontId="11" fillId="8" borderId="6" xfId="0" applyFont="1" applyFill="1" applyBorder="1" applyAlignment="1">
      <alignment horizontal="center" vertical="center" wrapText="1"/>
    </xf>
    <xf numFmtId="0" fontId="31" fillId="8" borderId="6" xfId="0" applyFont="1" applyFill="1" applyBorder="1" applyAlignment="1">
      <alignment horizontal="left" vertical="center" wrapText="1"/>
    </xf>
    <xf numFmtId="0" fontId="5" fillId="8" borderId="6" xfId="0" applyFont="1" applyFill="1" applyBorder="1" applyAlignment="1">
      <alignment horizontal="left" vertical="center" wrapText="1"/>
    </xf>
    <xf numFmtId="0" fontId="32" fillId="8" borderId="6" xfId="0" applyFont="1" applyFill="1" applyBorder="1" applyAlignment="1">
      <alignment horizontal="center" vertical="center"/>
    </xf>
    <xf numFmtId="0" fontId="32" fillId="8" borderId="6" xfId="0" applyFont="1" applyFill="1" applyBorder="1" applyAlignment="1">
      <alignment horizontal="center" vertical="center" wrapText="1"/>
    </xf>
    <xf numFmtId="0" fontId="32" fillId="8" borderId="6" xfId="0" applyFont="1" applyFill="1" applyBorder="1" applyAlignment="1">
      <alignment horizontal="left" vertical="center" wrapText="1"/>
    </xf>
    <xf numFmtId="0" fontId="34" fillId="35" borderId="6" xfId="0" applyFont="1" applyFill="1" applyBorder="1" applyAlignment="1">
      <alignment horizontal="center" vertical="center"/>
    </xf>
    <xf numFmtId="0" fontId="11" fillId="35" borderId="6" xfId="0" applyFont="1" applyFill="1" applyBorder="1" applyAlignment="1">
      <alignment horizontal="center" vertical="center" wrapText="1"/>
    </xf>
    <xf numFmtId="0" fontId="35" fillId="35" borderId="6" xfId="0" applyFont="1" applyFill="1" applyBorder="1" applyAlignment="1">
      <alignment horizontal="left" vertical="center" wrapText="1"/>
    </xf>
    <xf numFmtId="0" fontId="36" fillId="35" borderId="6" xfId="0" applyFont="1" applyFill="1" applyBorder="1" applyAlignment="1">
      <alignment horizontal="left" vertical="center" wrapText="1"/>
    </xf>
    <xf numFmtId="0" fontId="32" fillId="35" borderId="6" xfId="0" applyFont="1" applyFill="1" applyBorder="1" applyAlignment="1">
      <alignment horizontal="center" vertical="center"/>
    </xf>
    <xf numFmtId="0" fontId="32" fillId="35" borderId="6" xfId="0" applyFont="1" applyFill="1" applyBorder="1" applyAlignment="1">
      <alignment horizontal="center" vertical="center" wrapText="1"/>
    </xf>
    <xf numFmtId="0" fontId="32" fillId="35" borderId="6" xfId="0" applyFont="1" applyFill="1" applyBorder="1" applyAlignment="1">
      <alignment horizontal="left" vertical="center" wrapText="1"/>
    </xf>
    <xf numFmtId="0" fontId="34" fillId="36" borderId="6" xfId="0" applyFont="1" applyFill="1" applyBorder="1" applyAlignment="1">
      <alignment horizontal="center" vertical="center"/>
    </xf>
    <xf numFmtId="0" fontId="11" fillId="36" borderId="6" xfId="0" applyFont="1" applyFill="1" applyBorder="1" applyAlignment="1">
      <alignment horizontal="center" vertical="center" wrapText="1"/>
    </xf>
    <xf numFmtId="0" fontId="35" fillId="36" borderId="6" xfId="0" applyFont="1" applyFill="1" applyBorder="1" applyAlignment="1">
      <alignment horizontal="left" vertical="center" wrapText="1"/>
    </xf>
    <xf numFmtId="0" fontId="36" fillId="36" borderId="6" xfId="0" applyFont="1" applyFill="1" applyBorder="1" applyAlignment="1">
      <alignment horizontal="left" vertical="center" wrapText="1"/>
    </xf>
    <xf numFmtId="0" fontId="32" fillId="36" borderId="6" xfId="0" applyFont="1" applyFill="1" applyBorder="1" applyAlignment="1">
      <alignment horizontal="center" vertical="center"/>
    </xf>
    <xf numFmtId="0" fontId="32" fillId="36" borderId="6" xfId="0" applyFont="1" applyFill="1" applyBorder="1" applyAlignment="1">
      <alignment horizontal="center" vertical="center" wrapText="1"/>
    </xf>
    <xf numFmtId="0" fontId="32" fillId="36" borderId="6" xfId="0" applyFont="1" applyFill="1" applyBorder="1" applyAlignment="1">
      <alignment horizontal="left" vertical="center" wrapText="1"/>
    </xf>
    <xf numFmtId="0" fontId="10" fillId="4" borderId="6" xfId="0" applyFont="1" applyFill="1" applyBorder="1" applyAlignment="1">
      <alignment horizontal="center" vertical="center"/>
    </xf>
    <xf numFmtId="0" fontId="11" fillId="4" borderId="6" xfId="0" applyFont="1" applyFill="1" applyBorder="1" applyAlignment="1">
      <alignment horizontal="center" vertical="center" wrapText="1"/>
    </xf>
    <xf numFmtId="0" fontId="31" fillId="4" borderId="6" xfId="0" applyFont="1" applyFill="1" applyBorder="1" applyAlignment="1">
      <alignment horizontal="left" vertical="center" wrapText="1"/>
    </xf>
    <xf numFmtId="0" fontId="5" fillId="4" borderId="6" xfId="0" applyFont="1" applyFill="1" applyBorder="1" applyAlignment="1">
      <alignment horizontal="left" vertical="center" wrapText="1"/>
    </xf>
    <xf numFmtId="0" fontId="32" fillId="4" borderId="6" xfId="0" applyFont="1" applyFill="1" applyBorder="1" applyAlignment="1">
      <alignment horizontal="center" vertical="center"/>
    </xf>
    <xf numFmtId="0" fontId="32" fillId="4" borderId="6" xfId="0" applyFont="1" applyFill="1" applyBorder="1" applyAlignment="1">
      <alignment horizontal="center" vertical="center" wrapText="1"/>
    </xf>
    <xf numFmtId="0" fontId="32" fillId="4" borderId="6" xfId="0" applyFont="1" applyFill="1" applyBorder="1" applyAlignment="1">
      <alignment horizontal="left" vertical="center" wrapText="1"/>
    </xf>
    <xf numFmtId="0" fontId="10" fillId="9" borderId="6" xfId="0" applyFont="1" applyFill="1" applyBorder="1" applyAlignment="1">
      <alignment horizontal="center" vertical="center"/>
    </xf>
    <xf numFmtId="0" fontId="11" fillId="9" borderId="6" xfId="0" applyFont="1" applyFill="1" applyBorder="1" applyAlignment="1">
      <alignment horizontal="center" vertical="center" wrapText="1"/>
    </xf>
    <xf numFmtId="0" fontId="31" fillId="9" borderId="6" xfId="0" applyFont="1" applyFill="1" applyBorder="1" applyAlignment="1">
      <alignment horizontal="left" vertical="center" wrapText="1"/>
    </xf>
    <xf numFmtId="0" fontId="5" fillId="9" borderId="6" xfId="0" applyFont="1" applyFill="1" applyBorder="1" applyAlignment="1">
      <alignment horizontal="left" vertical="center" wrapText="1"/>
    </xf>
    <xf numFmtId="0" fontId="32" fillId="9" borderId="6" xfId="0" applyFont="1" applyFill="1" applyBorder="1" applyAlignment="1">
      <alignment horizontal="center" vertical="center"/>
    </xf>
    <xf numFmtId="0" fontId="32" fillId="9" borderId="6" xfId="0" applyFont="1" applyFill="1" applyBorder="1" applyAlignment="1">
      <alignment horizontal="center" vertical="center" wrapText="1"/>
    </xf>
    <xf numFmtId="0" fontId="32" fillId="9" borderId="6" xfId="0" applyFont="1" applyFill="1" applyBorder="1" applyAlignment="1">
      <alignment horizontal="left" vertical="center" wrapText="1"/>
    </xf>
    <xf numFmtId="0" fontId="35" fillId="8" borderId="6" xfId="0" applyFont="1" applyFill="1" applyBorder="1" applyAlignment="1">
      <alignment horizontal="left" vertical="center" wrapText="1"/>
    </xf>
    <xf numFmtId="0" fontId="36" fillId="8" borderId="6" xfId="0" applyFont="1" applyFill="1" applyBorder="1" applyAlignment="1">
      <alignment horizontal="left" vertical="center" wrapText="1"/>
    </xf>
    <xf numFmtId="0" fontId="38" fillId="8" borderId="6" xfId="0" applyFont="1" applyFill="1" applyBorder="1" applyAlignment="1">
      <alignment horizontal="left" vertical="center" wrapText="1"/>
    </xf>
    <xf numFmtId="0" fontId="39" fillId="8" borderId="6" xfId="0" applyFont="1" applyFill="1" applyBorder="1" applyAlignment="1">
      <alignment horizontal="left" vertical="center" wrapText="1"/>
    </xf>
    <xf numFmtId="0" fontId="40" fillId="26" borderId="6" xfId="0" applyFont="1" applyFill="1" applyBorder="1" applyAlignment="1">
      <alignment horizontal="center" vertical="center"/>
    </xf>
    <xf numFmtId="0" fontId="11" fillId="26" borderId="6" xfId="0" applyFont="1" applyFill="1" applyBorder="1" applyAlignment="1">
      <alignment horizontal="center" vertical="center" wrapText="1"/>
    </xf>
    <xf numFmtId="0" fontId="38" fillId="26" borderId="6" xfId="0" applyFont="1" applyFill="1" applyBorder="1" applyAlignment="1">
      <alignment horizontal="left" vertical="center" wrapText="1"/>
    </xf>
    <xf numFmtId="0" fontId="39" fillId="26" borderId="6" xfId="0" applyFont="1" applyFill="1" applyBorder="1" applyAlignment="1">
      <alignment horizontal="left" vertical="center" wrapText="1"/>
    </xf>
    <xf numFmtId="0" fontId="32" fillId="26" borderId="6" xfId="0" applyFont="1" applyFill="1" applyBorder="1" applyAlignment="1">
      <alignment horizontal="center" vertical="center"/>
    </xf>
    <xf numFmtId="0" fontId="32" fillId="26" borderId="6" xfId="0" applyFont="1" applyFill="1" applyBorder="1" applyAlignment="1">
      <alignment horizontal="center" vertical="center" wrapText="1"/>
    </xf>
    <xf numFmtId="0" fontId="32" fillId="26" borderId="6" xfId="0" applyFont="1" applyFill="1" applyBorder="1" applyAlignment="1">
      <alignment horizontal="left" vertical="center" wrapText="1"/>
    </xf>
    <xf numFmtId="0" fontId="4" fillId="3" borderId="6" xfId="0" applyFont="1" applyFill="1" applyBorder="1" applyAlignment="1">
      <alignment horizontal="center" vertical="center" wrapText="1"/>
    </xf>
    <xf numFmtId="0" fontId="41" fillId="9" borderId="6" xfId="0" applyFont="1" applyFill="1" applyBorder="1" applyAlignment="1">
      <alignment horizontal="left" vertical="center" wrapText="1"/>
    </xf>
    <xf numFmtId="164" fontId="32" fillId="9" borderId="6" xfId="0" applyNumberFormat="1" applyFont="1" applyFill="1" applyBorder="1" applyAlignment="1">
      <alignment horizontal="center" vertical="center" wrapText="1"/>
    </xf>
    <xf numFmtId="0" fontId="41" fillId="4" borderId="6" xfId="0" applyFont="1" applyFill="1" applyBorder="1" applyAlignment="1">
      <alignment horizontal="left" vertical="center" wrapText="1"/>
    </xf>
    <xf numFmtId="164" fontId="32" fillId="4" borderId="6" xfId="0" applyNumberFormat="1" applyFont="1" applyFill="1" applyBorder="1" applyAlignment="1">
      <alignment horizontal="center" vertical="center" wrapText="1"/>
    </xf>
    <xf numFmtId="164" fontId="4" fillId="2" borderId="6" xfId="0" applyNumberFormat="1" applyFont="1" applyFill="1" applyBorder="1" applyAlignment="1">
      <alignment horizontal="center" vertical="center" wrapText="1"/>
    </xf>
    <xf numFmtId="0" fontId="16" fillId="30" borderId="6" xfId="0" applyFont="1" applyFill="1" applyBorder="1" applyAlignment="1">
      <alignment horizontal="right" vertical="center" wrapText="1"/>
    </xf>
    <xf numFmtId="0" fontId="0" fillId="0" borderId="6" xfId="0" applyBorder="1"/>
    <xf numFmtId="165" fontId="32" fillId="9" borderId="6" xfId="0" applyNumberFormat="1" applyFont="1" applyFill="1" applyBorder="1" applyAlignment="1">
      <alignment horizontal="center" vertical="center" wrapText="1"/>
    </xf>
    <xf numFmtId="165" fontId="32" fillId="4" borderId="6" xfId="0" applyNumberFormat="1" applyFont="1" applyFill="1" applyBorder="1" applyAlignment="1">
      <alignment horizontal="center" vertical="center" wrapText="1"/>
    </xf>
    <xf numFmtId="0" fontId="32" fillId="0" borderId="6" xfId="0" applyFont="1" applyBorder="1" applyAlignment="1">
      <alignment horizontal="center" vertical="center"/>
    </xf>
    <xf numFmtId="0" fontId="0" fillId="8" borderId="6" xfId="0" applyFill="1" applyBorder="1" applyAlignment="1">
      <alignment horizontal="center" vertical="center"/>
    </xf>
    <xf numFmtId="0" fontId="0" fillId="9" borderId="6" xfId="0" applyFill="1" applyBorder="1" applyAlignment="1">
      <alignment horizontal="left" vertical="center" wrapText="1"/>
    </xf>
    <xf numFmtId="0" fontId="0" fillId="4" borderId="6" xfId="0" applyFill="1" applyBorder="1" applyAlignment="1">
      <alignment horizontal="center" vertical="center"/>
    </xf>
    <xf numFmtId="0" fontId="0" fillId="4" borderId="6" xfId="0" applyFill="1" applyBorder="1" applyAlignment="1">
      <alignment horizontal="left" vertical="center" wrapText="1"/>
    </xf>
    <xf numFmtId="0" fontId="0" fillId="9" borderId="6" xfId="0" applyFill="1" applyBorder="1" applyAlignment="1">
      <alignment horizontal="center" vertical="center"/>
    </xf>
    <xf numFmtId="0" fontId="10" fillId="9" borderId="6" xfId="0" applyFont="1" applyFill="1" applyBorder="1" applyAlignment="1">
      <alignment horizontal="left" vertical="center" wrapText="1"/>
    </xf>
    <xf numFmtId="10" fontId="4" fillId="2" borderId="6" xfId="0" applyNumberFormat="1" applyFont="1" applyFill="1" applyBorder="1" applyAlignment="1">
      <alignment horizontal="center" vertical="center" wrapText="1"/>
    </xf>
    <xf numFmtId="0" fontId="41" fillId="8" borderId="6" xfId="0" applyFont="1" applyFill="1" applyBorder="1" applyAlignment="1">
      <alignment horizontal="center" vertical="center"/>
    </xf>
    <xf numFmtId="0" fontId="41" fillId="9" borderId="6" xfId="0" applyFont="1" applyFill="1" applyBorder="1" applyAlignment="1">
      <alignment horizontal="center" vertical="center"/>
    </xf>
    <xf numFmtId="0" fontId="41" fillId="4" borderId="6" xfId="0" applyFont="1" applyFill="1" applyBorder="1" applyAlignment="1">
      <alignment horizontal="center" vertical="center"/>
    </xf>
    <xf numFmtId="0" fontId="10" fillId="4" borderId="6"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5" fillId="8" borderId="6" xfId="0" applyFont="1" applyFill="1" applyBorder="1" applyAlignment="1">
      <alignment horizontal="center" vertical="center" wrapText="1"/>
    </xf>
    <xf numFmtId="0" fontId="10" fillId="9" borderId="6"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0" fillId="9" borderId="6" xfId="0" applyFill="1" applyBorder="1"/>
    <xf numFmtId="0" fontId="0" fillId="4" borderId="6" xfId="0" applyFill="1" applyBorder="1"/>
    <xf numFmtId="0" fontId="30" fillId="8" borderId="0" xfId="0" applyFont="1" applyFill="1" applyAlignment="1">
      <alignment horizontal="left" vertical="center" wrapText="1"/>
    </xf>
    <xf numFmtId="0" fontId="0" fillId="0" borderId="0" xfId="0"/>
    <xf numFmtId="0" fontId="3" fillId="2"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42" fillId="3" borderId="5" xfId="0" applyFont="1" applyFill="1" applyBorder="1" applyAlignment="1">
      <alignment horizontal="center" vertical="center" wrapText="1"/>
    </xf>
    <xf numFmtId="0" fontId="16" fillId="30" borderId="5" xfId="0" applyFont="1" applyFill="1" applyBorder="1" applyAlignment="1">
      <alignment horizontal="left" vertical="center" wrapText="1"/>
    </xf>
    <xf numFmtId="0" fontId="5" fillId="4" borderId="5"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12" fillId="13"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12" fillId="14" borderId="1" xfId="0" applyFont="1" applyFill="1" applyBorder="1" applyAlignment="1">
      <alignment horizontal="left" vertical="center" wrapText="1"/>
    </xf>
    <xf numFmtId="0" fontId="12" fillId="17" borderId="1" xfId="0" applyFont="1" applyFill="1" applyBorder="1" applyAlignment="1">
      <alignment horizontal="left" vertical="center" wrapText="1"/>
    </xf>
    <xf numFmtId="0" fontId="1"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5" fillId="4" borderId="2" xfId="0" applyFont="1" applyFill="1" applyBorder="1" applyAlignment="1">
      <alignment horizontal="left" vertical="center"/>
    </xf>
    <xf numFmtId="0" fontId="23" fillId="8" borderId="2" xfId="0" applyFont="1" applyFill="1" applyBorder="1" applyAlignment="1">
      <alignment horizontal="left" vertical="center"/>
    </xf>
    <xf numFmtId="0" fontId="3" fillId="2" borderId="2" xfId="0" applyFont="1" applyFill="1" applyBorder="1" applyAlignment="1">
      <alignment horizontal="left" vertical="center"/>
    </xf>
    <xf numFmtId="0" fontId="12" fillId="2" borderId="2" xfId="0" applyFont="1" applyFill="1" applyBorder="1" applyAlignment="1">
      <alignment horizontal="left" vertical="center"/>
    </xf>
    <xf numFmtId="0" fontId="3" fillId="11" borderId="2" xfId="0" applyFont="1" applyFill="1" applyBorder="1" applyAlignment="1">
      <alignment horizontal="left" vertical="center"/>
    </xf>
    <xf numFmtId="0" fontId="4" fillId="28" borderId="2" xfId="0" applyFont="1" applyFill="1" applyBorder="1" applyAlignment="1">
      <alignment horizontal="center" vertical="center"/>
    </xf>
    <xf numFmtId="0" fontId="11" fillId="8" borderId="2" xfId="0" applyFont="1" applyFill="1" applyBorder="1" applyAlignment="1">
      <alignment horizontal="left" vertical="center"/>
    </xf>
    <xf numFmtId="0" fontId="11" fillId="29" borderId="2" xfId="0" applyFont="1" applyFill="1" applyBorder="1" applyAlignment="1">
      <alignment horizontal="left" vertical="center"/>
    </xf>
    <xf numFmtId="0" fontId="12" fillId="27" borderId="2" xfId="0" applyFont="1" applyFill="1" applyBorder="1" applyAlignment="1">
      <alignment horizontal="left" vertical="center"/>
    </xf>
    <xf numFmtId="0" fontId="7" fillId="6" borderId="2" xfId="0" applyFont="1" applyFill="1" applyBorder="1" applyAlignment="1">
      <alignment horizontal="center" vertical="center"/>
    </xf>
    <xf numFmtId="0" fontId="25" fillId="6" borderId="2" xfId="0" applyFont="1" applyFill="1" applyBorder="1" applyAlignment="1">
      <alignment horizontal="left" vertical="center"/>
    </xf>
    <xf numFmtId="0" fontId="9" fillId="20" borderId="2" xfId="0" applyFont="1" applyFill="1" applyBorder="1" applyAlignment="1">
      <alignment horizontal="center" vertical="center"/>
    </xf>
    <xf numFmtId="0" fontId="26" fillId="20" borderId="2" xfId="0" applyFont="1" applyFill="1" applyBorder="1" applyAlignment="1">
      <alignment horizontal="left" vertical="center"/>
    </xf>
    <xf numFmtId="0" fontId="8" fillId="7" borderId="2" xfId="0" applyFont="1" applyFill="1" applyBorder="1" applyAlignment="1">
      <alignment horizontal="center" vertical="center"/>
    </xf>
    <xf numFmtId="0" fontId="27" fillId="7" borderId="2" xfId="0" applyFont="1" applyFill="1" applyBorder="1" applyAlignment="1">
      <alignment horizontal="left" vertical="center"/>
    </xf>
    <xf numFmtId="0" fontId="14" fillId="19" borderId="2" xfId="0" applyFont="1" applyFill="1" applyBorder="1" applyAlignment="1">
      <alignment horizontal="center" vertical="center"/>
    </xf>
    <xf numFmtId="0" fontId="24" fillId="19" borderId="2" xfId="0" applyFont="1" applyFill="1" applyBorder="1" applyAlignment="1">
      <alignment horizontal="left" vertical="center"/>
    </xf>
    <xf numFmtId="0" fontId="10" fillId="4"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0" fillId="23" borderId="2" xfId="0" applyFill="1" applyBorder="1"/>
    <xf numFmtId="0" fontId="4" fillId="3" borderId="1" xfId="0" applyFont="1" applyFill="1" applyBorder="1" applyAlignment="1">
      <alignment horizontal="left" vertical="center" wrapText="1"/>
    </xf>
    <xf numFmtId="0" fontId="12" fillId="25" borderId="1" xfId="0" applyFont="1" applyFill="1" applyBorder="1" applyAlignment="1">
      <alignment horizontal="left" vertical="center" wrapText="1"/>
    </xf>
    <xf numFmtId="0" fontId="12" fillId="10" borderId="1" xfId="0" applyFont="1" applyFill="1" applyBorder="1" applyAlignment="1">
      <alignment horizontal="left" vertical="center" wrapText="1"/>
    </xf>
    <xf numFmtId="0" fontId="12" fillId="15" borderId="1" xfId="0" applyFont="1" applyFill="1" applyBorder="1" applyAlignment="1">
      <alignment horizontal="left" vertical="center" wrapText="1"/>
    </xf>
    <xf numFmtId="0" fontId="12" fillId="16" borderId="1" xfId="0" applyFont="1" applyFill="1" applyBorder="1" applyAlignment="1">
      <alignment horizontal="left" vertical="center" wrapText="1"/>
    </xf>
    <xf numFmtId="0" fontId="12" fillId="3" borderId="5" xfId="0" applyFont="1" applyFill="1" applyBorder="1" applyAlignment="1">
      <alignment horizontal="center" vertical="center" wrapText="1"/>
    </xf>
    <xf numFmtId="0" fontId="12" fillId="2" borderId="5" xfId="0" applyFont="1" applyFill="1" applyBorder="1" applyAlignment="1">
      <alignment horizontal="left" vertical="center" wrapText="1"/>
    </xf>
    <xf numFmtId="0" fontId="16" fillId="30" borderId="5" xfId="0" applyFont="1" applyFill="1" applyBorder="1" applyAlignment="1">
      <alignment horizontal="right" vertical="center" wrapText="1"/>
    </xf>
    <xf numFmtId="0" fontId="0" fillId="0" borderId="5" xfId="0" applyBorder="1"/>
    <xf numFmtId="0" fontId="28" fillId="2"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9" fillId="5" borderId="0" xfId="0" applyFont="1" applyFill="1" applyAlignment="1">
      <alignment horizontal="left" vertical="center"/>
    </xf>
    <xf numFmtId="0" fontId="30" fillId="8" borderId="0" xfId="0" applyFont="1" applyFill="1" applyAlignment="1">
      <alignment horizontal="left" vertical="center"/>
    </xf>
    <xf numFmtId="0" fontId="12" fillId="12" borderId="5" xfId="0" applyFont="1" applyFill="1" applyBorder="1" applyAlignment="1">
      <alignment horizontal="left" vertical="center"/>
    </xf>
    <xf numFmtId="0" fontId="33" fillId="34" borderId="5" xfId="0" applyFont="1" applyFill="1" applyBorder="1" applyAlignment="1">
      <alignment horizontal="left" vertical="center" wrapText="1"/>
    </xf>
    <xf numFmtId="0" fontId="37" fillId="27" borderId="5" xfId="0" applyFont="1" applyFill="1" applyBorder="1" applyAlignment="1">
      <alignment horizontal="left" vertical="center"/>
    </xf>
    <xf numFmtId="0" fontId="33" fillId="34" borderId="6" xfId="0" applyFont="1" applyFill="1" applyBorder="1" applyAlignment="1">
      <alignment horizontal="left" vertical="center" wrapText="1"/>
    </xf>
    <xf numFmtId="0" fontId="3" fillId="2" borderId="5" xfId="0" applyFont="1" applyFill="1" applyBorder="1" applyAlignment="1">
      <alignment horizontal="center" vertical="center"/>
    </xf>
    <xf numFmtId="0" fontId="3" fillId="37" borderId="5" xfId="0" applyFont="1" applyFill="1" applyBorder="1" applyAlignment="1">
      <alignment horizontal="center" vertical="center"/>
    </xf>
    <xf numFmtId="0" fontId="12" fillId="38" borderId="5" xfId="0" applyFont="1" applyFill="1" applyBorder="1" applyAlignment="1">
      <alignment horizontal="left" vertical="center"/>
    </xf>
    <xf numFmtId="0" fontId="3" fillId="25" borderId="5" xfId="0" applyFont="1" applyFill="1" applyBorder="1" applyAlignment="1">
      <alignment horizontal="center" vertical="center"/>
    </xf>
    <xf numFmtId="0" fontId="12" fillId="10" borderId="5" xfId="0" applyFont="1" applyFill="1" applyBorder="1" applyAlignment="1">
      <alignment horizontal="left" vertical="center"/>
    </xf>
    <xf numFmtId="0" fontId="0" fillId="0" borderId="6" xfId="0" applyBorder="1"/>
    <xf numFmtId="0" fontId="16" fillId="30" borderId="6" xfId="0" applyFont="1" applyFill="1" applyBorder="1" applyAlignment="1">
      <alignment horizontal="right" vertical="center" wrapText="1"/>
    </xf>
    <xf numFmtId="0" fontId="32" fillId="0" borderId="7" xfId="0" applyFont="1" applyBorder="1" applyAlignment="1">
      <alignment horizontal="center" vertical="center" wrapText="1"/>
    </xf>
    <xf numFmtId="0" fontId="43" fillId="0" borderId="5" xfId="0" applyFont="1" applyBorder="1" applyAlignment="1">
      <alignment horizontal="center" vertical="center" wrapText="1"/>
    </xf>
    <xf numFmtId="0" fontId="44" fillId="0" borderId="0" xfId="0" applyFont="1"/>
  </cellXfs>
  <cellStyles count="1">
    <cellStyle name="Normal" xfId="0" builtinId="0"/>
  </cellStyles>
  <dxfs count="21">
    <dxf>
      <fill>
        <patternFill>
          <bgColor rgb="FFEFEFEF"/>
        </patternFill>
      </fill>
    </dxf>
    <dxf>
      <fill>
        <patternFill>
          <bgColor rgb="FFFCE4D6"/>
        </patternFill>
      </fill>
    </dxf>
    <dxf>
      <fill>
        <patternFill>
          <bgColor rgb="FFE2EFDA"/>
        </patternFill>
      </fill>
    </dxf>
    <dxf>
      <fill>
        <patternFill>
          <bgColor rgb="FFEFEFEF"/>
        </patternFill>
      </fill>
    </dxf>
    <dxf>
      <fill>
        <patternFill>
          <bgColor rgb="FFFCE4D6"/>
        </patternFill>
      </fill>
    </dxf>
    <dxf>
      <fill>
        <patternFill>
          <bgColor rgb="FFE2EFDA"/>
        </patternFill>
      </fill>
    </dxf>
    <dxf>
      <fill>
        <patternFill>
          <bgColor rgb="FFEFEFEF"/>
        </patternFill>
      </fill>
    </dxf>
    <dxf>
      <fill>
        <patternFill>
          <bgColor rgb="FFFCE4D6"/>
        </patternFill>
      </fill>
    </dxf>
    <dxf>
      <fill>
        <patternFill>
          <bgColor rgb="FFE2EFDA"/>
        </patternFill>
      </fill>
    </dxf>
    <dxf>
      <fill>
        <patternFill>
          <bgColor rgb="FFEFEFEF"/>
        </patternFill>
      </fill>
    </dxf>
    <dxf>
      <fill>
        <patternFill>
          <bgColor rgb="FFFCE4D6"/>
        </patternFill>
      </fill>
    </dxf>
    <dxf>
      <fill>
        <patternFill>
          <bgColor rgb="FFE2EFDA"/>
        </patternFill>
      </fill>
    </dxf>
    <dxf>
      <fill>
        <patternFill>
          <bgColor rgb="FFEFEFEF"/>
        </patternFill>
      </fill>
    </dxf>
    <dxf>
      <fill>
        <patternFill>
          <bgColor rgb="FFFCE4D6"/>
        </patternFill>
      </fill>
    </dxf>
    <dxf>
      <fill>
        <patternFill>
          <bgColor rgb="FFE2EFDA"/>
        </patternFill>
      </fill>
    </dxf>
    <dxf>
      <fill>
        <patternFill>
          <bgColor rgb="FFEFEFEF"/>
        </patternFill>
      </fill>
    </dxf>
    <dxf>
      <fill>
        <patternFill>
          <bgColor rgb="FFFCE4D6"/>
        </patternFill>
      </fill>
    </dxf>
    <dxf>
      <fill>
        <patternFill>
          <bgColor rgb="FFE2EFDA"/>
        </patternFill>
      </fill>
    </dxf>
    <dxf>
      <fill>
        <patternFill>
          <bgColor rgb="FFEFEFEF"/>
        </patternFill>
      </fill>
    </dxf>
    <dxf>
      <fill>
        <patternFill>
          <bgColor rgb="FFFCE4D6"/>
        </patternFill>
      </fill>
    </dxf>
    <dxf>
      <fill>
        <patternFill>
          <bgColor rgb="FFE2EFDA"/>
        </patternFill>
      </fill>
    </dxf>
  </dxfs>
  <tableStyles count="0" defaultTableStyle="TableStyleMedium2" defaultPivotStyle="PivotStyleLight16"/>
  <colors>
    <indexedColors>
      <rgbColor rgb="FF000000"/>
      <rgbColor rgb="FFFFFFFF"/>
      <rgbColor rgb="FFFF0000"/>
      <rgbColor rgb="FFFDFEFE"/>
      <rgbColor rgb="FF1A5276"/>
      <rgbColor rgb="FFFFF9E6"/>
      <rgbColor rgb="FFFF00FF"/>
      <rgbColor rgb="FFF4F6F7"/>
      <rgbColor rgb="FFB22222"/>
      <rgbColor rgb="FF1E7B1E"/>
      <rgbColor rgb="FF0B4F6C"/>
      <rgbColor rgb="FFB7950B"/>
      <rgbColor rgb="FF884EA0"/>
      <rgbColor rgb="FF117A65"/>
      <rgbColor rgb="FFBFBFBF"/>
      <rgbColor rgb="FF888888"/>
      <rgbColor rgb="FFB0B0B0"/>
      <rgbColor rgb="FF7D3C98"/>
      <rgbColor rgb="FFFFF9C4"/>
      <rgbColor rgb="FFD6EAF8"/>
      <rgbColor rgb="FF784212"/>
      <rgbColor rgb="FF566573"/>
      <rgbColor rgb="FF1F618D"/>
      <rgbColor rgb="FFD6E4F0"/>
      <rgbColor rgb="FF1B4F72"/>
      <rgbColor rgb="FFFF00FF"/>
      <rgbColor rgb="FFEFEFEF"/>
      <rgbColor rgb="FFF7FBFF"/>
      <rgbColor rgb="FF4A4A4A"/>
      <rgbColor rgb="FF7F4000"/>
      <rgbColor rgb="FF2980B9"/>
      <rgbColor rgb="FF0000FF"/>
      <rgbColor rgb="FF1D6A39"/>
      <rgbColor rgb="FFEBF5FB"/>
      <rgbColor rgb="FFE2EFDA"/>
      <rgbColor rgb="FFFFF2CC"/>
      <rgbColor rgb="FFE8E8E8"/>
      <rgbColor rgb="FFFDEBD0"/>
      <rgbColor rgb="FFEEEEEE"/>
      <rgbColor rgb="FFFCE4D6"/>
      <rgbColor rgb="FF2E75B6"/>
      <rgbColor rgb="FF2E7D32"/>
      <rgbColor rgb="FF5A5A5A"/>
      <rgbColor rgb="FFF2F3F4"/>
      <rgbColor rgb="FFFFF5F5"/>
      <rgbColor rgb="FFC0392B"/>
      <rgbColor rgb="FF5D6D7E"/>
      <rgbColor rgb="FFAAAAAA"/>
      <rgbColor rgb="FF154360"/>
      <rgbColor rgb="FF1E8449"/>
      <rgbColor rgb="FF0B3D0B"/>
      <rgbColor rgb="FF6E2F00"/>
      <rgbColor rgb="FFA04000"/>
      <rgbColor rgb="FF922B21"/>
      <rgbColor rgb="FF1B3F6A"/>
      <rgbColor rgb="FF4A235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618D"/>
    <pageSetUpPr fitToPage="1"/>
  </sheetPr>
  <dimension ref="A1:E66"/>
  <sheetViews>
    <sheetView showGridLines="0" zoomScaleNormal="100" workbookViewId="0">
      <pane ySplit="2" topLeftCell="A59" activePane="bottomLeft" state="frozen"/>
      <selection pane="bottomLeft" activeCell="C77" activeCellId="1" sqref="B68 C77"/>
    </sheetView>
  </sheetViews>
  <sheetFormatPr baseColWidth="10" defaultColWidth="8.6640625" defaultRowHeight="14.4" x14ac:dyDescent="0.3"/>
  <cols>
    <col min="1" max="1" width="4" customWidth="1"/>
    <col min="2" max="2" width="24" customWidth="1"/>
    <col min="3" max="3" width="60" customWidth="1"/>
    <col min="4" max="4" width="26" customWidth="1"/>
    <col min="5" max="5" width="10" customWidth="1"/>
  </cols>
  <sheetData>
    <row r="1" spans="1:5" ht="36" customHeight="1" x14ac:dyDescent="0.3">
      <c r="A1" s="168" t="s">
        <v>0</v>
      </c>
      <c r="B1" s="168"/>
      <c r="C1" s="168"/>
      <c r="D1" s="168"/>
      <c r="E1" s="168"/>
    </row>
    <row r="2" spans="1:5" ht="18" customHeight="1" x14ac:dyDescent="0.3">
      <c r="A2" s="169" t="s">
        <v>1</v>
      </c>
      <c r="B2" s="169"/>
      <c r="C2" s="169"/>
      <c r="D2" s="169"/>
      <c r="E2" s="169"/>
    </row>
    <row r="4" spans="1:5" ht="25.5" customHeight="1" x14ac:dyDescent="0.3">
      <c r="A4" s="170" t="s">
        <v>2</v>
      </c>
      <c r="B4" s="170"/>
      <c r="C4" s="170"/>
      <c r="D4" s="170"/>
      <c r="E4" s="170"/>
    </row>
    <row r="5" spans="1:5" ht="18" customHeight="1" x14ac:dyDescent="0.3">
      <c r="B5" s="6" t="s">
        <v>3</v>
      </c>
      <c r="C5" s="6" t="s">
        <v>4</v>
      </c>
      <c r="D5" s="171"/>
      <c r="E5" s="171"/>
    </row>
    <row r="6" spans="1:5" ht="33.75" customHeight="1" x14ac:dyDescent="0.3">
      <c r="A6" s="5"/>
      <c r="B6" s="7" t="s">
        <v>5</v>
      </c>
      <c r="C6" s="172" t="s">
        <v>6</v>
      </c>
      <c r="D6" s="172"/>
      <c r="E6" s="172"/>
    </row>
    <row r="7" spans="1:5" ht="33.75" customHeight="1" x14ac:dyDescent="0.3">
      <c r="A7" s="5"/>
      <c r="B7" s="8" t="s">
        <v>7</v>
      </c>
      <c r="C7" s="172" t="s">
        <v>8</v>
      </c>
      <c r="D7" s="172"/>
      <c r="E7" s="172"/>
    </row>
    <row r="8" spans="1:5" ht="33.75" customHeight="1" x14ac:dyDescent="0.3">
      <c r="A8" s="5"/>
      <c r="B8" s="9" t="s">
        <v>9</v>
      </c>
      <c r="C8" s="172" t="s">
        <v>10</v>
      </c>
      <c r="D8" s="172"/>
      <c r="E8" s="172"/>
    </row>
    <row r="9" spans="1:5" ht="33.75" customHeight="1" x14ac:dyDescent="0.3">
      <c r="A9" s="5"/>
      <c r="B9" s="10" t="s">
        <v>11</v>
      </c>
      <c r="C9" s="172" t="s">
        <v>12</v>
      </c>
      <c r="D9" s="172"/>
      <c r="E9" s="172"/>
    </row>
    <row r="11" spans="1:5" ht="25.5" customHeight="1" x14ac:dyDescent="0.3">
      <c r="A11" s="170" t="s">
        <v>13</v>
      </c>
      <c r="B11" s="170"/>
      <c r="C11" s="170"/>
      <c r="D11" s="170"/>
      <c r="E11" s="170"/>
    </row>
    <row r="12" spans="1:5" ht="19.5" customHeight="1" x14ac:dyDescent="0.3">
      <c r="A12" s="6" t="s">
        <v>14</v>
      </c>
      <c r="B12" s="6" t="s">
        <v>15</v>
      </c>
      <c r="C12" s="1" t="s">
        <v>16</v>
      </c>
      <c r="D12" s="1" t="s">
        <v>17</v>
      </c>
      <c r="E12" s="6"/>
    </row>
    <row r="13" spans="1:5" ht="30" customHeight="1" x14ac:dyDescent="0.3">
      <c r="A13" s="2" t="s">
        <v>18</v>
      </c>
      <c r="B13" s="11" t="s">
        <v>19</v>
      </c>
      <c r="C13" s="4" t="s">
        <v>20</v>
      </c>
      <c r="D13" s="12" t="s">
        <v>21</v>
      </c>
      <c r="E13" s="4"/>
    </row>
    <row r="14" spans="1:5" ht="30" customHeight="1" x14ac:dyDescent="0.3">
      <c r="A14" s="3" t="s">
        <v>22</v>
      </c>
      <c r="B14" s="13" t="s">
        <v>23</v>
      </c>
      <c r="C14" s="5" t="s">
        <v>24</v>
      </c>
      <c r="D14" s="14" t="s">
        <v>25</v>
      </c>
      <c r="E14" s="5"/>
    </row>
    <row r="15" spans="1:5" ht="30" customHeight="1" x14ac:dyDescent="0.3">
      <c r="A15" s="2" t="s">
        <v>26</v>
      </c>
      <c r="B15" s="15" t="s">
        <v>27</v>
      </c>
      <c r="C15" s="4" t="s">
        <v>28</v>
      </c>
      <c r="D15" s="12" t="s">
        <v>29</v>
      </c>
      <c r="E15" s="4"/>
    </row>
    <row r="16" spans="1:5" ht="30" customHeight="1" x14ac:dyDescent="0.3">
      <c r="A16" s="3" t="s">
        <v>30</v>
      </c>
      <c r="B16" s="1" t="s">
        <v>31</v>
      </c>
      <c r="C16" s="5" t="s">
        <v>32</v>
      </c>
      <c r="D16" s="14" t="s">
        <v>33</v>
      </c>
      <c r="E16" s="5"/>
    </row>
    <row r="17" spans="1:5" ht="30" customHeight="1" x14ac:dyDescent="0.3">
      <c r="A17" s="2" t="s">
        <v>34</v>
      </c>
      <c r="B17" s="16" t="s">
        <v>35</v>
      </c>
      <c r="C17" s="4" t="s">
        <v>36</v>
      </c>
      <c r="D17" s="12" t="s">
        <v>37</v>
      </c>
      <c r="E17" s="4"/>
    </row>
    <row r="18" spans="1:5" ht="30" customHeight="1" x14ac:dyDescent="0.3">
      <c r="A18" s="3" t="s">
        <v>38</v>
      </c>
      <c r="B18" s="1" t="s">
        <v>39</v>
      </c>
      <c r="C18" s="5" t="s">
        <v>40</v>
      </c>
      <c r="D18" s="14" t="s">
        <v>41</v>
      </c>
      <c r="E18" s="5"/>
    </row>
    <row r="19" spans="1:5" ht="30" customHeight="1" x14ac:dyDescent="0.3">
      <c r="A19" s="2" t="s">
        <v>42</v>
      </c>
      <c r="B19" s="17" t="s">
        <v>43</v>
      </c>
      <c r="C19" s="4" t="s">
        <v>44</v>
      </c>
      <c r="D19" s="12" t="s">
        <v>45</v>
      </c>
      <c r="E19" s="4"/>
    </row>
    <row r="20" spans="1:5" ht="30" customHeight="1" x14ac:dyDescent="0.3">
      <c r="A20" s="3" t="s">
        <v>46</v>
      </c>
      <c r="B20" s="17" t="s">
        <v>47</v>
      </c>
      <c r="C20" s="5" t="s">
        <v>48</v>
      </c>
      <c r="D20" s="14" t="s">
        <v>49</v>
      </c>
      <c r="E20" s="5"/>
    </row>
    <row r="21" spans="1:5" ht="30" customHeight="1" x14ac:dyDescent="0.3">
      <c r="A21" s="2" t="s">
        <v>50</v>
      </c>
      <c r="B21" s="18" t="s">
        <v>51</v>
      </c>
      <c r="C21" s="4" t="s">
        <v>52</v>
      </c>
      <c r="D21" s="12" t="s">
        <v>53</v>
      </c>
      <c r="E21" s="4"/>
    </row>
    <row r="22" spans="1:5" ht="30" customHeight="1" x14ac:dyDescent="0.3">
      <c r="A22" s="3" t="s">
        <v>54</v>
      </c>
      <c r="B22" s="13" t="s">
        <v>55</v>
      </c>
      <c r="C22" s="5" t="s">
        <v>56</v>
      </c>
      <c r="D22" s="14" t="s">
        <v>57</v>
      </c>
      <c r="E22" s="5"/>
    </row>
    <row r="23" spans="1:5" ht="30" customHeight="1" x14ac:dyDescent="0.3">
      <c r="A23" s="2" t="s">
        <v>58</v>
      </c>
      <c r="B23" s="19" t="s">
        <v>59</v>
      </c>
      <c r="C23" s="4" t="s">
        <v>60</v>
      </c>
      <c r="D23" s="12" t="s">
        <v>61</v>
      </c>
      <c r="E23" s="4"/>
    </row>
    <row r="24" spans="1:5" ht="30" customHeight="1" x14ac:dyDescent="0.3">
      <c r="A24" s="3" t="s">
        <v>62</v>
      </c>
      <c r="B24" s="20" t="s">
        <v>63</v>
      </c>
      <c r="C24" s="5" t="s">
        <v>64</v>
      </c>
      <c r="D24" s="14" t="s">
        <v>65</v>
      </c>
      <c r="E24" s="5"/>
    </row>
    <row r="25" spans="1:5" ht="30" customHeight="1" x14ac:dyDescent="0.3">
      <c r="A25" s="2" t="s">
        <v>66</v>
      </c>
      <c r="B25" s="21" t="s">
        <v>67</v>
      </c>
      <c r="C25" s="4" t="s">
        <v>68</v>
      </c>
      <c r="D25" s="12" t="s">
        <v>69</v>
      </c>
      <c r="E25" s="4"/>
    </row>
    <row r="26" spans="1:5" ht="30" customHeight="1" x14ac:dyDescent="0.3">
      <c r="A26" s="3" t="s">
        <v>70</v>
      </c>
      <c r="B26" s="22" t="s">
        <v>71</v>
      </c>
      <c r="C26" s="5" t="s">
        <v>72</v>
      </c>
      <c r="D26" s="14" t="s">
        <v>73</v>
      </c>
      <c r="E26" s="5"/>
    </row>
    <row r="28" spans="1:5" ht="25.5" customHeight="1" x14ac:dyDescent="0.3">
      <c r="A28" s="170" t="s">
        <v>74</v>
      </c>
      <c r="B28" s="170"/>
      <c r="C28" s="170"/>
      <c r="D28" s="170"/>
      <c r="E28" s="170"/>
    </row>
    <row r="29" spans="1:5" ht="21.75" customHeight="1" x14ac:dyDescent="0.3">
      <c r="A29" s="173" t="s">
        <v>75</v>
      </c>
      <c r="B29" s="173"/>
      <c r="C29" s="173"/>
      <c r="D29" s="173"/>
      <c r="E29" s="173"/>
    </row>
    <row r="30" spans="1:5" ht="19.5" customHeight="1" x14ac:dyDescent="0.3">
      <c r="A30" s="174" t="s">
        <v>76</v>
      </c>
      <c r="B30" s="174"/>
      <c r="C30" s="174"/>
      <c r="D30" s="174"/>
      <c r="E30" s="174"/>
    </row>
    <row r="31" spans="1:5" ht="19.5" customHeight="1" x14ac:dyDescent="0.3">
      <c r="A31" s="172" t="s">
        <v>77</v>
      </c>
      <c r="B31" s="172"/>
      <c r="C31" s="172"/>
      <c r="D31" s="172"/>
      <c r="E31" s="172"/>
    </row>
    <row r="32" spans="1:5" ht="19.5" customHeight="1" x14ac:dyDescent="0.3">
      <c r="A32" s="174" t="s">
        <v>78</v>
      </c>
      <c r="B32" s="174"/>
      <c r="C32" s="174"/>
      <c r="D32" s="174"/>
      <c r="E32" s="174"/>
    </row>
    <row r="33" spans="1:5" ht="19.5" customHeight="1" x14ac:dyDescent="0.3">
      <c r="A33" s="172" t="s">
        <v>79</v>
      </c>
      <c r="B33" s="172"/>
      <c r="C33" s="172"/>
      <c r="D33" s="172"/>
      <c r="E33" s="172"/>
    </row>
    <row r="35" spans="1:5" ht="21.75" customHeight="1" x14ac:dyDescent="0.3">
      <c r="A35" s="175" t="s">
        <v>80</v>
      </c>
      <c r="B35" s="175"/>
      <c r="C35" s="175"/>
      <c r="D35" s="175"/>
      <c r="E35" s="175"/>
    </row>
    <row r="36" spans="1:5" ht="19.5" customHeight="1" x14ac:dyDescent="0.3">
      <c r="A36" s="174" t="s">
        <v>81</v>
      </c>
      <c r="B36" s="174"/>
      <c r="C36" s="174"/>
      <c r="D36" s="174"/>
      <c r="E36" s="174"/>
    </row>
    <row r="37" spans="1:5" ht="19.5" customHeight="1" x14ac:dyDescent="0.3">
      <c r="A37" s="172" t="s">
        <v>82</v>
      </c>
      <c r="B37" s="172"/>
      <c r="C37" s="172"/>
      <c r="D37" s="172"/>
      <c r="E37" s="172"/>
    </row>
    <row r="38" spans="1:5" ht="19.5" customHeight="1" x14ac:dyDescent="0.3">
      <c r="A38" s="174" t="s">
        <v>83</v>
      </c>
      <c r="B38" s="174"/>
      <c r="C38" s="174"/>
      <c r="D38" s="174"/>
      <c r="E38" s="174"/>
    </row>
    <row r="39" spans="1:5" ht="19.5" customHeight="1" x14ac:dyDescent="0.3">
      <c r="A39" s="172" t="s">
        <v>84</v>
      </c>
      <c r="B39" s="172"/>
      <c r="C39" s="172"/>
      <c r="D39" s="172"/>
      <c r="E39" s="172"/>
    </row>
    <row r="40" spans="1:5" ht="19.5" customHeight="1" x14ac:dyDescent="0.3">
      <c r="A40" s="174" t="s">
        <v>85</v>
      </c>
      <c r="B40" s="174"/>
      <c r="C40" s="174"/>
      <c r="D40" s="174"/>
      <c r="E40" s="174"/>
    </row>
    <row r="41" spans="1:5" ht="19.5" customHeight="1" x14ac:dyDescent="0.3">
      <c r="A41" s="172" t="s">
        <v>86</v>
      </c>
      <c r="B41" s="172"/>
      <c r="C41" s="172"/>
      <c r="D41" s="172"/>
      <c r="E41" s="172"/>
    </row>
    <row r="42" spans="1:5" ht="19.5" customHeight="1" x14ac:dyDescent="0.3">
      <c r="A42" s="174" t="s">
        <v>87</v>
      </c>
      <c r="B42" s="174"/>
      <c r="C42" s="174"/>
      <c r="D42" s="174"/>
      <c r="E42" s="174"/>
    </row>
    <row r="44" spans="1:5" ht="21.75" customHeight="1" x14ac:dyDescent="0.3">
      <c r="A44" s="176" t="s">
        <v>88</v>
      </c>
      <c r="B44" s="176"/>
      <c r="C44" s="176"/>
      <c r="D44" s="176"/>
      <c r="E44" s="176"/>
    </row>
    <row r="45" spans="1:5" ht="19.5" customHeight="1" x14ac:dyDescent="0.3">
      <c r="A45" s="174" t="s">
        <v>89</v>
      </c>
      <c r="B45" s="174"/>
      <c r="C45" s="174"/>
      <c r="D45" s="174"/>
      <c r="E45" s="174"/>
    </row>
    <row r="46" spans="1:5" ht="19.5" customHeight="1" x14ac:dyDescent="0.3">
      <c r="A46" s="172" t="s">
        <v>90</v>
      </c>
      <c r="B46" s="172"/>
      <c r="C46" s="172"/>
      <c r="D46" s="172"/>
      <c r="E46" s="172"/>
    </row>
    <row r="47" spans="1:5" ht="19.5" customHeight="1" x14ac:dyDescent="0.3">
      <c r="A47" s="174" t="s">
        <v>91</v>
      </c>
      <c r="B47" s="174"/>
      <c r="C47" s="174"/>
      <c r="D47" s="174"/>
      <c r="E47" s="174"/>
    </row>
    <row r="48" spans="1:5" ht="19.5" customHeight="1" x14ac:dyDescent="0.3">
      <c r="A48" s="172" t="s">
        <v>92</v>
      </c>
      <c r="B48" s="172"/>
      <c r="C48" s="172"/>
      <c r="D48" s="172"/>
      <c r="E48" s="172"/>
    </row>
    <row r="49" spans="1:5" ht="19.5" customHeight="1" x14ac:dyDescent="0.3">
      <c r="A49" s="174" t="s">
        <v>93</v>
      </c>
      <c r="B49" s="174"/>
      <c r="C49" s="174"/>
      <c r="D49" s="174"/>
      <c r="E49" s="174"/>
    </row>
    <row r="50" spans="1:5" ht="19.5" customHeight="1" x14ac:dyDescent="0.3">
      <c r="A50" s="172" t="s">
        <v>94</v>
      </c>
      <c r="B50" s="172"/>
      <c r="C50" s="172"/>
      <c r="D50" s="172"/>
      <c r="E50" s="172"/>
    </row>
    <row r="53" spans="1:5" ht="25.5" customHeight="1" x14ac:dyDescent="0.3">
      <c r="A53" s="170" t="s">
        <v>95</v>
      </c>
      <c r="B53" s="170"/>
      <c r="C53" s="170"/>
      <c r="D53" s="170"/>
      <c r="E53" s="170"/>
    </row>
    <row r="54" spans="1:5" ht="19.5" customHeight="1" x14ac:dyDescent="0.3">
      <c r="A54" s="6"/>
      <c r="B54" s="6" t="s">
        <v>96</v>
      </c>
      <c r="C54" s="6" t="s">
        <v>97</v>
      </c>
      <c r="D54" s="6" t="s">
        <v>98</v>
      </c>
      <c r="E54" s="6"/>
    </row>
    <row r="55" spans="1:5" ht="21.75" customHeight="1" x14ac:dyDescent="0.3">
      <c r="A55" s="4"/>
      <c r="B55" s="23" t="s">
        <v>99</v>
      </c>
      <c r="C55" s="4" t="s">
        <v>100</v>
      </c>
      <c r="D55" s="12" t="s">
        <v>101</v>
      </c>
      <c r="E55" s="4"/>
    </row>
    <row r="56" spans="1:5" ht="21.75" customHeight="1" x14ac:dyDescent="0.3">
      <c r="A56" s="5"/>
      <c r="B56" s="24" t="s">
        <v>102</v>
      </c>
      <c r="C56" s="5" t="s">
        <v>103</v>
      </c>
      <c r="D56" s="14" t="s">
        <v>104</v>
      </c>
      <c r="E56" s="5"/>
    </row>
    <row r="57" spans="1:5" ht="21.75" customHeight="1" x14ac:dyDescent="0.3">
      <c r="A57" s="4"/>
      <c r="B57" s="25" t="s">
        <v>105</v>
      </c>
      <c r="C57" s="4" t="s">
        <v>106</v>
      </c>
      <c r="D57" s="12" t="s">
        <v>107</v>
      </c>
      <c r="E57" s="4"/>
    </row>
    <row r="58" spans="1:5" ht="21.75" customHeight="1" x14ac:dyDescent="0.3">
      <c r="A58" s="5"/>
      <c r="B58" s="26" t="s">
        <v>108</v>
      </c>
      <c r="C58" s="5" t="s">
        <v>109</v>
      </c>
      <c r="D58" s="14" t="s">
        <v>110</v>
      </c>
      <c r="E58" s="5"/>
    </row>
    <row r="59" spans="1:5" ht="21.75" customHeight="1" x14ac:dyDescent="0.3">
      <c r="A59" s="4"/>
      <c r="B59" s="27" t="s">
        <v>111</v>
      </c>
      <c r="C59" s="4" t="s">
        <v>112</v>
      </c>
      <c r="D59" s="12" t="s">
        <v>113</v>
      </c>
      <c r="E59" s="4"/>
    </row>
    <row r="60" spans="1:5" ht="21.75" customHeight="1" x14ac:dyDescent="0.3">
      <c r="A60" s="5"/>
      <c r="B60" s="28" t="s">
        <v>114</v>
      </c>
      <c r="C60" s="5" t="s">
        <v>115</v>
      </c>
      <c r="D60" s="14" t="s">
        <v>116</v>
      </c>
      <c r="E60" s="5"/>
    </row>
    <row r="61" spans="1:5" ht="21.75" customHeight="1" x14ac:dyDescent="0.3">
      <c r="A61" s="4"/>
      <c r="B61" s="26" t="s">
        <v>117</v>
      </c>
      <c r="C61" s="4" t="s">
        <v>118</v>
      </c>
      <c r="D61" s="12" t="s">
        <v>119</v>
      </c>
      <c r="E61" s="4"/>
    </row>
    <row r="62" spans="1:5" ht="21.75" customHeight="1" x14ac:dyDescent="0.3">
      <c r="A62" s="5"/>
      <c r="B62" s="29" t="s">
        <v>120</v>
      </c>
      <c r="C62" s="5" t="s">
        <v>121</v>
      </c>
      <c r="D62" s="14" t="s">
        <v>122</v>
      </c>
      <c r="E62" s="5"/>
    </row>
    <row r="63" spans="1:5" ht="21.75" customHeight="1" x14ac:dyDescent="0.3">
      <c r="A63" s="4"/>
      <c r="B63" s="27" t="s">
        <v>123</v>
      </c>
      <c r="C63" s="4" t="s">
        <v>124</v>
      </c>
      <c r="D63" s="12" t="s">
        <v>125</v>
      </c>
      <c r="E63" s="4"/>
    </row>
    <row r="64" spans="1:5" ht="21.75" customHeight="1" x14ac:dyDescent="0.3">
      <c r="A64" s="5"/>
      <c r="B64" s="30" t="s">
        <v>126</v>
      </c>
      <c r="C64" s="5" t="s">
        <v>127</v>
      </c>
      <c r="D64" s="14" t="s">
        <v>128</v>
      </c>
      <c r="E64" s="5"/>
    </row>
    <row r="65" spans="1:5" ht="21.75" customHeight="1" x14ac:dyDescent="0.3">
      <c r="A65" s="4"/>
      <c r="B65" s="27" t="s">
        <v>129</v>
      </c>
      <c r="C65" s="4" t="s">
        <v>130</v>
      </c>
      <c r="D65" s="12" t="s">
        <v>131</v>
      </c>
      <c r="E65" s="4"/>
    </row>
    <row r="66" spans="1:5" ht="21.75" customHeight="1" x14ac:dyDescent="0.3">
      <c r="A66" s="5"/>
      <c r="B66" s="31" t="s">
        <v>132</v>
      </c>
      <c r="C66" s="5" t="s">
        <v>133</v>
      </c>
      <c r="D66" s="14" t="s">
        <v>134</v>
      </c>
      <c r="E66" s="5"/>
    </row>
  </sheetData>
  <mergeCells count="31">
    <mergeCell ref="A53:E53"/>
    <mergeCell ref="A46:E46"/>
    <mergeCell ref="A47:E47"/>
    <mergeCell ref="A48:E48"/>
    <mergeCell ref="A49:E49"/>
    <mergeCell ref="A50:E50"/>
    <mergeCell ref="A40:E40"/>
    <mergeCell ref="A41:E41"/>
    <mergeCell ref="A42:E42"/>
    <mergeCell ref="A44:E44"/>
    <mergeCell ref="A45:E45"/>
    <mergeCell ref="A35:E35"/>
    <mergeCell ref="A36:E36"/>
    <mergeCell ref="A37:E37"/>
    <mergeCell ref="A38:E38"/>
    <mergeCell ref="A39:E39"/>
    <mergeCell ref="A29:E29"/>
    <mergeCell ref="A30:E30"/>
    <mergeCell ref="A31:E31"/>
    <mergeCell ref="A32:E32"/>
    <mergeCell ref="A33:E33"/>
    <mergeCell ref="C7:E7"/>
    <mergeCell ref="C8:E8"/>
    <mergeCell ref="C9:E9"/>
    <mergeCell ref="A11:E11"/>
    <mergeCell ref="A28:E28"/>
    <mergeCell ref="A1:E1"/>
    <mergeCell ref="A2:E2"/>
    <mergeCell ref="A4:E4"/>
    <mergeCell ref="D5:E5"/>
    <mergeCell ref="C6:E6"/>
  </mergeCells>
  <pageMargins left="0.5" right="0.5" top="0.6" bottom="0.6"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3F6A"/>
  </sheetPr>
  <dimension ref="A1:I36"/>
  <sheetViews>
    <sheetView showGridLines="0" zoomScaleNormal="100" workbookViewId="0">
      <pane ySplit="6" topLeftCell="A7" activePane="bottomLeft" state="frozen"/>
      <selection pane="bottomLeft" sqref="A1:I1"/>
    </sheetView>
  </sheetViews>
  <sheetFormatPr baseColWidth="10" defaultColWidth="8.6640625" defaultRowHeight="14.4" x14ac:dyDescent="0.3"/>
  <cols>
    <col min="1" max="1" width="4" customWidth="1"/>
    <col min="2" max="2" width="30" customWidth="1"/>
    <col min="3" max="5" width="12" customWidth="1"/>
    <col min="6" max="6" width="11" customWidth="1"/>
    <col min="7" max="7" width="12" customWidth="1"/>
    <col min="8" max="9" width="22" customWidth="1"/>
  </cols>
  <sheetData>
    <row r="1" spans="1:9" ht="36" customHeight="1" x14ac:dyDescent="0.3">
      <c r="A1" s="177" t="s">
        <v>359</v>
      </c>
      <c r="B1" s="177"/>
      <c r="C1" s="177"/>
      <c r="D1" s="177"/>
      <c r="E1" s="177"/>
      <c r="F1" s="177"/>
      <c r="G1" s="177"/>
      <c r="H1" s="177"/>
      <c r="I1" s="177"/>
    </row>
    <row r="2" spans="1:9" ht="18" customHeight="1" x14ac:dyDescent="0.3">
      <c r="A2" s="178" t="s">
        <v>360</v>
      </c>
      <c r="B2" s="178"/>
      <c r="C2" s="178"/>
      <c r="D2" s="178"/>
      <c r="E2" s="178"/>
      <c r="F2" s="178"/>
      <c r="G2" s="178"/>
      <c r="H2" s="178"/>
      <c r="I2" s="178"/>
    </row>
    <row r="3" spans="1:9" ht="21.75" customHeight="1" x14ac:dyDescent="0.3">
      <c r="A3" s="53" t="s">
        <v>361</v>
      </c>
      <c r="B3" s="179"/>
      <c r="C3" s="179"/>
      <c r="D3" s="179"/>
      <c r="E3" s="179"/>
      <c r="F3" s="53" t="s">
        <v>362</v>
      </c>
      <c r="G3" s="179"/>
      <c r="H3" s="179"/>
      <c r="I3" s="54"/>
    </row>
    <row r="4" spans="1:9" ht="21.75" customHeight="1" x14ac:dyDescent="0.3">
      <c r="A4" s="53" t="s">
        <v>363</v>
      </c>
      <c r="B4" s="179"/>
      <c r="C4" s="179"/>
      <c r="D4" s="179"/>
      <c r="E4" s="55" t="s">
        <v>364</v>
      </c>
      <c r="F4" s="56"/>
      <c r="G4" s="55" t="s">
        <v>365</v>
      </c>
      <c r="H4" s="179"/>
      <c r="I4" s="179"/>
    </row>
    <row r="5" spans="1:9" ht="18" customHeight="1" x14ac:dyDescent="0.3">
      <c r="A5" s="180" t="s">
        <v>366</v>
      </c>
      <c r="B5" s="180"/>
      <c r="C5" s="180"/>
      <c r="D5" s="180"/>
      <c r="E5" s="180"/>
      <c r="F5" s="180"/>
      <c r="G5" s="180"/>
      <c r="H5" s="180"/>
      <c r="I5" s="180"/>
    </row>
    <row r="6" spans="1:9" ht="25.5" customHeight="1" x14ac:dyDescent="0.3">
      <c r="A6" s="181" t="s">
        <v>367</v>
      </c>
      <c r="B6" s="181"/>
      <c r="C6" s="181"/>
      <c r="D6" s="181"/>
      <c r="E6" s="181"/>
      <c r="F6" s="181"/>
      <c r="G6" s="181"/>
      <c r="H6" s="181"/>
      <c r="I6" s="181"/>
    </row>
    <row r="7" spans="1:9" ht="24" customHeight="1" x14ac:dyDescent="0.3">
      <c r="A7" s="57" t="s">
        <v>14</v>
      </c>
      <c r="B7" s="58" t="s">
        <v>368</v>
      </c>
      <c r="C7" s="57" t="s">
        <v>369</v>
      </c>
      <c r="D7" s="57" t="s">
        <v>370</v>
      </c>
      <c r="E7" s="57" t="s">
        <v>371</v>
      </c>
      <c r="F7" s="57" t="s">
        <v>372</v>
      </c>
      <c r="G7" s="57" t="s">
        <v>373</v>
      </c>
      <c r="H7" s="57" t="s">
        <v>374</v>
      </c>
      <c r="I7" s="57" t="s">
        <v>375</v>
      </c>
    </row>
    <row r="8" spans="1:9" ht="21.75" customHeight="1" x14ac:dyDescent="0.3">
      <c r="A8" s="59" t="s">
        <v>18</v>
      </c>
      <c r="B8" s="60" t="s">
        <v>35</v>
      </c>
      <c r="C8" s="61">
        <f>COUNTA('Criterios Generales'!D8:D174)</f>
        <v>138</v>
      </c>
      <c r="D8" s="62">
        <f>COUNTIF('Criterios Generales'!G8:G174,"X")</f>
        <v>1</v>
      </c>
      <c r="E8" s="35">
        <f>COUNTIF('Criterios Generales'!H8:H174,"X")</f>
        <v>0</v>
      </c>
      <c r="F8" s="63">
        <f>COUNTIF('Criterios Generales'!I8:I174,"X")</f>
        <v>0</v>
      </c>
      <c r="G8" s="64">
        <f t="shared" ref="G8:G15" si="0">IF((D8+E8)=0,0,D8/(D8+E8))</f>
        <v>1</v>
      </c>
      <c r="H8" s="59" t="str">
        <f t="shared" ref="H8:H15" si="1">IF((D8+E8)=0,"SIN EVALUAR",IF(G8&gt;=0.9,"CUMPLE",IF(G8&gt;=0.7,"EN PROCESO","NO CUMPLE")))</f>
        <v>CUMPLE</v>
      </c>
      <c r="I8" s="61" t="str">
        <f t="shared" ref="I8:I14" si="2">IF(E8=0,"Sin hallazgos NC","ATENCION: "&amp;E8&amp;" hallazgo(s) NC")</f>
        <v>Sin hallazgos NC</v>
      </c>
    </row>
    <row r="9" spans="1:9" ht="21.75" customHeight="1" x14ac:dyDescent="0.3">
      <c r="A9" s="65" t="s">
        <v>22</v>
      </c>
      <c r="B9" s="66" t="s">
        <v>376</v>
      </c>
      <c r="C9" s="56">
        <f>COUNTA('Auditoría Documental'!D8:D97)</f>
        <v>87</v>
      </c>
      <c r="D9" s="62">
        <f>COUNTIF('Auditoría Documental'!F8:F97,"X")</f>
        <v>0</v>
      </c>
      <c r="E9" s="35">
        <f>COUNTIF('Auditoría Documental'!G8:G97,"X")</f>
        <v>0</v>
      </c>
      <c r="F9" s="63">
        <f>COUNTIF('Auditoría Documental'!H8:H97,"X")</f>
        <v>0</v>
      </c>
      <c r="G9" s="67">
        <f t="shared" si="0"/>
        <v>0</v>
      </c>
      <c r="H9" s="65" t="str">
        <f t="shared" si="1"/>
        <v>SIN EVALUAR</v>
      </c>
      <c r="I9" s="56" t="str">
        <f t="shared" si="2"/>
        <v>Sin hallazgos NC</v>
      </c>
    </row>
    <row r="10" spans="1:9" ht="21.75" customHeight="1" x14ac:dyDescent="0.3">
      <c r="A10" s="59" t="s">
        <v>26</v>
      </c>
      <c r="B10" s="66" t="s">
        <v>377</v>
      </c>
      <c r="C10" s="61">
        <f>COUNTA('Auditoría Infraestructura'!D8:D62)</f>
        <v>55</v>
      </c>
      <c r="D10" s="62">
        <f>COUNTIF('Auditoría Infraestructura'!F8:F62,"X")</f>
        <v>0</v>
      </c>
      <c r="E10" s="35">
        <f>COUNTIF('Auditoría Infraestructura'!G8:G62,"X")</f>
        <v>0</v>
      </c>
      <c r="F10" s="63">
        <f>COUNTIF('Auditoría Infraestructura'!H8:H62,"X")</f>
        <v>0</v>
      </c>
      <c r="G10" s="64">
        <f t="shared" si="0"/>
        <v>0</v>
      </c>
      <c r="H10" s="59" t="str">
        <f t="shared" si="1"/>
        <v>SIN EVALUAR</v>
      </c>
      <c r="I10" s="61" t="str">
        <f t="shared" si="2"/>
        <v>Sin hallazgos NC</v>
      </c>
    </row>
    <row r="11" spans="1:9" ht="21.75" customHeight="1" x14ac:dyDescent="0.3">
      <c r="A11" s="65" t="s">
        <v>30</v>
      </c>
      <c r="B11" s="68" t="s">
        <v>51</v>
      </c>
      <c r="C11" s="56">
        <f>COUNTA('Consulta Externa'!D11:D203)</f>
        <v>131</v>
      </c>
      <c r="D11" s="62">
        <f>COUNTIF('Consulta Externa'!F11:F203,"X")</f>
        <v>0</v>
      </c>
      <c r="E11" s="35">
        <f>COUNTIF('Consulta Externa'!G11:G203,"X")</f>
        <v>0</v>
      </c>
      <c r="F11" s="63">
        <f>COUNTIF('Consulta Externa'!H11:H203,"X")</f>
        <v>0</v>
      </c>
      <c r="G11" s="67">
        <f t="shared" si="0"/>
        <v>0</v>
      </c>
      <c r="H11" s="65" t="str">
        <f t="shared" si="1"/>
        <v>SIN EVALUAR</v>
      </c>
      <c r="I11" s="56" t="str">
        <f t="shared" si="2"/>
        <v>Sin hallazgos NC</v>
      </c>
    </row>
    <row r="12" spans="1:9" ht="21.75" customHeight="1" x14ac:dyDescent="0.3">
      <c r="A12" s="59" t="s">
        <v>34</v>
      </c>
      <c r="B12" s="69" t="s">
        <v>55</v>
      </c>
      <c r="C12" s="61">
        <f>COUNTA(Terapias!D8:D55)</f>
        <v>45</v>
      </c>
      <c r="D12" s="62">
        <f>COUNTIF(Terapias!F8:F55,"X")</f>
        <v>0</v>
      </c>
      <c r="E12" s="35">
        <f>COUNTIF(Terapias!G8:G55,"X")</f>
        <v>0</v>
      </c>
      <c r="F12" s="63">
        <f>COUNTIF(Terapias!H8:H55,"X")</f>
        <v>0</v>
      </c>
      <c r="G12" s="64">
        <f t="shared" si="0"/>
        <v>0</v>
      </c>
      <c r="H12" s="59" t="str">
        <f t="shared" si="1"/>
        <v>SIN EVALUAR</v>
      </c>
      <c r="I12" s="61" t="str">
        <f t="shared" si="2"/>
        <v>Sin hallazgos NC</v>
      </c>
    </row>
    <row r="13" spans="1:9" ht="21.75" customHeight="1" x14ac:dyDescent="0.3">
      <c r="A13" s="65" t="s">
        <v>38</v>
      </c>
      <c r="B13" s="70" t="s">
        <v>378</v>
      </c>
      <c r="C13" s="56">
        <f>COUNTA('Laboratorio Clínico'!D10:D97)</f>
        <v>66</v>
      </c>
      <c r="D13" s="62">
        <f>COUNTIF('Laboratorio Clínico'!G10:G97,"X")</f>
        <v>0</v>
      </c>
      <c r="E13" s="35">
        <f>COUNTIF('Laboratorio Clínico'!H10:H97,"X")</f>
        <v>0</v>
      </c>
      <c r="F13" s="63">
        <f>COUNTIF('Laboratorio Clínico'!I10:I97,"X")</f>
        <v>0</v>
      </c>
      <c r="G13" s="67">
        <f t="shared" si="0"/>
        <v>0</v>
      </c>
      <c r="H13" s="65" t="str">
        <f t="shared" si="1"/>
        <v>SIN EVALUAR</v>
      </c>
      <c r="I13" s="56" t="str">
        <f t="shared" si="2"/>
        <v>Sin hallazgos NC</v>
      </c>
    </row>
    <row r="14" spans="1:9" ht="21.75" customHeight="1" x14ac:dyDescent="0.3">
      <c r="A14" s="59" t="s">
        <v>42</v>
      </c>
      <c r="B14" s="71" t="s">
        <v>63</v>
      </c>
      <c r="C14" s="61">
        <f>COUNTA('Toma de Muestras Lab'!D10:D60)</f>
        <v>35</v>
      </c>
      <c r="D14" s="62">
        <f>COUNTIF('Toma de Muestras Lab'!G10:G60,"X")</f>
        <v>0</v>
      </c>
      <c r="E14" s="35">
        <f>COUNTIF('Toma de Muestras Lab'!H10:H60,"X")</f>
        <v>0</v>
      </c>
      <c r="F14" s="63">
        <f>COUNTIF('Toma de Muestras Lab'!I10:I60,"X")</f>
        <v>0</v>
      </c>
      <c r="G14" s="64">
        <f t="shared" si="0"/>
        <v>0</v>
      </c>
      <c r="H14" s="59" t="str">
        <f t="shared" si="1"/>
        <v>SIN EVALUAR</v>
      </c>
      <c r="I14" s="61" t="str">
        <f t="shared" si="2"/>
        <v>Sin hallazgos NC</v>
      </c>
    </row>
    <row r="15" spans="1:9" ht="25.5" customHeight="1" x14ac:dyDescent="0.3">
      <c r="A15" s="182" t="s">
        <v>379</v>
      </c>
      <c r="B15" s="182"/>
      <c r="C15" s="72">
        <f>SUM(C8:C14)</f>
        <v>557</v>
      </c>
      <c r="D15" s="72">
        <f>SUM(D8:D14)</f>
        <v>1</v>
      </c>
      <c r="E15" s="72">
        <f>SUM(E8:E14)</f>
        <v>0</v>
      </c>
      <c r="F15" s="72">
        <f>SUM(F8:F14)</f>
        <v>0</v>
      </c>
      <c r="G15" s="73">
        <f t="shared" si="0"/>
        <v>1</v>
      </c>
      <c r="H15" s="72" t="str">
        <f t="shared" si="1"/>
        <v>CUMPLE</v>
      </c>
      <c r="I15" s="72" t="str">
        <f>IF(E15=0,"Sin hallazgos","ATENCION: "&amp;E15&amp;" NC")</f>
        <v>Sin hallazgos</v>
      </c>
    </row>
    <row r="17" spans="1:9" ht="25.5" customHeight="1" x14ac:dyDescent="0.3">
      <c r="A17" s="183" t="s">
        <v>380</v>
      </c>
      <c r="B17" s="183"/>
      <c r="C17" s="183"/>
      <c r="D17" s="183"/>
      <c r="E17" s="183"/>
      <c r="F17" s="183"/>
      <c r="G17" s="183"/>
      <c r="H17" s="183"/>
      <c r="I17" s="183"/>
    </row>
    <row r="18" spans="1:9" ht="21.75" customHeight="1" x14ac:dyDescent="0.3">
      <c r="A18" s="74" t="s">
        <v>14</v>
      </c>
      <c r="B18" s="75" t="s">
        <v>381</v>
      </c>
      <c r="C18" s="184" t="s">
        <v>382</v>
      </c>
      <c r="D18" s="184"/>
      <c r="E18" s="184"/>
      <c r="F18" s="184"/>
      <c r="G18" s="184"/>
      <c r="H18" s="184"/>
      <c r="I18" s="74" t="s">
        <v>383</v>
      </c>
    </row>
    <row r="19" spans="1:9" ht="24" customHeight="1" x14ac:dyDescent="0.3">
      <c r="A19" s="76" t="s">
        <v>18</v>
      </c>
      <c r="B19" s="77" t="s">
        <v>384</v>
      </c>
      <c r="C19" s="185" t="s">
        <v>385</v>
      </c>
      <c r="D19" s="185"/>
      <c r="E19" s="185"/>
      <c r="F19" s="185"/>
      <c r="G19" s="185"/>
      <c r="H19" s="185"/>
      <c r="I19" s="78" t="s">
        <v>386</v>
      </c>
    </row>
    <row r="20" spans="1:9" ht="24" customHeight="1" x14ac:dyDescent="0.3">
      <c r="A20" s="79" t="s">
        <v>22</v>
      </c>
      <c r="B20" s="80" t="s">
        <v>387</v>
      </c>
      <c r="C20" s="186" t="s">
        <v>39</v>
      </c>
      <c r="D20" s="186"/>
      <c r="E20" s="186"/>
      <c r="F20" s="186"/>
      <c r="G20" s="186"/>
      <c r="H20" s="186"/>
      <c r="I20" s="81" t="s">
        <v>386</v>
      </c>
    </row>
    <row r="21" spans="1:9" ht="24" customHeight="1" x14ac:dyDescent="0.3">
      <c r="A21" s="76" t="s">
        <v>26</v>
      </c>
      <c r="B21" s="77" t="s">
        <v>156</v>
      </c>
      <c r="C21" s="185" t="s">
        <v>388</v>
      </c>
      <c r="D21" s="185"/>
      <c r="E21" s="185"/>
      <c r="F21" s="185"/>
      <c r="G21" s="185"/>
      <c r="H21" s="185"/>
      <c r="I21" s="78" t="s">
        <v>386</v>
      </c>
    </row>
    <row r="22" spans="1:9" ht="24" customHeight="1" x14ac:dyDescent="0.3">
      <c r="A22" s="79" t="s">
        <v>30</v>
      </c>
      <c r="B22" s="80" t="s">
        <v>389</v>
      </c>
      <c r="C22" s="186" t="s">
        <v>390</v>
      </c>
      <c r="D22" s="186"/>
      <c r="E22" s="186"/>
      <c r="F22" s="186"/>
      <c r="G22" s="186"/>
      <c r="H22" s="186"/>
      <c r="I22" s="81" t="s">
        <v>386</v>
      </c>
    </row>
    <row r="23" spans="1:9" ht="24" customHeight="1" x14ac:dyDescent="0.3">
      <c r="A23" s="76" t="s">
        <v>34</v>
      </c>
      <c r="B23" s="77" t="s">
        <v>391</v>
      </c>
      <c r="C23" s="185" t="s">
        <v>392</v>
      </c>
      <c r="D23" s="185"/>
      <c r="E23" s="185"/>
      <c r="F23" s="185"/>
      <c r="G23" s="185"/>
      <c r="H23" s="185"/>
      <c r="I23" s="78" t="s">
        <v>386</v>
      </c>
    </row>
    <row r="24" spans="1:9" ht="24" customHeight="1" x14ac:dyDescent="0.3">
      <c r="A24" s="79" t="s">
        <v>38</v>
      </c>
      <c r="B24" s="80" t="s">
        <v>393</v>
      </c>
      <c r="C24" s="186" t="s">
        <v>394</v>
      </c>
      <c r="D24" s="186"/>
      <c r="E24" s="186"/>
      <c r="F24" s="186"/>
      <c r="G24" s="186"/>
      <c r="H24" s="186"/>
      <c r="I24" s="81" t="s">
        <v>386</v>
      </c>
    </row>
    <row r="25" spans="1:9" ht="24" customHeight="1" x14ac:dyDescent="0.3">
      <c r="A25" s="76" t="s">
        <v>42</v>
      </c>
      <c r="B25" s="77" t="s">
        <v>395</v>
      </c>
      <c r="C25" s="185" t="s">
        <v>392</v>
      </c>
      <c r="D25" s="185"/>
      <c r="E25" s="185"/>
      <c r="F25" s="185"/>
      <c r="G25" s="185"/>
      <c r="H25" s="185"/>
      <c r="I25" s="78" t="s">
        <v>386</v>
      </c>
    </row>
    <row r="26" spans="1:9" ht="24" customHeight="1" x14ac:dyDescent="0.3">
      <c r="A26" s="79" t="s">
        <v>46</v>
      </c>
      <c r="B26" s="80" t="s">
        <v>396</v>
      </c>
      <c r="C26" s="186" t="s">
        <v>397</v>
      </c>
      <c r="D26" s="186"/>
      <c r="E26" s="186"/>
      <c r="F26" s="186"/>
      <c r="G26" s="186"/>
      <c r="H26" s="186"/>
      <c r="I26" s="81" t="s">
        <v>386</v>
      </c>
    </row>
    <row r="27" spans="1:9" ht="24" customHeight="1" x14ac:dyDescent="0.3">
      <c r="A27" s="76" t="s">
        <v>50</v>
      </c>
      <c r="B27" s="77" t="s">
        <v>398</v>
      </c>
      <c r="C27" s="185" t="s">
        <v>399</v>
      </c>
      <c r="D27" s="185"/>
      <c r="E27" s="185"/>
      <c r="F27" s="185"/>
      <c r="G27" s="185"/>
      <c r="H27" s="185"/>
      <c r="I27" s="78" t="s">
        <v>386</v>
      </c>
    </row>
    <row r="28" spans="1:9" ht="24" customHeight="1" x14ac:dyDescent="0.3">
      <c r="A28" s="79" t="s">
        <v>54</v>
      </c>
      <c r="B28" s="80" t="s">
        <v>400</v>
      </c>
      <c r="C28" s="186" t="s">
        <v>378</v>
      </c>
      <c r="D28" s="186"/>
      <c r="E28" s="186"/>
      <c r="F28" s="186"/>
      <c r="G28" s="186"/>
      <c r="H28" s="186"/>
      <c r="I28" s="81" t="s">
        <v>386</v>
      </c>
    </row>
    <row r="29" spans="1:9" ht="24" customHeight="1" x14ac:dyDescent="0.3">
      <c r="A29" s="76" t="s">
        <v>58</v>
      </c>
      <c r="B29" s="77" t="s">
        <v>401</v>
      </c>
      <c r="C29" s="185" t="s">
        <v>402</v>
      </c>
      <c r="D29" s="185"/>
      <c r="E29" s="185"/>
      <c r="F29" s="185"/>
      <c r="G29" s="185"/>
      <c r="H29" s="185"/>
      <c r="I29" s="78" t="s">
        <v>386</v>
      </c>
    </row>
    <row r="30" spans="1:9" ht="24" customHeight="1" x14ac:dyDescent="0.3">
      <c r="A30" s="79" t="s">
        <v>62</v>
      </c>
      <c r="B30" s="80" t="s">
        <v>403</v>
      </c>
      <c r="C30" s="186" t="s">
        <v>392</v>
      </c>
      <c r="D30" s="186"/>
      <c r="E30" s="186"/>
      <c r="F30" s="186"/>
      <c r="G30" s="186"/>
      <c r="H30" s="186"/>
      <c r="I30" s="81" t="s">
        <v>386</v>
      </c>
    </row>
    <row r="32" spans="1:9" ht="21.75" customHeight="1" x14ac:dyDescent="0.3">
      <c r="A32" s="187" t="s">
        <v>404</v>
      </c>
      <c r="B32" s="187"/>
      <c r="C32" s="187"/>
      <c r="D32" s="187"/>
      <c r="E32" s="187"/>
      <c r="F32" s="187"/>
      <c r="G32" s="187"/>
      <c r="H32" s="187"/>
      <c r="I32" s="187"/>
    </row>
    <row r="33" spans="1:9" ht="19.5" customHeight="1" x14ac:dyDescent="0.3">
      <c r="A33" s="188" t="s">
        <v>405</v>
      </c>
      <c r="B33" s="188"/>
      <c r="C33" s="189" t="s">
        <v>406</v>
      </c>
      <c r="D33" s="189"/>
      <c r="E33" s="189"/>
      <c r="F33" s="189"/>
      <c r="G33" s="189"/>
      <c r="H33" s="189"/>
      <c r="I33" s="189"/>
    </row>
    <row r="34" spans="1:9" ht="19.5" customHeight="1" x14ac:dyDescent="0.3">
      <c r="A34" s="190" t="s">
        <v>407</v>
      </c>
      <c r="B34" s="190"/>
      <c r="C34" s="191" t="s">
        <v>408</v>
      </c>
      <c r="D34" s="191"/>
      <c r="E34" s="191"/>
      <c r="F34" s="191"/>
      <c r="G34" s="191"/>
      <c r="H34" s="191"/>
      <c r="I34" s="191"/>
    </row>
    <row r="35" spans="1:9" ht="19.5" customHeight="1" x14ac:dyDescent="0.3">
      <c r="A35" s="192" t="s">
        <v>409</v>
      </c>
      <c r="B35" s="192"/>
      <c r="C35" s="193" t="s">
        <v>410</v>
      </c>
      <c r="D35" s="193"/>
      <c r="E35" s="193"/>
      <c r="F35" s="193"/>
      <c r="G35" s="193"/>
      <c r="H35" s="193"/>
      <c r="I35" s="193"/>
    </row>
    <row r="36" spans="1:9" ht="19.5" customHeight="1" x14ac:dyDescent="0.3">
      <c r="A36" s="194" t="s">
        <v>411</v>
      </c>
      <c r="B36" s="194"/>
      <c r="C36" s="195" t="s">
        <v>412</v>
      </c>
      <c r="D36" s="195"/>
      <c r="E36" s="195"/>
      <c r="F36" s="195"/>
      <c r="G36" s="195"/>
      <c r="H36" s="195"/>
      <c r="I36" s="195"/>
    </row>
  </sheetData>
  <mergeCells count="32">
    <mergeCell ref="A34:B34"/>
    <mergeCell ref="C34:I34"/>
    <mergeCell ref="A35:B35"/>
    <mergeCell ref="C35:I35"/>
    <mergeCell ref="A36:B36"/>
    <mergeCell ref="C36:I36"/>
    <mergeCell ref="C29:H29"/>
    <mergeCell ref="C30:H30"/>
    <mergeCell ref="A32:I32"/>
    <mergeCell ref="A33:B33"/>
    <mergeCell ref="C33:I33"/>
    <mergeCell ref="C24:H24"/>
    <mergeCell ref="C25:H25"/>
    <mergeCell ref="C26:H26"/>
    <mergeCell ref="C27:H27"/>
    <mergeCell ref="C28:H28"/>
    <mergeCell ref="C19:H19"/>
    <mergeCell ref="C20:H20"/>
    <mergeCell ref="C21:H21"/>
    <mergeCell ref="C22:H22"/>
    <mergeCell ref="C23:H23"/>
    <mergeCell ref="A5:I5"/>
    <mergeCell ref="A6:I6"/>
    <mergeCell ref="A15:B15"/>
    <mergeCell ref="A17:I17"/>
    <mergeCell ref="C18:H18"/>
    <mergeCell ref="A1:I1"/>
    <mergeCell ref="A2:I2"/>
    <mergeCell ref="B3:E3"/>
    <mergeCell ref="G3:H3"/>
    <mergeCell ref="B4:D4"/>
    <mergeCell ref="H4:I4"/>
  </mergeCells>
  <dataValidations count="2">
    <dataValidation type="list" allowBlank="1" sqref="H4:I4" xr:uid="{00000000-0002-0000-0300-000000000000}">
      <formula1>"Habilitacion inicial,Re-habilitacion,Visita seguimiento,Auditoria verificacion,Autoauditoria"</formula1>
      <formula2>0</formula2>
    </dataValidation>
    <dataValidation type="list" allowBlank="1" sqref="I19:I30" xr:uid="{00000000-0002-0000-0300-000001000000}">
      <formula1>"Pendiente,Cumple,No Cumple,No Aplica"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D6A39"/>
    <pageSetUpPr fitToPage="1"/>
  </sheetPr>
  <dimension ref="A1:D64"/>
  <sheetViews>
    <sheetView showGridLines="0" zoomScaleNormal="100" workbookViewId="0">
      <pane ySplit="2" topLeftCell="A58" activePane="bottomLeft" state="frozen"/>
      <selection pane="bottomLeft" activeCell="D46" sqref="D46"/>
    </sheetView>
  </sheetViews>
  <sheetFormatPr baseColWidth="10" defaultColWidth="8.6640625" defaultRowHeight="14.4" x14ac:dyDescent="0.3"/>
  <cols>
    <col min="1" max="1" width="25.5546875" customWidth="1"/>
    <col min="2" max="2" width="26" customWidth="1"/>
    <col min="3" max="3" width="25.33203125" customWidth="1"/>
    <col min="4" max="4" width="101.44140625" customWidth="1"/>
  </cols>
  <sheetData>
    <row r="1" spans="1:4" ht="36" customHeight="1" x14ac:dyDescent="0.3">
      <c r="A1" s="168" t="s">
        <v>135</v>
      </c>
      <c r="B1" s="168"/>
      <c r="C1" s="168"/>
      <c r="D1" s="168"/>
    </row>
    <row r="2" spans="1:4" ht="18" customHeight="1" x14ac:dyDescent="0.3">
      <c r="A2" s="169" t="s">
        <v>136</v>
      </c>
      <c r="B2" s="169"/>
      <c r="C2" s="169"/>
      <c r="D2" s="169"/>
    </row>
    <row r="4" spans="1:4" ht="25.5" customHeight="1" x14ac:dyDescent="0.3">
      <c r="A4" s="170" t="s">
        <v>137</v>
      </c>
      <c r="B4" s="170"/>
      <c r="C4" s="170"/>
      <c r="D4" s="170"/>
    </row>
    <row r="5" spans="1:4" ht="19.5" customHeight="1" x14ac:dyDescent="0.3">
      <c r="A5" s="6" t="s">
        <v>14</v>
      </c>
      <c r="B5" s="6" t="s">
        <v>3</v>
      </c>
      <c r="C5" s="6" t="s">
        <v>138</v>
      </c>
      <c r="D5" s="6" t="s">
        <v>139</v>
      </c>
    </row>
    <row r="6" spans="1:4" ht="37.5" customHeight="1" x14ac:dyDescent="0.3">
      <c r="A6" s="2" t="s">
        <v>18</v>
      </c>
      <c r="B6" s="27" t="s">
        <v>140</v>
      </c>
      <c r="C6" s="9" t="s">
        <v>141</v>
      </c>
      <c r="D6" s="4" t="s">
        <v>1334</v>
      </c>
    </row>
    <row r="7" spans="1:4" ht="37.5" customHeight="1" x14ac:dyDescent="0.3">
      <c r="A7" s="3" t="s">
        <v>22</v>
      </c>
      <c r="B7" s="27" t="s">
        <v>142</v>
      </c>
      <c r="C7" s="9" t="s">
        <v>141</v>
      </c>
      <c r="D7" s="5" t="s">
        <v>1335</v>
      </c>
    </row>
    <row r="8" spans="1:4" ht="37.5" customHeight="1" x14ac:dyDescent="0.3">
      <c r="A8" s="2" t="s">
        <v>26</v>
      </c>
      <c r="B8" s="23" t="s">
        <v>143</v>
      </c>
      <c r="C8" s="10" t="s">
        <v>144</v>
      </c>
      <c r="D8" s="4" t="s">
        <v>1336</v>
      </c>
    </row>
    <row r="9" spans="1:4" ht="37.5" customHeight="1" x14ac:dyDescent="0.3">
      <c r="A9" s="3" t="s">
        <v>30</v>
      </c>
      <c r="B9" s="23" t="s">
        <v>145</v>
      </c>
      <c r="C9" s="10" t="s">
        <v>144</v>
      </c>
      <c r="D9" s="5" t="s">
        <v>146</v>
      </c>
    </row>
    <row r="10" spans="1:4" ht="49.5" customHeight="1" x14ac:dyDescent="0.3">
      <c r="A10" s="32" t="s">
        <v>34</v>
      </c>
      <c r="B10" s="33" t="s">
        <v>147</v>
      </c>
      <c r="C10" s="32" t="s">
        <v>148</v>
      </c>
      <c r="D10" s="34" t="s">
        <v>149</v>
      </c>
    </row>
    <row r="11" spans="1:4" ht="37.5" customHeight="1" x14ac:dyDescent="0.3">
      <c r="A11" s="3" t="s">
        <v>38</v>
      </c>
      <c r="B11" s="27" t="s">
        <v>150</v>
      </c>
      <c r="C11" s="9" t="s">
        <v>141</v>
      </c>
      <c r="D11" s="5" t="s">
        <v>151</v>
      </c>
    </row>
    <row r="12" spans="1:4" ht="163.80000000000001" customHeight="1" x14ac:dyDescent="0.3">
      <c r="A12" s="35" t="s">
        <v>42</v>
      </c>
      <c r="B12" s="36" t="s">
        <v>152</v>
      </c>
      <c r="C12" s="35" t="s">
        <v>153</v>
      </c>
      <c r="D12" s="37" t="s">
        <v>154</v>
      </c>
    </row>
    <row r="13" spans="1:4" ht="27" customHeight="1" x14ac:dyDescent="0.3">
      <c r="A13" s="198"/>
      <c r="B13" s="198"/>
      <c r="C13" s="198"/>
      <c r="D13" s="198"/>
    </row>
    <row r="14" spans="1:4" ht="19.5" customHeight="1" x14ac:dyDescent="0.3"/>
    <row r="15" spans="1:4" ht="37.5" customHeight="1" x14ac:dyDescent="0.3">
      <c r="A15" s="38" t="s">
        <v>155</v>
      </c>
      <c r="B15" s="39"/>
      <c r="C15" s="39"/>
      <c r="D15" s="40"/>
    </row>
    <row r="16" spans="1:4" ht="37.5" customHeight="1" x14ac:dyDescent="0.3">
      <c r="A16" s="6" t="s">
        <v>14</v>
      </c>
      <c r="B16" s="6" t="s">
        <v>3</v>
      </c>
      <c r="C16" s="6" t="s">
        <v>138</v>
      </c>
      <c r="D16" s="6" t="s">
        <v>139</v>
      </c>
    </row>
    <row r="17" spans="1:4" ht="37.5" customHeight="1" x14ac:dyDescent="0.3">
      <c r="A17" s="2" t="s">
        <v>18</v>
      </c>
      <c r="B17" s="27" t="s">
        <v>156</v>
      </c>
      <c r="C17" s="9" t="s">
        <v>141</v>
      </c>
      <c r="D17" s="4" t="s">
        <v>157</v>
      </c>
    </row>
    <row r="18" spans="1:4" ht="37.5" customHeight="1" x14ac:dyDescent="0.3">
      <c r="A18" s="3" t="s">
        <v>22</v>
      </c>
      <c r="B18" s="27" t="s">
        <v>158</v>
      </c>
      <c r="C18" s="9" t="s">
        <v>141</v>
      </c>
      <c r="D18" s="5" t="s">
        <v>1337</v>
      </c>
    </row>
    <row r="19" spans="1:4" ht="37.5" customHeight="1" x14ac:dyDescent="0.3">
      <c r="A19" s="2" t="s">
        <v>26</v>
      </c>
      <c r="B19" s="27" t="s">
        <v>159</v>
      </c>
      <c r="C19" s="9" t="s">
        <v>141</v>
      </c>
      <c r="D19" s="4" t="s">
        <v>160</v>
      </c>
    </row>
    <row r="20" spans="1:4" ht="37.5" customHeight="1" x14ac:dyDescent="0.3">
      <c r="A20" s="3" t="s">
        <v>30</v>
      </c>
      <c r="B20" s="27" t="s">
        <v>161</v>
      </c>
      <c r="C20" s="9" t="s">
        <v>141</v>
      </c>
      <c r="D20" s="5" t="s">
        <v>162</v>
      </c>
    </row>
    <row r="21" spans="1:4" ht="37.5" customHeight="1" x14ac:dyDescent="0.3">
      <c r="A21" s="2" t="s">
        <v>34</v>
      </c>
      <c r="B21" s="23" t="s">
        <v>163</v>
      </c>
      <c r="C21" s="10" t="s">
        <v>144</v>
      </c>
      <c r="D21" s="4" t="s">
        <v>164</v>
      </c>
    </row>
    <row r="22" spans="1:4" ht="37.5" customHeight="1" x14ac:dyDescent="0.3">
      <c r="A22" s="3" t="s">
        <v>38</v>
      </c>
      <c r="B22" s="23" t="s">
        <v>165</v>
      </c>
      <c r="C22" s="10" t="s">
        <v>144</v>
      </c>
      <c r="D22" s="5" t="s">
        <v>1338</v>
      </c>
    </row>
    <row r="23" spans="1:4" ht="24" x14ac:dyDescent="0.3">
      <c r="A23" s="2" t="s">
        <v>42</v>
      </c>
      <c r="B23" s="26" t="s">
        <v>166</v>
      </c>
      <c r="C23" s="8" t="s">
        <v>167</v>
      </c>
      <c r="D23" s="4" t="s">
        <v>168</v>
      </c>
    </row>
    <row r="24" spans="1:4" ht="25.5" customHeight="1" x14ac:dyDescent="0.3">
      <c r="A24" s="196" t="s">
        <v>46</v>
      </c>
      <c r="B24" s="196" t="s">
        <v>169</v>
      </c>
      <c r="C24" s="196" t="s">
        <v>144</v>
      </c>
      <c r="D24" s="196" t="s">
        <v>170</v>
      </c>
    </row>
    <row r="25" spans="1:4" ht="19.5" customHeight="1" x14ac:dyDescent="0.3"/>
    <row r="26" spans="1:4" ht="37.5" customHeight="1" x14ac:dyDescent="0.3">
      <c r="A26" s="41" t="s">
        <v>171</v>
      </c>
      <c r="B26" s="39"/>
      <c r="C26" s="39"/>
      <c r="D26" s="40"/>
    </row>
    <row r="27" spans="1:4" ht="37.5" customHeight="1" x14ac:dyDescent="0.3">
      <c r="A27" s="6" t="s">
        <v>14</v>
      </c>
      <c r="B27" s="6" t="s">
        <v>3</v>
      </c>
      <c r="C27" s="6" t="s">
        <v>138</v>
      </c>
      <c r="D27" s="6" t="s">
        <v>139</v>
      </c>
    </row>
    <row r="28" spans="1:4" ht="37.5" customHeight="1" x14ac:dyDescent="0.3">
      <c r="A28" s="2" t="s">
        <v>18</v>
      </c>
      <c r="B28" s="23" t="s">
        <v>172</v>
      </c>
      <c r="C28" s="10" t="s">
        <v>144</v>
      </c>
      <c r="D28" s="4" t="s">
        <v>173</v>
      </c>
    </row>
    <row r="29" spans="1:4" ht="37.5" customHeight="1" x14ac:dyDescent="0.3">
      <c r="A29" s="3" t="s">
        <v>22</v>
      </c>
      <c r="B29" s="27" t="s">
        <v>174</v>
      </c>
      <c r="C29" s="9" t="s">
        <v>141</v>
      </c>
      <c r="D29" s="5" t="s">
        <v>175</v>
      </c>
    </row>
    <row r="30" spans="1:4" ht="37.5" customHeight="1" x14ac:dyDescent="0.3">
      <c r="A30" s="2" t="s">
        <v>26</v>
      </c>
      <c r="B30" s="23" t="s">
        <v>176</v>
      </c>
      <c r="C30" s="10" t="s">
        <v>144</v>
      </c>
      <c r="D30" s="4" t="s">
        <v>177</v>
      </c>
    </row>
    <row r="31" spans="1:4" ht="37.5" customHeight="1" x14ac:dyDescent="0.3">
      <c r="A31" s="3" t="s">
        <v>30</v>
      </c>
      <c r="B31" s="26" t="s">
        <v>178</v>
      </c>
      <c r="C31" s="8" t="s">
        <v>167</v>
      </c>
      <c r="D31" s="5" t="s">
        <v>179</v>
      </c>
    </row>
    <row r="32" spans="1:4" ht="22.8" x14ac:dyDescent="0.3">
      <c r="A32" s="2" t="s">
        <v>34</v>
      </c>
      <c r="B32" s="27" t="s">
        <v>180</v>
      </c>
      <c r="C32" s="9" t="s">
        <v>141</v>
      </c>
      <c r="D32" s="4" t="s">
        <v>181</v>
      </c>
    </row>
    <row r="33" spans="1:4" ht="25.5" customHeight="1" x14ac:dyDescent="0.3">
      <c r="A33" s="196" t="s">
        <v>38</v>
      </c>
      <c r="B33" s="196" t="s">
        <v>182</v>
      </c>
      <c r="C33" s="196" t="s">
        <v>144</v>
      </c>
      <c r="D33" s="196" t="s">
        <v>183</v>
      </c>
    </row>
    <row r="34" spans="1:4" ht="19.5" customHeight="1" x14ac:dyDescent="0.3"/>
    <row r="35" spans="1:4" ht="37.5" customHeight="1" x14ac:dyDescent="0.3">
      <c r="A35" s="42" t="s">
        <v>184</v>
      </c>
      <c r="B35" s="39"/>
      <c r="C35" s="39"/>
      <c r="D35" s="40"/>
    </row>
    <row r="36" spans="1:4" ht="37.5" customHeight="1" x14ac:dyDescent="0.3">
      <c r="A36" s="6" t="s">
        <v>14</v>
      </c>
      <c r="B36" s="6" t="s">
        <v>3</v>
      </c>
      <c r="C36" s="6" t="s">
        <v>138</v>
      </c>
      <c r="D36" s="6" t="s">
        <v>139</v>
      </c>
    </row>
    <row r="37" spans="1:4" ht="37.5" customHeight="1" x14ac:dyDescent="0.3">
      <c r="A37" s="2" t="s">
        <v>18</v>
      </c>
      <c r="B37" s="27" t="s">
        <v>185</v>
      </c>
      <c r="C37" s="9" t="s">
        <v>141</v>
      </c>
      <c r="D37" s="4" t="s">
        <v>186</v>
      </c>
    </row>
    <row r="38" spans="1:4" ht="37.5" customHeight="1" x14ac:dyDescent="0.3">
      <c r="A38" s="3" t="s">
        <v>22</v>
      </c>
      <c r="B38" s="27" t="s">
        <v>187</v>
      </c>
      <c r="C38" s="9" t="s">
        <v>141</v>
      </c>
      <c r="D38" s="5" t="s">
        <v>188</v>
      </c>
    </row>
    <row r="39" spans="1:4" ht="37.5" customHeight="1" x14ac:dyDescent="0.3">
      <c r="A39" s="2" t="s">
        <v>26</v>
      </c>
      <c r="B39" s="23" t="s">
        <v>189</v>
      </c>
      <c r="C39" s="10" t="s">
        <v>144</v>
      </c>
      <c r="D39" s="4" t="s">
        <v>190</v>
      </c>
    </row>
    <row r="40" spans="1:4" ht="37.5" customHeight="1" x14ac:dyDescent="0.3">
      <c r="A40" s="3" t="s">
        <v>30</v>
      </c>
      <c r="B40" s="23" t="s">
        <v>191</v>
      </c>
      <c r="C40" s="10" t="s">
        <v>144</v>
      </c>
      <c r="D40" s="5" t="s">
        <v>192</v>
      </c>
    </row>
    <row r="41" spans="1:4" ht="24" x14ac:dyDescent="0.3">
      <c r="A41" s="2" t="s">
        <v>34</v>
      </c>
      <c r="B41" s="30" t="s">
        <v>193</v>
      </c>
      <c r="C41" s="43" t="s">
        <v>194</v>
      </c>
      <c r="D41" s="4" t="s">
        <v>195</v>
      </c>
    </row>
    <row r="42" spans="1:4" ht="25.5" customHeight="1" x14ac:dyDescent="0.3">
      <c r="A42" s="196" t="s">
        <v>38</v>
      </c>
      <c r="B42" s="196" t="s">
        <v>196</v>
      </c>
      <c r="C42" s="196" t="s">
        <v>167</v>
      </c>
      <c r="D42" s="196" t="s">
        <v>197</v>
      </c>
    </row>
    <row r="43" spans="1:4" ht="19.5" customHeight="1" x14ac:dyDescent="0.3"/>
    <row r="44" spans="1:4" ht="37.5" customHeight="1" x14ac:dyDescent="0.3">
      <c r="A44" s="44" t="s">
        <v>198</v>
      </c>
      <c r="B44" s="39"/>
      <c r="C44" s="39"/>
      <c r="D44" s="40"/>
    </row>
    <row r="45" spans="1:4" ht="37.5" customHeight="1" x14ac:dyDescent="0.3">
      <c r="A45" s="6" t="s">
        <v>14</v>
      </c>
      <c r="B45" s="6" t="s">
        <v>3</v>
      </c>
      <c r="C45" s="6" t="s">
        <v>138</v>
      </c>
      <c r="D45" s="6" t="s">
        <v>139</v>
      </c>
    </row>
    <row r="46" spans="1:4" ht="37.5" customHeight="1" x14ac:dyDescent="0.3">
      <c r="A46" s="2" t="s">
        <v>18</v>
      </c>
      <c r="B46" s="27" t="s">
        <v>199</v>
      </c>
      <c r="C46" s="9" t="s">
        <v>141</v>
      </c>
      <c r="D46" s="4" t="s">
        <v>1339</v>
      </c>
    </row>
    <row r="47" spans="1:4" ht="37.5" customHeight="1" x14ac:dyDescent="0.3">
      <c r="A47" s="3" t="s">
        <v>22</v>
      </c>
      <c r="B47" s="27" t="s">
        <v>200</v>
      </c>
      <c r="C47" s="9" t="s">
        <v>141</v>
      </c>
      <c r="D47" s="5" t="s">
        <v>201</v>
      </c>
    </row>
    <row r="48" spans="1:4" ht="37.5" customHeight="1" x14ac:dyDescent="0.3">
      <c r="A48" s="2" t="s">
        <v>26</v>
      </c>
      <c r="B48" s="27" t="s">
        <v>202</v>
      </c>
      <c r="C48" s="9" t="s">
        <v>141</v>
      </c>
      <c r="D48" s="4" t="s">
        <v>203</v>
      </c>
    </row>
    <row r="49" spans="1:4" ht="37.5" customHeight="1" x14ac:dyDescent="0.3">
      <c r="A49" s="3" t="s">
        <v>30</v>
      </c>
      <c r="B49" s="27" t="s">
        <v>204</v>
      </c>
      <c r="C49" s="9" t="s">
        <v>141</v>
      </c>
      <c r="D49" s="5" t="s">
        <v>205</v>
      </c>
    </row>
    <row r="50" spans="1:4" ht="37.5" customHeight="1" x14ac:dyDescent="0.3">
      <c r="A50" s="2" t="s">
        <v>34</v>
      </c>
      <c r="B50" s="23" t="s">
        <v>206</v>
      </c>
      <c r="C50" s="10" t="s">
        <v>144</v>
      </c>
      <c r="D50" s="4" t="s">
        <v>207</v>
      </c>
    </row>
    <row r="51" spans="1:4" ht="37.5" customHeight="1" x14ac:dyDescent="0.3">
      <c r="A51" s="3" t="s">
        <v>38</v>
      </c>
      <c r="B51" s="23" t="s">
        <v>208</v>
      </c>
      <c r="C51" s="10" t="s">
        <v>144</v>
      </c>
      <c r="D51" s="5" t="s">
        <v>209</v>
      </c>
    </row>
    <row r="52" spans="1:4" ht="37.5" customHeight="1" x14ac:dyDescent="0.3">
      <c r="A52" s="2" t="s">
        <v>42</v>
      </c>
      <c r="B52" s="30" t="s">
        <v>210</v>
      </c>
      <c r="C52" s="43" t="s">
        <v>194</v>
      </c>
      <c r="D52" s="4" t="s">
        <v>211</v>
      </c>
    </row>
    <row r="53" spans="1:4" ht="24" x14ac:dyDescent="0.3">
      <c r="A53" s="3" t="s">
        <v>46</v>
      </c>
      <c r="B53" s="23" t="s">
        <v>212</v>
      </c>
      <c r="C53" s="10" t="s">
        <v>144</v>
      </c>
      <c r="D53" s="5" t="s">
        <v>213</v>
      </c>
    </row>
    <row r="54" spans="1:4" ht="25.5" customHeight="1" x14ac:dyDescent="0.3">
      <c r="A54" s="197" t="s">
        <v>50</v>
      </c>
      <c r="B54" s="197" t="s">
        <v>214</v>
      </c>
      <c r="C54" s="197" t="s">
        <v>194</v>
      </c>
      <c r="D54" s="197" t="s">
        <v>215</v>
      </c>
    </row>
    <row r="55" spans="1:4" ht="19.5" customHeight="1" x14ac:dyDescent="0.3"/>
    <row r="56" spans="1:4" ht="37.5" customHeight="1" x14ac:dyDescent="0.3">
      <c r="A56" s="38" t="s">
        <v>216</v>
      </c>
      <c r="B56" s="39"/>
      <c r="C56" s="39"/>
      <c r="D56" s="40"/>
    </row>
    <row r="57" spans="1:4" ht="37.5" customHeight="1" x14ac:dyDescent="0.3">
      <c r="A57" s="6" t="s">
        <v>14</v>
      </c>
      <c r="B57" s="6" t="s">
        <v>3</v>
      </c>
      <c r="C57" s="6" t="s">
        <v>138</v>
      </c>
      <c r="D57" s="6" t="s">
        <v>139</v>
      </c>
    </row>
    <row r="58" spans="1:4" ht="37.5" customHeight="1" x14ac:dyDescent="0.3">
      <c r="A58" s="2" t="s">
        <v>18</v>
      </c>
      <c r="B58" s="27" t="s">
        <v>217</v>
      </c>
      <c r="C58" s="9" t="s">
        <v>141</v>
      </c>
      <c r="D58" s="4" t="s">
        <v>218</v>
      </c>
    </row>
    <row r="59" spans="1:4" ht="37.5" customHeight="1" x14ac:dyDescent="0.3">
      <c r="A59" s="3" t="s">
        <v>22</v>
      </c>
      <c r="B59" s="27" t="s">
        <v>219</v>
      </c>
      <c r="C59" s="9" t="s">
        <v>141</v>
      </c>
      <c r="D59" s="5" t="s">
        <v>220</v>
      </c>
    </row>
    <row r="60" spans="1:4" ht="37.5" customHeight="1" x14ac:dyDescent="0.3">
      <c r="A60" s="2" t="s">
        <v>26</v>
      </c>
      <c r="B60" s="27" t="s">
        <v>221</v>
      </c>
      <c r="C60" s="9" t="s">
        <v>141</v>
      </c>
      <c r="D60" s="4" t="s">
        <v>222</v>
      </c>
    </row>
    <row r="61" spans="1:4" ht="37.5" customHeight="1" x14ac:dyDescent="0.3">
      <c r="A61" s="3" t="s">
        <v>30</v>
      </c>
      <c r="B61" s="23" t="s">
        <v>223</v>
      </c>
      <c r="C61" s="10" t="s">
        <v>144</v>
      </c>
      <c r="D61" s="5" t="s">
        <v>224</v>
      </c>
    </row>
    <row r="62" spans="1:4" ht="37.5" customHeight="1" x14ac:dyDescent="0.3">
      <c r="A62" s="2" t="s">
        <v>34</v>
      </c>
      <c r="B62" s="23" t="s">
        <v>225</v>
      </c>
      <c r="C62" s="10" t="s">
        <v>144</v>
      </c>
      <c r="D62" s="4" t="s">
        <v>226</v>
      </c>
    </row>
    <row r="63" spans="1:4" ht="24" x14ac:dyDescent="0.3">
      <c r="A63" s="3" t="s">
        <v>38</v>
      </c>
      <c r="B63" s="30" t="s">
        <v>227</v>
      </c>
      <c r="C63" s="43" t="s">
        <v>194</v>
      </c>
      <c r="D63" s="5" t="s">
        <v>228</v>
      </c>
    </row>
    <row r="64" spans="1:4" ht="22.8" x14ac:dyDescent="0.3">
      <c r="A64" s="2" t="s">
        <v>42</v>
      </c>
      <c r="B64" s="30" t="s">
        <v>229</v>
      </c>
      <c r="C64" s="43" t="s">
        <v>194</v>
      </c>
      <c r="D64" s="4" t="s">
        <v>230</v>
      </c>
    </row>
  </sheetData>
  <mergeCells count="8">
    <mergeCell ref="A33:D33"/>
    <mergeCell ref="A42:D42"/>
    <mergeCell ref="A54:D54"/>
    <mergeCell ref="A1:D1"/>
    <mergeCell ref="A2:D2"/>
    <mergeCell ref="A4:D4"/>
    <mergeCell ref="A13:D13"/>
    <mergeCell ref="A24:D24"/>
  </mergeCells>
  <pageMargins left="0.5" right="0.5" top="0.6" bottom="0.6" header="0.511811023622047" footer="0.511811023622047"/>
  <pageSetup paperSize="9"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2B21"/>
    <pageSetUpPr fitToPage="1"/>
  </sheetPr>
  <dimension ref="A1:G105"/>
  <sheetViews>
    <sheetView showGridLines="0" zoomScaleNormal="100" workbookViewId="0">
      <pane ySplit="2" topLeftCell="A106" activePane="bottomLeft" state="frozen"/>
      <selection pane="bottomLeft" activeCell="C68" sqref="C68:G68"/>
    </sheetView>
  </sheetViews>
  <sheetFormatPr baseColWidth="10" defaultColWidth="8.6640625" defaultRowHeight="14.4" x14ac:dyDescent="0.3"/>
  <cols>
    <col min="1" max="1" width="4" customWidth="1"/>
    <col min="2" max="2" width="34" customWidth="1"/>
    <col min="3" max="7" width="16" customWidth="1"/>
  </cols>
  <sheetData>
    <row r="1" spans="1:7" ht="36" customHeight="1" x14ac:dyDescent="0.3">
      <c r="A1" s="168" t="s">
        <v>231</v>
      </c>
      <c r="B1" s="168"/>
      <c r="C1" s="168"/>
      <c r="D1" s="168"/>
      <c r="E1" s="168"/>
      <c r="F1" s="168"/>
      <c r="G1" s="168"/>
    </row>
    <row r="2" spans="1:7" ht="18" customHeight="1" x14ac:dyDescent="0.3">
      <c r="A2" s="169" t="s">
        <v>232</v>
      </c>
      <c r="B2" s="169"/>
      <c r="C2" s="169"/>
      <c r="D2" s="169"/>
      <c r="E2" s="169"/>
      <c r="F2" s="169"/>
      <c r="G2" s="169"/>
    </row>
    <row r="4" spans="1:7" ht="25.5" customHeight="1" x14ac:dyDescent="0.3">
      <c r="A4" s="170" t="s">
        <v>233</v>
      </c>
      <c r="B4" s="170"/>
      <c r="C4" s="170"/>
      <c r="D4" s="170"/>
      <c r="E4" s="170"/>
      <c r="F4" s="170"/>
      <c r="G4" s="170"/>
    </row>
    <row r="5" spans="1:7" ht="25.5" customHeight="1" x14ac:dyDescent="0.3">
      <c r="A5" s="6" t="s">
        <v>14</v>
      </c>
      <c r="B5" s="1" t="s">
        <v>234</v>
      </c>
      <c r="C5" s="45" t="s">
        <v>235</v>
      </c>
      <c r="D5" s="46" t="s">
        <v>236</v>
      </c>
      <c r="E5" s="47" t="s">
        <v>55</v>
      </c>
      <c r="F5" s="48" t="s">
        <v>237</v>
      </c>
      <c r="G5" s="49" t="s">
        <v>238</v>
      </c>
    </row>
    <row r="6" spans="1:7" ht="21.75" customHeight="1" x14ac:dyDescent="0.3">
      <c r="A6" s="2" t="s">
        <v>18</v>
      </c>
      <c r="B6" s="4" t="s">
        <v>239</v>
      </c>
      <c r="C6" s="2" t="s">
        <v>240</v>
      </c>
      <c r="D6" s="2" t="s">
        <v>241</v>
      </c>
      <c r="E6" s="2" t="s">
        <v>242</v>
      </c>
      <c r="F6" s="2" t="s">
        <v>243</v>
      </c>
      <c r="G6" s="2" t="s">
        <v>244</v>
      </c>
    </row>
    <row r="7" spans="1:7" ht="21.75" customHeight="1" x14ac:dyDescent="0.3">
      <c r="A7" s="3" t="s">
        <v>22</v>
      </c>
      <c r="B7" s="5" t="s">
        <v>245</v>
      </c>
      <c r="C7" s="3" t="s">
        <v>246</v>
      </c>
      <c r="D7" s="3" t="s">
        <v>247</v>
      </c>
      <c r="E7" s="9" t="s">
        <v>250</v>
      </c>
      <c r="F7" s="9" t="s">
        <v>250</v>
      </c>
      <c r="G7" s="9" t="s">
        <v>250</v>
      </c>
    </row>
    <row r="8" spans="1:7" ht="21.75" customHeight="1" x14ac:dyDescent="0.3">
      <c r="A8" s="2" t="s">
        <v>26</v>
      </c>
      <c r="B8" s="4" t="s">
        <v>248</v>
      </c>
      <c r="C8" s="8" t="s">
        <v>249</v>
      </c>
      <c r="D8" s="8" t="s">
        <v>249</v>
      </c>
      <c r="E8" s="9" t="s">
        <v>250</v>
      </c>
      <c r="F8" s="9" t="s">
        <v>250</v>
      </c>
      <c r="G8" s="9" t="s">
        <v>250</v>
      </c>
    </row>
    <row r="9" spans="1:7" ht="21.75" customHeight="1" x14ac:dyDescent="0.3">
      <c r="A9" s="3" t="s">
        <v>30</v>
      </c>
      <c r="B9" s="5" t="s">
        <v>251</v>
      </c>
      <c r="C9" s="8" t="s">
        <v>249</v>
      </c>
      <c r="D9" s="8" t="s">
        <v>249</v>
      </c>
      <c r="E9" s="10" t="s">
        <v>252</v>
      </c>
      <c r="F9" s="9" t="s">
        <v>250</v>
      </c>
      <c r="G9" s="9" t="s">
        <v>250</v>
      </c>
    </row>
    <row r="10" spans="1:7" ht="21.75" customHeight="1" x14ac:dyDescent="0.3">
      <c r="A10" s="2" t="s">
        <v>34</v>
      </c>
      <c r="B10" s="4" t="s">
        <v>253</v>
      </c>
      <c r="C10" s="10" t="s">
        <v>252</v>
      </c>
      <c r="D10" s="10" t="s">
        <v>252</v>
      </c>
      <c r="E10" s="9" t="s">
        <v>250</v>
      </c>
      <c r="F10" s="9" t="s">
        <v>250</v>
      </c>
      <c r="G10" s="9" t="s">
        <v>250</v>
      </c>
    </row>
    <row r="11" spans="1:7" ht="21.75" customHeight="1" x14ac:dyDescent="0.3">
      <c r="A11" s="3" t="s">
        <v>38</v>
      </c>
      <c r="B11" s="5" t="s">
        <v>254</v>
      </c>
      <c r="C11" s="9" t="s">
        <v>250</v>
      </c>
      <c r="D11" s="9" t="s">
        <v>250</v>
      </c>
      <c r="E11" s="9" t="s">
        <v>250</v>
      </c>
      <c r="F11" s="8" t="s">
        <v>249</v>
      </c>
      <c r="G11" s="9" t="s">
        <v>250</v>
      </c>
    </row>
    <row r="12" spans="1:7" ht="21.75" customHeight="1" x14ac:dyDescent="0.3">
      <c r="A12" s="2" t="s">
        <v>42</v>
      </c>
      <c r="B12" s="4" t="s">
        <v>255</v>
      </c>
      <c r="C12" s="9" t="s">
        <v>250</v>
      </c>
      <c r="D12" s="9" t="s">
        <v>250</v>
      </c>
      <c r="E12" s="9" t="s">
        <v>250</v>
      </c>
      <c r="F12" s="10" t="s">
        <v>252</v>
      </c>
      <c r="G12" s="8" t="s">
        <v>249</v>
      </c>
    </row>
    <row r="13" spans="1:7" ht="21.75" customHeight="1" x14ac:dyDescent="0.3">
      <c r="A13" s="3" t="s">
        <v>46</v>
      </c>
      <c r="B13" s="5" t="s">
        <v>256</v>
      </c>
      <c r="C13" s="9" t="s">
        <v>250</v>
      </c>
      <c r="D13" s="9" t="s">
        <v>250</v>
      </c>
      <c r="E13" s="9" t="s">
        <v>250</v>
      </c>
      <c r="F13" s="8" t="s">
        <v>249</v>
      </c>
      <c r="G13" s="9" t="s">
        <v>250</v>
      </c>
    </row>
    <row r="14" spans="1:7" ht="21.75" customHeight="1" x14ac:dyDescent="0.3">
      <c r="A14" s="2" t="s">
        <v>50</v>
      </c>
      <c r="B14" s="4" t="s">
        <v>257</v>
      </c>
      <c r="C14" s="9" t="s">
        <v>250</v>
      </c>
      <c r="D14" s="9" t="s">
        <v>250</v>
      </c>
      <c r="E14" s="10" t="s">
        <v>252</v>
      </c>
      <c r="F14" s="9" t="s">
        <v>250</v>
      </c>
      <c r="G14" s="9" t="s">
        <v>250</v>
      </c>
    </row>
    <row r="15" spans="1:7" ht="21.75" customHeight="1" x14ac:dyDescent="0.3">
      <c r="A15" s="3" t="s">
        <v>54</v>
      </c>
      <c r="B15" s="5" t="s">
        <v>258</v>
      </c>
      <c r="C15" s="9" t="s">
        <v>250</v>
      </c>
      <c r="D15" s="9" t="s">
        <v>250</v>
      </c>
      <c r="E15" s="10" t="s">
        <v>252</v>
      </c>
      <c r="F15" s="9" t="s">
        <v>250</v>
      </c>
      <c r="G15" s="9" t="s">
        <v>250</v>
      </c>
    </row>
    <row r="16" spans="1:7" ht="21.75" customHeight="1" x14ac:dyDescent="0.3">
      <c r="A16" s="2" t="s">
        <v>58</v>
      </c>
      <c r="B16" s="4" t="s">
        <v>259</v>
      </c>
      <c r="C16" s="8" t="s">
        <v>249</v>
      </c>
      <c r="D16" s="8" t="s">
        <v>249</v>
      </c>
      <c r="E16" s="10" t="s">
        <v>252</v>
      </c>
      <c r="F16" s="9" t="s">
        <v>250</v>
      </c>
      <c r="G16" s="9" t="s">
        <v>250</v>
      </c>
    </row>
    <row r="17" spans="1:7" ht="21.75" customHeight="1" x14ac:dyDescent="0.3">
      <c r="A17" s="3" t="s">
        <v>62</v>
      </c>
      <c r="B17" s="5" t="s">
        <v>260</v>
      </c>
      <c r="C17" s="8" t="s">
        <v>249</v>
      </c>
      <c r="D17" s="8" t="s">
        <v>249</v>
      </c>
      <c r="E17" s="9" t="s">
        <v>250</v>
      </c>
      <c r="F17" s="9" t="s">
        <v>250</v>
      </c>
      <c r="G17" s="9" t="s">
        <v>250</v>
      </c>
    </row>
    <row r="18" spans="1:7" ht="21.75" customHeight="1" x14ac:dyDescent="0.3">
      <c r="A18" s="2" t="s">
        <v>66</v>
      </c>
      <c r="B18" s="4" t="s">
        <v>261</v>
      </c>
      <c r="C18" s="8" t="s">
        <v>249</v>
      </c>
      <c r="D18" s="8" t="s">
        <v>249</v>
      </c>
      <c r="E18" s="9" t="s">
        <v>250</v>
      </c>
      <c r="F18" s="9" t="s">
        <v>250</v>
      </c>
      <c r="G18" s="9" t="s">
        <v>250</v>
      </c>
    </row>
    <row r="19" spans="1:7" ht="21.75" customHeight="1" x14ac:dyDescent="0.3">
      <c r="A19" s="3" t="s">
        <v>70</v>
      </c>
      <c r="B19" s="5" t="s">
        <v>262</v>
      </c>
      <c r="C19" s="9" t="s">
        <v>250</v>
      </c>
      <c r="D19" s="9" t="s">
        <v>250</v>
      </c>
      <c r="E19" s="8" t="s">
        <v>249</v>
      </c>
      <c r="F19" s="9" t="s">
        <v>250</v>
      </c>
      <c r="G19" s="9" t="s">
        <v>250</v>
      </c>
    </row>
    <row r="20" spans="1:7" ht="21.75" customHeight="1" x14ac:dyDescent="0.3">
      <c r="A20" s="2" t="s">
        <v>263</v>
      </c>
      <c r="B20" s="4" t="s">
        <v>264</v>
      </c>
      <c r="C20" s="9" t="s">
        <v>250</v>
      </c>
      <c r="D20" s="9" t="s">
        <v>250</v>
      </c>
      <c r="E20" s="9" t="s">
        <v>250</v>
      </c>
      <c r="F20" s="8" t="s">
        <v>249</v>
      </c>
      <c r="G20" s="9" t="s">
        <v>250</v>
      </c>
    </row>
    <row r="21" spans="1:7" ht="21.75" customHeight="1" x14ac:dyDescent="0.3">
      <c r="A21" s="3" t="s">
        <v>265</v>
      </c>
      <c r="B21" s="5" t="s">
        <v>266</v>
      </c>
      <c r="C21" s="9" t="s">
        <v>250</v>
      </c>
      <c r="D21" s="9" t="s">
        <v>250</v>
      </c>
      <c r="E21" s="9" t="s">
        <v>250</v>
      </c>
      <c r="F21" s="10" t="s">
        <v>252</v>
      </c>
      <c r="G21" s="8" t="s">
        <v>249</v>
      </c>
    </row>
    <row r="22" spans="1:7" ht="21.75" customHeight="1" x14ac:dyDescent="0.3">
      <c r="A22" s="2" t="s">
        <v>267</v>
      </c>
      <c r="B22" s="4" t="s">
        <v>268</v>
      </c>
      <c r="C22" s="9" t="s">
        <v>250</v>
      </c>
      <c r="D22" s="9" t="s">
        <v>250</v>
      </c>
      <c r="E22" s="9" t="s">
        <v>250</v>
      </c>
      <c r="F22" s="8" t="s">
        <v>249</v>
      </c>
      <c r="G22" s="9" t="s">
        <v>250</v>
      </c>
    </row>
    <row r="23" spans="1:7" ht="21.75" customHeight="1" x14ac:dyDescent="0.3">
      <c r="A23" s="3" t="s">
        <v>269</v>
      </c>
      <c r="B23" s="5" t="s">
        <v>270</v>
      </c>
      <c r="C23" s="9" t="s">
        <v>250</v>
      </c>
      <c r="D23" s="9" t="s">
        <v>250</v>
      </c>
      <c r="E23" s="9" t="s">
        <v>250</v>
      </c>
      <c r="F23" s="8" t="s">
        <v>249</v>
      </c>
      <c r="G23" s="9" t="s">
        <v>250</v>
      </c>
    </row>
    <row r="24" spans="1:7" ht="21.75" customHeight="1" x14ac:dyDescent="0.3">
      <c r="A24" s="2" t="s">
        <v>271</v>
      </c>
      <c r="B24" s="4" t="s">
        <v>272</v>
      </c>
      <c r="C24" s="9" t="s">
        <v>250</v>
      </c>
      <c r="D24" s="9" t="s">
        <v>250</v>
      </c>
      <c r="E24" s="9" t="s">
        <v>250</v>
      </c>
      <c r="F24" s="8" t="s">
        <v>249</v>
      </c>
      <c r="G24" s="9" t="s">
        <v>250</v>
      </c>
    </row>
    <row r="25" spans="1:7" ht="21.75" customHeight="1" x14ac:dyDescent="0.3">
      <c r="A25" s="3" t="s">
        <v>273</v>
      </c>
      <c r="B25" s="5" t="s">
        <v>274</v>
      </c>
      <c r="C25" s="10" t="s">
        <v>252</v>
      </c>
      <c r="D25" s="10" t="s">
        <v>252</v>
      </c>
      <c r="E25" s="9" t="s">
        <v>250</v>
      </c>
      <c r="F25" s="8" t="s">
        <v>249</v>
      </c>
      <c r="G25" s="9" t="s">
        <v>250</v>
      </c>
    </row>
    <row r="26" spans="1:7" ht="21.75" customHeight="1" x14ac:dyDescent="0.3">
      <c r="A26" s="2" t="s">
        <v>275</v>
      </c>
      <c r="B26" s="4" t="s">
        <v>276</v>
      </c>
      <c r="C26" s="9" t="s">
        <v>250</v>
      </c>
      <c r="D26" s="9" t="s">
        <v>250</v>
      </c>
      <c r="E26" s="9" t="s">
        <v>250</v>
      </c>
      <c r="F26" s="10" t="s">
        <v>252</v>
      </c>
      <c r="G26" s="8" t="s">
        <v>249</v>
      </c>
    </row>
    <row r="27" spans="1:7" ht="21.75" customHeight="1" x14ac:dyDescent="0.3">
      <c r="A27" s="3" t="s">
        <v>277</v>
      </c>
      <c r="B27" s="5" t="s">
        <v>278</v>
      </c>
      <c r="C27" s="9" t="s">
        <v>250</v>
      </c>
      <c r="D27" s="9" t="s">
        <v>250</v>
      </c>
      <c r="E27" s="9" t="s">
        <v>250</v>
      </c>
      <c r="F27" s="10" t="s">
        <v>252</v>
      </c>
      <c r="G27" s="10" t="s">
        <v>252</v>
      </c>
    </row>
    <row r="28" spans="1:7" ht="21.75" customHeight="1" x14ac:dyDescent="0.3">
      <c r="A28" s="2" t="s">
        <v>279</v>
      </c>
      <c r="B28" s="4" t="s">
        <v>280</v>
      </c>
      <c r="C28" s="9" t="s">
        <v>250</v>
      </c>
      <c r="D28" s="10" t="s">
        <v>252</v>
      </c>
      <c r="E28" s="9" t="s">
        <v>250</v>
      </c>
      <c r="F28" s="9" t="s">
        <v>250</v>
      </c>
      <c r="G28" s="9" t="s">
        <v>250</v>
      </c>
    </row>
    <row r="29" spans="1:7" ht="21.75" customHeight="1" x14ac:dyDescent="0.3">
      <c r="A29" s="3" t="s">
        <v>281</v>
      </c>
      <c r="B29" s="5" t="s">
        <v>282</v>
      </c>
      <c r="C29" s="9" t="s">
        <v>250</v>
      </c>
      <c r="D29" s="9" t="s">
        <v>250</v>
      </c>
      <c r="E29" s="9" t="s">
        <v>250</v>
      </c>
      <c r="F29" s="9" t="s">
        <v>250</v>
      </c>
      <c r="G29" s="8" t="s">
        <v>249</v>
      </c>
    </row>
    <row r="30" spans="1:7" ht="21.75" customHeight="1" x14ac:dyDescent="0.3">
      <c r="A30" s="2" t="s">
        <v>283</v>
      </c>
      <c r="B30" s="4" t="s">
        <v>284</v>
      </c>
      <c r="C30" s="8" t="s">
        <v>249</v>
      </c>
      <c r="D30" s="8" t="s">
        <v>249</v>
      </c>
      <c r="E30" s="8" t="s">
        <v>249</v>
      </c>
      <c r="F30" s="9" t="s">
        <v>250</v>
      </c>
      <c r="G30" s="9" t="s">
        <v>250</v>
      </c>
    </row>
    <row r="31" spans="1:7" ht="21.75" customHeight="1" x14ac:dyDescent="0.3">
      <c r="A31" s="3" t="s">
        <v>285</v>
      </c>
      <c r="B31" s="5" t="s">
        <v>286</v>
      </c>
      <c r="C31" s="8" t="s">
        <v>249</v>
      </c>
      <c r="D31" s="8" t="s">
        <v>249</v>
      </c>
      <c r="E31" s="8" t="s">
        <v>249</v>
      </c>
      <c r="F31" s="10" t="s">
        <v>252</v>
      </c>
      <c r="G31" s="10" t="s">
        <v>252</v>
      </c>
    </row>
    <row r="32" spans="1:7" ht="21.75" customHeight="1" x14ac:dyDescent="0.3">
      <c r="A32" s="2" t="s">
        <v>287</v>
      </c>
      <c r="B32" s="4" t="s">
        <v>288</v>
      </c>
      <c r="C32" s="9" t="s">
        <v>250</v>
      </c>
      <c r="D32" s="9" t="s">
        <v>250</v>
      </c>
      <c r="E32" s="9" t="s">
        <v>250</v>
      </c>
      <c r="F32" s="8" t="s">
        <v>249</v>
      </c>
      <c r="G32" s="8" t="s">
        <v>249</v>
      </c>
    </row>
    <row r="33" spans="1:7" ht="21.75" customHeight="1" x14ac:dyDescent="0.3">
      <c r="A33" s="3" t="s">
        <v>289</v>
      </c>
      <c r="B33" s="5" t="s">
        <v>290</v>
      </c>
      <c r="C33" s="8" t="s">
        <v>249</v>
      </c>
      <c r="D33" s="8" t="s">
        <v>249</v>
      </c>
      <c r="E33" s="8" t="s">
        <v>249</v>
      </c>
      <c r="F33" s="8" t="s">
        <v>249</v>
      </c>
      <c r="G33" s="9" t="s">
        <v>250</v>
      </c>
    </row>
    <row r="34" spans="1:7" ht="21.75" customHeight="1" x14ac:dyDescent="0.3">
      <c r="A34" s="2" t="s">
        <v>291</v>
      </c>
      <c r="B34" s="4" t="s">
        <v>292</v>
      </c>
      <c r="C34" s="10" t="s">
        <v>252</v>
      </c>
      <c r="D34" s="10" t="s">
        <v>252</v>
      </c>
      <c r="E34" s="9" t="s">
        <v>250</v>
      </c>
      <c r="F34" s="9" t="s">
        <v>250</v>
      </c>
      <c r="G34" s="9" t="s">
        <v>250</v>
      </c>
    </row>
    <row r="35" spans="1:7" ht="21.75" customHeight="1" x14ac:dyDescent="0.3">
      <c r="A35" s="3" t="s">
        <v>293</v>
      </c>
      <c r="B35" s="5" t="s">
        <v>294</v>
      </c>
      <c r="C35" s="10" t="s">
        <v>252</v>
      </c>
      <c r="D35" s="10" t="s">
        <v>252</v>
      </c>
      <c r="E35" s="9" t="s">
        <v>250</v>
      </c>
      <c r="F35" s="8" t="s">
        <v>249</v>
      </c>
      <c r="G35" s="9" t="s">
        <v>250</v>
      </c>
    </row>
    <row r="37" spans="1:7" ht="37.799999999999997" customHeight="1" x14ac:dyDescent="0.3">
      <c r="A37" s="199" t="s">
        <v>295</v>
      </c>
      <c r="B37" s="199"/>
      <c r="C37" s="8" t="s">
        <v>296</v>
      </c>
      <c r="D37" s="9" t="s">
        <v>297</v>
      </c>
      <c r="E37" s="10" t="s">
        <v>298</v>
      </c>
      <c r="F37" s="5"/>
      <c r="G37" s="5"/>
    </row>
    <row r="39" spans="1:7" ht="25.5" customHeight="1" x14ac:dyDescent="0.3">
      <c r="A39" s="170" t="s">
        <v>299</v>
      </c>
      <c r="B39" s="170"/>
      <c r="C39" s="170"/>
      <c r="D39" s="170"/>
      <c r="E39" s="170"/>
      <c r="F39" s="170"/>
      <c r="G39" s="170"/>
    </row>
    <row r="40" spans="1:7" ht="24" customHeight="1" x14ac:dyDescent="0.3">
      <c r="A40" s="175" t="s">
        <v>300</v>
      </c>
      <c r="B40" s="175"/>
      <c r="C40" s="175"/>
      <c r="D40" s="175"/>
      <c r="E40" s="175"/>
      <c r="F40" s="175"/>
      <c r="G40" s="175"/>
    </row>
    <row r="41" spans="1:7" ht="19.5" customHeight="1" x14ac:dyDescent="0.3">
      <c r="A41" s="6"/>
      <c r="B41" s="6" t="s">
        <v>301</v>
      </c>
      <c r="C41" s="171" t="s">
        <v>302</v>
      </c>
      <c r="D41" s="171"/>
      <c r="E41" s="171"/>
      <c r="F41" s="171"/>
      <c r="G41" s="171"/>
    </row>
    <row r="42" spans="1:7" ht="21.75" customHeight="1" x14ac:dyDescent="0.3">
      <c r="A42" s="2" t="s">
        <v>18</v>
      </c>
      <c r="B42" s="50" t="s">
        <v>303</v>
      </c>
      <c r="C42" s="174" t="s">
        <v>304</v>
      </c>
      <c r="D42" s="174"/>
      <c r="E42" s="174"/>
      <c r="F42" s="174"/>
      <c r="G42" s="174"/>
    </row>
    <row r="43" spans="1:7" ht="21.75" customHeight="1" x14ac:dyDescent="0.3">
      <c r="A43" s="3" t="s">
        <v>22</v>
      </c>
      <c r="B43" s="50" t="s">
        <v>303</v>
      </c>
      <c r="C43" s="172" t="s">
        <v>305</v>
      </c>
      <c r="D43" s="172"/>
      <c r="E43" s="172"/>
      <c r="F43" s="172"/>
      <c r="G43" s="172"/>
    </row>
    <row r="44" spans="1:7" ht="21.75" customHeight="1" x14ac:dyDescent="0.3">
      <c r="A44" s="2" t="s">
        <v>26</v>
      </c>
      <c r="B44" s="50" t="s">
        <v>303</v>
      </c>
      <c r="C44" s="174" t="s">
        <v>306</v>
      </c>
      <c r="D44" s="174"/>
      <c r="E44" s="174"/>
      <c r="F44" s="174"/>
      <c r="G44" s="174"/>
    </row>
    <row r="45" spans="1:7" ht="21.75" customHeight="1" x14ac:dyDescent="0.3">
      <c r="A45" s="3" t="s">
        <v>30</v>
      </c>
      <c r="B45" s="50" t="s">
        <v>303</v>
      </c>
      <c r="C45" s="172" t="s">
        <v>307</v>
      </c>
      <c r="D45" s="172"/>
      <c r="E45" s="172"/>
      <c r="F45" s="172"/>
      <c r="G45" s="172"/>
    </row>
    <row r="46" spans="1:7" ht="21.75" customHeight="1" x14ac:dyDescent="0.3">
      <c r="A46" s="2" t="s">
        <v>34</v>
      </c>
      <c r="B46" s="50" t="s">
        <v>303</v>
      </c>
      <c r="C46" s="174" t="s">
        <v>308</v>
      </c>
      <c r="D46" s="174"/>
      <c r="E46" s="174"/>
      <c r="F46" s="174"/>
      <c r="G46" s="174"/>
    </row>
    <row r="47" spans="1:7" ht="21.75" customHeight="1" x14ac:dyDescent="0.3">
      <c r="A47" s="3" t="s">
        <v>38</v>
      </c>
      <c r="B47" s="50" t="s">
        <v>303</v>
      </c>
      <c r="C47" s="172" t="s">
        <v>309</v>
      </c>
      <c r="D47" s="172"/>
      <c r="E47" s="172"/>
      <c r="F47" s="172"/>
      <c r="G47" s="172"/>
    </row>
    <row r="48" spans="1:7" ht="21.75" customHeight="1" x14ac:dyDescent="0.3">
      <c r="A48" s="2" t="s">
        <v>42</v>
      </c>
      <c r="B48" s="50" t="s">
        <v>303</v>
      </c>
      <c r="C48" s="174" t="s">
        <v>310</v>
      </c>
      <c r="D48" s="174"/>
      <c r="E48" s="174"/>
      <c r="F48" s="174"/>
      <c r="G48" s="174"/>
    </row>
    <row r="49" spans="1:7" ht="21.75" customHeight="1" x14ac:dyDescent="0.3">
      <c r="A49" s="3" t="s">
        <v>46</v>
      </c>
      <c r="B49" s="50" t="s">
        <v>303</v>
      </c>
      <c r="C49" s="172" t="s">
        <v>311</v>
      </c>
      <c r="D49" s="172"/>
      <c r="E49" s="172"/>
      <c r="F49" s="172"/>
      <c r="G49" s="172"/>
    </row>
    <row r="50" spans="1:7" ht="21.75" customHeight="1" x14ac:dyDescent="0.3">
      <c r="A50" s="2" t="s">
        <v>50</v>
      </c>
      <c r="B50" s="51" t="s">
        <v>312</v>
      </c>
      <c r="C50" s="174" t="s">
        <v>313</v>
      </c>
      <c r="D50" s="174"/>
      <c r="E50" s="174"/>
      <c r="F50" s="174"/>
      <c r="G50" s="174"/>
    </row>
    <row r="51" spans="1:7" ht="21.75" customHeight="1" x14ac:dyDescent="0.3">
      <c r="A51" s="3" t="s">
        <v>54</v>
      </c>
      <c r="B51" s="51" t="s">
        <v>312</v>
      </c>
      <c r="C51" s="172" t="s">
        <v>314</v>
      </c>
      <c r="D51" s="172"/>
      <c r="E51" s="172"/>
      <c r="F51" s="172"/>
      <c r="G51" s="172"/>
    </row>
    <row r="52" spans="1:7" ht="21.75" customHeight="1" x14ac:dyDescent="0.3">
      <c r="A52" s="2" t="s">
        <v>58</v>
      </c>
      <c r="B52" s="51" t="s">
        <v>312</v>
      </c>
      <c r="C52" s="174" t="s">
        <v>315</v>
      </c>
      <c r="D52" s="174"/>
      <c r="E52" s="174"/>
      <c r="F52" s="174"/>
      <c r="G52" s="174"/>
    </row>
    <row r="53" spans="1:7" ht="21.75" customHeight="1" x14ac:dyDescent="0.3">
      <c r="A53" s="3" t="s">
        <v>62</v>
      </c>
      <c r="B53" s="52" t="s">
        <v>316</v>
      </c>
      <c r="C53" s="172" t="s">
        <v>317</v>
      </c>
      <c r="D53" s="172"/>
      <c r="E53" s="172"/>
      <c r="F53" s="172"/>
      <c r="G53" s="172"/>
    </row>
    <row r="55" spans="1:7" ht="24" customHeight="1" x14ac:dyDescent="0.3">
      <c r="A55" s="200" t="s">
        <v>318</v>
      </c>
      <c r="B55" s="200"/>
      <c r="C55" s="200"/>
      <c r="D55" s="200"/>
      <c r="E55" s="200"/>
      <c r="F55" s="200"/>
      <c r="G55" s="200"/>
    </row>
    <row r="56" spans="1:7" ht="19.5" customHeight="1" x14ac:dyDescent="0.3">
      <c r="A56" s="6"/>
      <c r="B56" s="6" t="s">
        <v>301</v>
      </c>
      <c r="C56" s="171" t="s">
        <v>302</v>
      </c>
      <c r="D56" s="171"/>
      <c r="E56" s="171"/>
      <c r="F56" s="171"/>
      <c r="G56" s="171"/>
    </row>
    <row r="57" spans="1:7" ht="21.75" customHeight="1" x14ac:dyDescent="0.3">
      <c r="A57" s="2" t="s">
        <v>18</v>
      </c>
      <c r="B57" s="50" t="s">
        <v>303</v>
      </c>
      <c r="C57" s="174" t="s">
        <v>1340</v>
      </c>
      <c r="D57" s="174"/>
      <c r="E57" s="174"/>
      <c r="F57" s="174"/>
      <c r="G57" s="174"/>
    </row>
    <row r="58" spans="1:7" ht="21.75" customHeight="1" x14ac:dyDescent="0.3">
      <c r="A58" s="3" t="s">
        <v>22</v>
      </c>
      <c r="B58" s="50" t="s">
        <v>303</v>
      </c>
      <c r="C58" s="172" t="s">
        <v>1341</v>
      </c>
      <c r="D58" s="172"/>
      <c r="E58" s="172"/>
      <c r="F58" s="172"/>
      <c r="G58" s="172"/>
    </row>
    <row r="59" spans="1:7" ht="21.75" customHeight="1" x14ac:dyDescent="0.3">
      <c r="A59" s="2" t="s">
        <v>26</v>
      </c>
      <c r="B59" s="50" t="s">
        <v>303</v>
      </c>
      <c r="C59" s="174" t="s">
        <v>319</v>
      </c>
      <c r="D59" s="174"/>
      <c r="E59" s="174"/>
      <c r="F59" s="174"/>
      <c r="G59" s="174"/>
    </row>
    <row r="60" spans="1:7" ht="21.75" customHeight="1" x14ac:dyDescent="0.3">
      <c r="A60" s="3" t="s">
        <v>30</v>
      </c>
      <c r="B60" s="51" t="s">
        <v>312</v>
      </c>
      <c r="C60" s="172" t="s">
        <v>320</v>
      </c>
      <c r="D60" s="172"/>
      <c r="E60" s="172"/>
      <c r="F60" s="172"/>
      <c r="G60" s="172"/>
    </row>
    <row r="61" spans="1:7" ht="21.75" customHeight="1" x14ac:dyDescent="0.3">
      <c r="A61" s="2" t="s">
        <v>34</v>
      </c>
      <c r="B61" s="51" t="s">
        <v>312</v>
      </c>
      <c r="C61" s="174" t="s">
        <v>321</v>
      </c>
      <c r="D61" s="174"/>
      <c r="E61" s="174"/>
      <c r="F61" s="174"/>
      <c r="G61" s="174"/>
    </row>
    <row r="62" spans="1:7" ht="21.75" customHeight="1" x14ac:dyDescent="0.3">
      <c r="A62" s="3" t="s">
        <v>38</v>
      </c>
      <c r="B62" s="51" t="s">
        <v>312</v>
      </c>
      <c r="C62" s="172" t="s">
        <v>322</v>
      </c>
      <c r="D62" s="172"/>
      <c r="E62" s="172"/>
      <c r="F62" s="172"/>
      <c r="G62" s="172"/>
    </row>
    <row r="63" spans="1:7" ht="21.75" customHeight="1" x14ac:dyDescent="0.3">
      <c r="A63" s="2" t="s">
        <v>42</v>
      </c>
      <c r="B63" s="52" t="s">
        <v>316</v>
      </c>
      <c r="C63" s="174" t="s">
        <v>323</v>
      </c>
      <c r="D63" s="174"/>
      <c r="E63" s="174"/>
      <c r="F63" s="174"/>
      <c r="G63" s="174"/>
    </row>
    <row r="64" spans="1:7" ht="21.75" customHeight="1" x14ac:dyDescent="0.3">
      <c r="A64" s="3" t="s">
        <v>46</v>
      </c>
      <c r="B64" s="52" t="s">
        <v>316</v>
      </c>
      <c r="C64" s="172" t="s">
        <v>324</v>
      </c>
      <c r="D64" s="172"/>
      <c r="E64" s="172"/>
      <c r="F64" s="172"/>
      <c r="G64" s="172"/>
    </row>
    <row r="66" spans="1:7" ht="24" customHeight="1" x14ac:dyDescent="0.3">
      <c r="A66" s="201" t="s">
        <v>325</v>
      </c>
      <c r="B66" s="201"/>
      <c r="C66" s="201"/>
      <c r="D66" s="201"/>
      <c r="E66" s="201"/>
      <c r="F66" s="201"/>
      <c r="G66" s="201"/>
    </row>
    <row r="67" spans="1:7" ht="19.5" customHeight="1" x14ac:dyDescent="0.3">
      <c r="A67" s="6"/>
      <c r="B67" s="6" t="s">
        <v>301</v>
      </c>
      <c r="C67" s="171" t="s">
        <v>302</v>
      </c>
      <c r="D67" s="171"/>
      <c r="E67" s="171"/>
      <c r="F67" s="171"/>
      <c r="G67" s="171"/>
    </row>
    <row r="68" spans="1:7" ht="21.75" customHeight="1" x14ac:dyDescent="0.3">
      <c r="A68" s="2" t="s">
        <v>18</v>
      </c>
      <c r="B68" s="50" t="s">
        <v>303</v>
      </c>
      <c r="C68" s="174" t="s">
        <v>1342</v>
      </c>
      <c r="D68" s="174"/>
      <c r="E68" s="174"/>
      <c r="F68" s="174"/>
      <c r="G68" s="174"/>
    </row>
    <row r="69" spans="1:7" ht="21.75" customHeight="1" x14ac:dyDescent="0.3">
      <c r="A69" s="3" t="s">
        <v>22</v>
      </c>
      <c r="B69" s="50" t="s">
        <v>303</v>
      </c>
      <c r="C69" s="172" t="s">
        <v>326</v>
      </c>
      <c r="D69" s="172"/>
      <c r="E69" s="172"/>
      <c r="F69" s="172"/>
      <c r="G69" s="172"/>
    </row>
    <row r="70" spans="1:7" ht="21.75" customHeight="1" x14ac:dyDescent="0.3">
      <c r="A70" s="2" t="s">
        <v>26</v>
      </c>
      <c r="B70" s="50" t="s">
        <v>303</v>
      </c>
      <c r="C70" s="174" t="s">
        <v>327</v>
      </c>
      <c r="D70" s="174"/>
      <c r="E70" s="174"/>
      <c r="F70" s="174"/>
      <c r="G70" s="174"/>
    </row>
    <row r="71" spans="1:7" ht="21.75" customHeight="1" x14ac:dyDescent="0.3">
      <c r="A71" s="3" t="s">
        <v>30</v>
      </c>
      <c r="B71" s="51" t="s">
        <v>312</v>
      </c>
      <c r="C71" s="172" t="s">
        <v>328</v>
      </c>
      <c r="D71" s="172"/>
      <c r="E71" s="172"/>
      <c r="F71" s="172"/>
      <c r="G71" s="172"/>
    </row>
    <row r="72" spans="1:7" ht="21.75" customHeight="1" x14ac:dyDescent="0.3">
      <c r="A72" s="2" t="s">
        <v>34</v>
      </c>
      <c r="B72" s="51" t="s">
        <v>312</v>
      </c>
      <c r="C72" s="174" t="s">
        <v>329</v>
      </c>
      <c r="D72" s="174"/>
      <c r="E72" s="174"/>
      <c r="F72" s="174"/>
      <c r="G72" s="174"/>
    </row>
    <row r="73" spans="1:7" ht="21.75" customHeight="1" x14ac:dyDescent="0.3">
      <c r="A73" s="3" t="s">
        <v>38</v>
      </c>
      <c r="B73" s="52" t="s">
        <v>316</v>
      </c>
      <c r="C73" s="172" t="s">
        <v>330</v>
      </c>
      <c r="D73" s="172"/>
      <c r="E73" s="172"/>
      <c r="F73" s="172"/>
      <c r="G73" s="172"/>
    </row>
    <row r="74" spans="1:7" ht="21.75" customHeight="1" x14ac:dyDescent="0.3">
      <c r="A74" s="2" t="s">
        <v>42</v>
      </c>
      <c r="B74" s="52" t="s">
        <v>316</v>
      </c>
      <c r="C74" s="174" t="s">
        <v>331</v>
      </c>
      <c r="D74" s="174"/>
      <c r="E74" s="174"/>
      <c r="F74" s="174"/>
      <c r="G74" s="174"/>
    </row>
    <row r="75" spans="1:7" ht="21.75" customHeight="1" x14ac:dyDescent="0.3">
      <c r="A75" s="3" t="s">
        <v>46</v>
      </c>
      <c r="B75" s="52" t="s">
        <v>316</v>
      </c>
      <c r="C75" s="172" t="s">
        <v>332</v>
      </c>
      <c r="D75" s="172"/>
      <c r="E75" s="172"/>
      <c r="F75" s="172"/>
      <c r="G75" s="172"/>
    </row>
    <row r="76" spans="1:7" ht="21.75" customHeight="1" x14ac:dyDescent="0.3">
      <c r="A76" s="2" t="s">
        <v>50</v>
      </c>
      <c r="B76" s="52" t="s">
        <v>316</v>
      </c>
      <c r="C76" s="174" t="s">
        <v>333</v>
      </c>
      <c r="D76" s="174"/>
      <c r="E76" s="174"/>
      <c r="F76" s="174"/>
      <c r="G76" s="174"/>
    </row>
    <row r="78" spans="1:7" ht="24" customHeight="1" x14ac:dyDescent="0.3">
      <c r="A78" s="202" t="s">
        <v>334</v>
      </c>
      <c r="B78" s="202"/>
      <c r="C78" s="202"/>
      <c r="D78" s="202"/>
      <c r="E78" s="202"/>
      <c r="F78" s="202"/>
      <c r="G78" s="202"/>
    </row>
    <row r="79" spans="1:7" ht="19.5" customHeight="1" x14ac:dyDescent="0.3">
      <c r="A79" s="6"/>
      <c r="B79" s="6" t="s">
        <v>301</v>
      </c>
      <c r="C79" s="171" t="s">
        <v>302</v>
      </c>
      <c r="D79" s="171"/>
      <c r="E79" s="171"/>
      <c r="F79" s="171"/>
      <c r="G79" s="171"/>
    </row>
    <row r="80" spans="1:7" ht="21.75" customHeight="1" x14ac:dyDescent="0.3">
      <c r="A80" s="2" t="s">
        <v>18</v>
      </c>
      <c r="B80" s="50" t="s">
        <v>303</v>
      </c>
      <c r="C80" s="174" t="s">
        <v>335</v>
      </c>
      <c r="D80" s="174"/>
      <c r="E80" s="174"/>
      <c r="F80" s="174"/>
      <c r="G80" s="174"/>
    </row>
    <row r="81" spans="1:7" ht="21.75" customHeight="1" x14ac:dyDescent="0.3">
      <c r="A81" s="3" t="s">
        <v>22</v>
      </c>
      <c r="B81" s="50" t="s">
        <v>303</v>
      </c>
      <c r="C81" s="172" t="s">
        <v>336</v>
      </c>
      <c r="D81" s="172"/>
      <c r="E81" s="172"/>
      <c r="F81" s="172"/>
      <c r="G81" s="172"/>
    </row>
    <row r="82" spans="1:7" ht="21.75" customHeight="1" x14ac:dyDescent="0.3">
      <c r="A82" s="2" t="s">
        <v>26</v>
      </c>
      <c r="B82" s="50" t="s">
        <v>303</v>
      </c>
      <c r="C82" s="174" t="s">
        <v>337</v>
      </c>
      <c r="D82" s="174"/>
      <c r="E82" s="174"/>
      <c r="F82" s="174"/>
      <c r="G82" s="174"/>
    </row>
    <row r="83" spans="1:7" ht="21.75" customHeight="1" x14ac:dyDescent="0.3">
      <c r="A83" s="3" t="s">
        <v>30</v>
      </c>
      <c r="B83" s="50" t="s">
        <v>303</v>
      </c>
      <c r="C83" s="172" t="s">
        <v>338</v>
      </c>
      <c r="D83" s="172"/>
      <c r="E83" s="172"/>
      <c r="F83" s="172"/>
      <c r="G83" s="172"/>
    </row>
    <row r="84" spans="1:7" ht="21.75" customHeight="1" x14ac:dyDescent="0.3">
      <c r="A84" s="2" t="s">
        <v>34</v>
      </c>
      <c r="B84" s="50" t="s">
        <v>303</v>
      </c>
      <c r="C84" s="174" t="s">
        <v>339</v>
      </c>
      <c r="D84" s="174"/>
      <c r="E84" s="174"/>
      <c r="F84" s="174"/>
      <c r="G84" s="174"/>
    </row>
    <row r="85" spans="1:7" ht="21.75" customHeight="1" x14ac:dyDescent="0.3">
      <c r="A85" s="3" t="s">
        <v>38</v>
      </c>
      <c r="B85" s="50" t="s">
        <v>303</v>
      </c>
      <c r="C85" s="172" t="s">
        <v>340</v>
      </c>
      <c r="D85" s="172"/>
      <c r="E85" s="172"/>
      <c r="F85" s="172"/>
      <c r="G85" s="172"/>
    </row>
    <row r="86" spans="1:7" ht="21.75" customHeight="1" x14ac:dyDescent="0.3">
      <c r="A86" s="2" t="s">
        <v>42</v>
      </c>
      <c r="B86" s="51" t="s">
        <v>312</v>
      </c>
      <c r="C86" s="174" t="s">
        <v>341</v>
      </c>
      <c r="D86" s="174"/>
      <c r="E86" s="174"/>
      <c r="F86" s="174"/>
      <c r="G86" s="174"/>
    </row>
    <row r="87" spans="1:7" ht="21.75" customHeight="1" x14ac:dyDescent="0.3">
      <c r="A87" s="3" t="s">
        <v>46</v>
      </c>
      <c r="B87" s="51" t="s">
        <v>312</v>
      </c>
      <c r="C87" s="172" t="s">
        <v>342</v>
      </c>
      <c r="D87" s="172"/>
      <c r="E87" s="172"/>
      <c r="F87" s="172"/>
      <c r="G87" s="172"/>
    </row>
    <row r="88" spans="1:7" ht="21.75" customHeight="1" x14ac:dyDescent="0.3">
      <c r="A88" s="2" t="s">
        <v>50</v>
      </c>
      <c r="B88" s="51" t="s">
        <v>312</v>
      </c>
      <c r="C88" s="174" t="s">
        <v>343</v>
      </c>
      <c r="D88" s="174"/>
      <c r="E88" s="174"/>
      <c r="F88" s="174"/>
      <c r="G88" s="174"/>
    </row>
    <row r="89" spans="1:7" ht="21.75" customHeight="1" x14ac:dyDescent="0.3">
      <c r="A89" s="3" t="s">
        <v>54</v>
      </c>
      <c r="B89" s="52" t="s">
        <v>316</v>
      </c>
      <c r="C89" s="172" t="s">
        <v>344</v>
      </c>
      <c r="D89" s="172"/>
      <c r="E89" s="172"/>
      <c r="F89" s="172"/>
      <c r="G89" s="172"/>
    </row>
    <row r="90" spans="1:7" ht="21.75" customHeight="1" x14ac:dyDescent="0.3">
      <c r="A90" s="2" t="s">
        <v>58</v>
      </c>
      <c r="B90" s="52" t="s">
        <v>316</v>
      </c>
      <c r="C90" s="174" t="s">
        <v>345</v>
      </c>
      <c r="D90" s="174"/>
      <c r="E90" s="174"/>
      <c r="F90" s="174"/>
      <c r="G90" s="174"/>
    </row>
    <row r="91" spans="1:7" ht="21.75" customHeight="1" x14ac:dyDescent="0.3">
      <c r="A91" s="3" t="s">
        <v>62</v>
      </c>
      <c r="B91" s="52" t="s">
        <v>316</v>
      </c>
      <c r="C91" s="172" t="s">
        <v>346</v>
      </c>
      <c r="D91" s="172"/>
      <c r="E91" s="172"/>
      <c r="F91" s="172"/>
      <c r="G91" s="172"/>
    </row>
    <row r="93" spans="1:7" ht="24" customHeight="1" x14ac:dyDescent="0.3">
      <c r="A93" s="203" t="s">
        <v>347</v>
      </c>
      <c r="B93" s="203"/>
      <c r="C93" s="203"/>
      <c r="D93" s="203"/>
      <c r="E93" s="203"/>
      <c r="F93" s="203"/>
      <c r="G93" s="203"/>
    </row>
    <row r="94" spans="1:7" ht="19.5" customHeight="1" x14ac:dyDescent="0.3">
      <c r="A94" s="6"/>
      <c r="B94" s="6" t="s">
        <v>301</v>
      </c>
      <c r="C94" s="171" t="s">
        <v>302</v>
      </c>
      <c r="D94" s="171"/>
      <c r="E94" s="171"/>
      <c r="F94" s="171"/>
      <c r="G94" s="171"/>
    </row>
    <row r="95" spans="1:7" ht="21.75" customHeight="1" x14ac:dyDescent="0.3">
      <c r="A95" s="2" t="s">
        <v>18</v>
      </c>
      <c r="B95" s="50" t="s">
        <v>303</v>
      </c>
      <c r="C95" s="174" t="s">
        <v>348</v>
      </c>
      <c r="D95" s="174"/>
      <c r="E95" s="174"/>
      <c r="F95" s="174"/>
      <c r="G95" s="174"/>
    </row>
    <row r="96" spans="1:7" ht="21.75" customHeight="1" x14ac:dyDescent="0.3">
      <c r="A96" s="3" t="s">
        <v>22</v>
      </c>
      <c r="B96" s="50" t="s">
        <v>303</v>
      </c>
      <c r="C96" s="172" t="s">
        <v>349</v>
      </c>
      <c r="D96" s="172"/>
      <c r="E96" s="172"/>
      <c r="F96" s="172"/>
      <c r="G96" s="172"/>
    </row>
    <row r="97" spans="1:7" ht="21.75" customHeight="1" x14ac:dyDescent="0.3">
      <c r="A97" s="2" t="s">
        <v>26</v>
      </c>
      <c r="B97" s="50" t="s">
        <v>303</v>
      </c>
      <c r="C97" s="174" t="s">
        <v>350</v>
      </c>
      <c r="D97" s="174"/>
      <c r="E97" s="174"/>
      <c r="F97" s="174"/>
      <c r="G97" s="174"/>
    </row>
    <row r="98" spans="1:7" ht="21.75" customHeight="1" x14ac:dyDescent="0.3">
      <c r="A98" s="3" t="s">
        <v>30</v>
      </c>
      <c r="B98" s="50" t="s">
        <v>303</v>
      </c>
      <c r="C98" s="172" t="s">
        <v>351</v>
      </c>
      <c r="D98" s="172"/>
      <c r="E98" s="172"/>
      <c r="F98" s="172"/>
      <c r="G98" s="172"/>
    </row>
    <row r="99" spans="1:7" ht="21.75" customHeight="1" x14ac:dyDescent="0.3">
      <c r="A99" s="2" t="s">
        <v>34</v>
      </c>
      <c r="B99" s="50" t="s">
        <v>303</v>
      </c>
      <c r="C99" s="174" t="s">
        <v>352</v>
      </c>
      <c r="D99" s="174"/>
      <c r="E99" s="174"/>
      <c r="F99" s="174"/>
      <c r="G99" s="174"/>
    </row>
    <row r="100" spans="1:7" ht="21.75" customHeight="1" x14ac:dyDescent="0.3">
      <c r="A100" s="3" t="s">
        <v>38</v>
      </c>
      <c r="B100" s="50" t="s">
        <v>303</v>
      </c>
      <c r="C100" s="172" t="s">
        <v>353</v>
      </c>
      <c r="D100" s="172"/>
      <c r="E100" s="172"/>
      <c r="F100" s="172"/>
      <c r="G100" s="172"/>
    </row>
    <row r="101" spans="1:7" ht="21.75" customHeight="1" x14ac:dyDescent="0.3">
      <c r="A101" s="2" t="s">
        <v>42</v>
      </c>
      <c r="B101" s="50" t="s">
        <v>303</v>
      </c>
      <c r="C101" s="174" t="s">
        <v>354</v>
      </c>
      <c r="D101" s="174"/>
      <c r="E101" s="174"/>
      <c r="F101" s="174"/>
      <c r="G101" s="174"/>
    </row>
    <row r="102" spans="1:7" ht="21.75" customHeight="1" x14ac:dyDescent="0.3">
      <c r="A102" s="3" t="s">
        <v>46</v>
      </c>
      <c r="B102" s="50" t="s">
        <v>303</v>
      </c>
      <c r="C102" s="172" t="s">
        <v>355</v>
      </c>
      <c r="D102" s="172"/>
      <c r="E102" s="172"/>
      <c r="F102" s="172"/>
      <c r="G102" s="172"/>
    </row>
    <row r="103" spans="1:7" ht="21.75" customHeight="1" x14ac:dyDescent="0.3">
      <c r="A103" s="2" t="s">
        <v>50</v>
      </c>
      <c r="B103" s="51" t="s">
        <v>312</v>
      </c>
      <c r="C103" s="174" t="s">
        <v>356</v>
      </c>
      <c r="D103" s="174"/>
      <c r="E103" s="174"/>
      <c r="F103" s="174"/>
      <c r="G103" s="174"/>
    </row>
    <row r="104" spans="1:7" ht="21.75" customHeight="1" x14ac:dyDescent="0.3">
      <c r="A104" s="3" t="s">
        <v>54</v>
      </c>
      <c r="B104" s="52" t="s">
        <v>316</v>
      </c>
      <c r="C104" s="172" t="s">
        <v>357</v>
      </c>
      <c r="D104" s="172"/>
      <c r="E104" s="172"/>
      <c r="F104" s="172"/>
      <c r="G104" s="172"/>
    </row>
    <row r="105" spans="1:7" ht="21.75" customHeight="1" x14ac:dyDescent="0.3">
      <c r="A105" s="2" t="s">
        <v>58</v>
      </c>
      <c r="B105" s="52" t="s">
        <v>316</v>
      </c>
      <c r="C105" s="174" t="s">
        <v>358</v>
      </c>
      <c r="D105" s="174"/>
      <c r="E105" s="174"/>
      <c r="F105" s="174"/>
      <c r="G105" s="174"/>
    </row>
  </sheetData>
  <mergeCells count="67">
    <mergeCell ref="C104:G104"/>
    <mergeCell ref="C105:G105"/>
    <mergeCell ref="C99:G99"/>
    <mergeCell ref="C100:G100"/>
    <mergeCell ref="C101:G101"/>
    <mergeCell ref="C102:G102"/>
    <mergeCell ref="C103:G103"/>
    <mergeCell ref="C94:G94"/>
    <mergeCell ref="C95:G95"/>
    <mergeCell ref="C96:G96"/>
    <mergeCell ref="C97:G97"/>
    <mergeCell ref="C98:G98"/>
    <mergeCell ref="C88:G88"/>
    <mergeCell ref="C89:G89"/>
    <mergeCell ref="C90:G90"/>
    <mergeCell ref="C91:G91"/>
    <mergeCell ref="A93:G93"/>
    <mergeCell ref="C83:G83"/>
    <mergeCell ref="C84:G84"/>
    <mergeCell ref="C85:G85"/>
    <mergeCell ref="C86:G86"/>
    <mergeCell ref="C87:G87"/>
    <mergeCell ref="A78:G78"/>
    <mergeCell ref="C79:G79"/>
    <mergeCell ref="C80:G80"/>
    <mergeCell ref="C81:G81"/>
    <mergeCell ref="C82:G82"/>
    <mergeCell ref="C72:G72"/>
    <mergeCell ref="C73:G73"/>
    <mergeCell ref="C74:G74"/>
    <mergeCell ref="C75:G75"/>
    <mergeCell ref="C76:G76"/>
    <mergeCell ref="C67:G67"/>
    <mergeCell ref="C68:G68"/>
    <mergeCell ref="C69:G69"/>
    <mergeCell ref="C70:G70"/>
    <mergeCell ref="C71:G71"/>
    <mergeCell ref="C61:G61"/>
    <mergeCell ref="C62:G62"/>
    <mergeCell ref="C63:G63"/>
    <mergeCell ref="C64:G64"/>
    <mergeCell ref="A66:G66"/>
    <mergeCell ref="C56:G56"/>
    <mergeCell ref="C57:G57"/>
    <mergeCell ref="C58:G58"/>
    <mergeCell ref="C59:G59"/>
    <mergeCell ref="C60:G60"/>
    <mergeCell ref="C50:G50"/>
    <mergeCell ref="C51:G51"/>
    <mergeCell ref="C52:G52"/>
    <mergeCell ref="C53:G53"/>
    <mergeCell ref="A55:G55"/>
    <mergeCell ref="C45:G45"/>
    <mergeCell ref="C46:G46"/>
    <mergeCell ref="C47:G47"/>
    <mergeCell ref="C48:G48"/>
    <mergeCell ref="C49:G49"/>
    <mergeCell ref="A40:G40"/>
    <mergeCell ref="C41:G41"/>
    <mergeCell ref="C42:G42"/>
    <mergeCell ref="C43:G43"/>
    <mergeCell ref="C44:G44"/>
    <mergeCell ref="A1:G1"/>
    <mergeCell ref="A2:G2"/>
    <mergeCell ref="A4:G4"/>
    <mergeCell ref="A37:B37"/>
    <mergeCell ref="A39:G39"/>
  </mergeCells>
  <pageMargins left="0.5" right="0.5" top="0.6" bottom="0.6" header="0.511811023622047" footer="0.511811023622047"/>
  <pageSetup paperSize="9"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pageSetUpPr fitToPage="1"/>
  </sheetPr>
  <dimension ref="A1:F42"/>
  <sheetViews>
    <sheetView showGridLines="0" tabSelected="1" zoomScaleNormal="100" workbookViewId="0">
      <pane ySplit="30" topLeftCell="A31" activePane="bottomLeft" state="frozen"/>
      <selection pane="bottomLeft" activeCell="I8" sqref="I8"/>
    </sheetView>
  </sheetViews>
  <sheetFormatPr baseColWidth="10" defaultColWidth="8.6640625" defaultRowHeight="14.4" x14ac:dyDescent="0.3"/>
  <cols>
    <col min="1" max="1" width="5" customWidth="1"/>
    <col min="2" max="2" width="45" customWidth="1"/>
    <col min="3" max="3" width="18" customWidth="1"/>
    <col min="4" max="4" width="15" customWidth="1"/>
    <col min="5" max="5" width="30" customWidth="1"/>
  </cols>
  <sheetData>
    <row r="1" spans="1:6" ht="30" customHeight="1" x14ac:dyDescent="0.3">
      <c r="A1" s="164" t="s">
        <v>757</v>
      </c>
      <c r="B1" s="164"/>
      <c r="C1" s="164"/>
      <c r="D1" s="164"/>
      <c r="E1" s="164"/>
      <c r="F1" s="164"/>
    </row>
    <row r="2" spans="1:6" ht="19.5" customHeight="1" x14ac:dyDescent="0.3">
      <c r="A2" s="204" t="s">
        <v>758</v>
      </c>
      <c r="B2" s="204"/>
      <c r="C2" s="204"/>
      <c r="D2" s="204"/>
      <c r="E2" s="204"/>
      <c r="F2" s="204"/>
    </row>
    <row r="3" spans="1:6" ht="21.75" customHeight="1" x14ac:dyDescent="0.3">
      <c r="A3" s="205" t="s">
        <v>759</v>
      </c>
      <c r="B3" s="205"/>
      <c r="C3" s="205"/>
      <c r="D3" s="205"/>
      <c r="E3" s="205"/>
      <c r="F3" s="205"/>
    </row>
    <row r="4" spans="1:6" ht="15" customHeight="1" x14ac:dyDescent="0.3">
      <c r="A4" s="206" t="s">
        <v>1347</v>
      </c>
      <c r="B4" s="206"/>
      <c r="C4" s="207"/>
      <c r="D4" s="207"/>
      <c r="E4" s="138" t="s">
        <v>1345</v>
      </c>
      <c r="F4" s="139"/>
    </row>
    <row r="5" spans="1:6" ht="15" customHeight="1" x14ac:dyDescent="0.3">
      <c r="A5" s="206" t="s">
        <v>760</v>
      </c>
      <c r="B5" s="206"/>
      <c r="C5" s="207"/>
      <c r="D5" s="207"/>
      <c r="E5" s="138" t="s">
        <v>761</v>
      </c>
      <c r="F5" s="139"/>
    </row>
    <row r="6" spans="1:6" ht="15" customHeight="1" x14ac:dyDescent="0.3">
      <c r="A6" s="206" t="s">
        <v>762</v>
      </c>
      <c r="B6" s="206"/>
      <c r="C6" s="207"/>
      <c r="D6" s="207"/>
      <c r="E6" s="138" t="s">
        <v>763</v>
      </c>
      <c r="F6" s="139"/>
    </row>
    <row r="7" spans="1:6" ht="15" customHeight="1" x14ac:dyDescent="0.3">
      <c r="A7" s="206" t="s">
        <v>764</v>
      </c>
      <c r="B7" s="206"/>
      <c r="C7" s="207"/>
      <c r="D7" s="207"/>
      <c r="E7" s="138" t="s">
        <v>765</v>
      </c>
      <c r="F7" s="139"/>
    </row>
    <row r="8" spans="1:6" ht="15" customHeight="1" x14ac:dyDescent="0.3">
      <c r="A8" s="206" t="s">
        <v>766</v>
      </c>
      <c r="B8" s="206"/>
      <c r="C8" s="207"/>
      <c r="D8" s="207"/>
      <c r="E8" s="138" t="s">
        <v>767</v>
      </c>
      <c r="F8" s="139"/>
    </row>
    <row r="9" spans="1:6" ht="15" customHeight="1" x14ac:dyDescent="0.3">
      <c r="A9" s="206" t="s">
        <v>768</v>
      </c>
      <c r="B9" s="206"/>
      <c r="C9" s="207"/>
      <c r="D9" s="207"/>
      <c r="E9" s="138" t="s">
        <v>769</v>
      </c>
      <c r="F9" s="139"/>
    </row>
    <row r="10" spans="1:6" ht="15" customHeight="1" x14ac:dyDescent="0.3">
      <c r="A10" s="206" t="s">
        <v>770</v>
      </c>
      <c r="B10" s="206"/>
      <c r="C10" s="207"/>
      <c r="D10" s="207"/>
      <c r="E10" s="138" t="s">
        <v>771</v>
      </c>
      <c r="F10" s="139"/>
    </row>
    <row r="12" spans="1:6" ht="21.75" customHeight="1" x14ac:dyDescent="0.3">
      <c r="A12" s="205" t="s">
        <v>772</v>
      </c>
      <c r="B12" s="205"/>
      <c r="C12" s="205"/>
      <c r="D12" s="205"/>
      <c r="E12" s="205"/>
      <c r="F12" s="205"/>
    </row>
    <row r="13" spans="1:6" ht="53.25" customHeight="1" x14ac:dyDescent="0.3">
      <c r="A13" s="138" t="s">
        <v>773</v>
      </c>
      <c r="B13" s="207"/>
      <c r="C13" s="207"/>
      <c r="D13" s="207"/>
      <c r="E13" s="207"/>
      <c r="F13" s="207"/>
    </row>
    <row r="14" spans="1:6" ht="15" customHeight="1" x14ac:dyDescent="0.3">
      <c r="A14" s="206" t="s">
        <v>774</v>
      </c>
      <c r="B14" s="206"/>
      <c r="C14" s="207"/>
      <c r="D14" s="207"/>
      <c r="E14" s="138" t="s">
        <v>775</v>
      </c>
      <c r="F14" s="139"/>
    </row>
    <row r="15" spans="1:6" ht="15" customHeight="1" x14ac:dyDescent="0.3">
      <c r="A15" s="206" t="s">
        <v>776</v>
      </c>
      <c r="B15" s="206"/>
      <c r="C15" s="207"/>
      <c r="D15" s="207"/>
      <c r="E15" s="138" t="s">
        <v>777</v>
      </c>
      <c r="F15" s="139"/>
    </row>
    <row r="16" spans="1:6" ht="15" customHeight="1" x14ac:dyDescent="0.3">
      <c r="A16" s="206" t="s">
        <v>778</v>
      </c>
      <c r="B16" s="206"/>
      <c r="C16" s="207"/>
      <c r="D16" s="207"/>
      <c r="E16" s="138" t="s">
        <v>779</v>
      </c>
      <c r="F16" s="139"/>
    </row>
    <row r="17" spans="1:6" ht="15" customHeight="1" x14ac:dyDescent="0.3">
      <c r="A17" s="206" t="s">
        <v>780</v>
      </c>
      <c r="B17" s="206"/>
      <c r="C17" s="207"/>
      <c r="D17" s="207"/>
      <c r="E17" s="138" t="s">
        <v>781</v>
      </c>
      <c r="F17" s="139"/>
    </row>
    <row r="19" spans="1:6" ht="21.75" customHeight="1" x14ac:dyDescent="0.3">
      <c r="A19" s="205" t="s">
        <v>782</v>
      </c>
      <c r="B19" s="205"/>
      <c r="C19" s="205"/>
      <c r="D19" s="205"/>
      <c r="E19" s="205"/>
      <c r="F19" s="205"/>
    </row>
    <row r="20" spans="1:6" ht="15" customHeight="1" x14ac:dyDescent="0.3">
      <c r="A20" s="206" t="s">
        <v>783</v>
      </c>
      <c r="B20" s="206"/>
      <c r="C20" s="207"/>
      <c r="D20" s="207"/>
      <c r="E20" s="138" t="s">
        <v>784</v>
      </c>
      <c r="F20" s="139"/>
    </row>
    <row r="21" spans="1:6" ht="15" customHeight="1" x14ac:dyDescent="0.3">
      <c r="A21" s="206" t="s">
        <v>785</v>
      </c>
      <c r="B21" s="206"/>
      <c r="C21" s="207"/>
      <c r="D21" s="207"/>
      <c r="E21" s="138" t="s">
        <v>786</v>
      </c>
      <c r="F21" s="139"/>
    </row>
    <row r="22" spans="1:6" ht="15" customHeight="1" x14ac:dyDescent="0.3">
      <c r="A22" s="206" t="s">
        <v>787</v>
      </c>
      <c r="B22" s="206"/>
      <c r="C22" s="207"/>
      <c r="D22" s="207"/>
      <c r="E22" s="138" t="s">
        <v>788</v>
      </c>
      <c r="F22" s="139"/>
    </row>
    <row r="23" spans="1:6" ht="15" customHeight="1" x14ac:dyDescent="0.3">
      <c r="A23" s="206" t="s">
        <v>789</v>
      </c>
      <c r="B23" s="206"/>
      <c r="C23" s="207"/>
      <c r="D23" s="207"/>
      <c r="E23" s="138" t="s">
        <v>790</v>
      </c>
      <c r="F23" s="139"/>
    </row>
    <row r="24" spans="1:6" ht="15" customHeight="1" x14ac:dyDescent="0.3">
      <c r="A24" s="206" t="s">
        <v>791</v>
      </c>
      <c r="B24" s="206"/>
      <c r="C24" s="207"/>
      <c r="D24" s="207"/>
      <c r="E24" s="138" t="s">
        <v>792</v>
      </c>
      <c r="F24" s="139"/>
    </row>
    <row r="25" spans="1:6" ht="42.75" customHeight="1" x14ac:dyDescent="0.3">
      <c r="A25" s="138" t="s">
        <v>793</v>
      </c>
      <c r="B25" s="207"/>
      <c r="C25" s="207"/>
      <c r="D25" s="207"/>
      <c r="E25" s="207"/>
      <c r="F25" s="207"/>
    </row>
    <row r="26" spans="1:6" ht="63.75" customHeight="1" x14ac:dyDescent="0.3">
      <c r="A26" s="138" t="s">
        <v>794</v>
      </c>
      <c r="B26" s="207"/>
      <c r="C26" s="207"/>
      <c r="D26" s="207"/>
      <c r="E26" s="207"/>
      <c r="F26" s="207"/>
    </row>
    <row r="27" spans="1:6" ht="15" customHeight="1" x14ac:dyDescent="0.3">
      <c r="A27" s="206" t="s">
        <v>795</v>
      </c>
      <c r="B27" s="206"/>
      <c r="C27" s="207"/>
      <c r="D27" s="207"/>
      <c r="E27" s="138" t="s">
        <v>796</v>
      </c>
      <c r="F27" s="139"/>
    </row>
    <row r="29" spans="1:6" ht="21.75" customHeight="1" x14ac:dyDescent="0.3">
      <c r="A29" s="205" t="s">
        <v>797</v>
      </c>
      <c r="B29" s="205"/>
      <c r="C29" s="205"/>
      <c r="D29" s="205"/>
      <c r="E29" s="205"/>
      <c r="F29" s="205"/>
    </row>
    <row r="30" spans="1:6" ht="21.75" customHeight="1" x14ac:dyDescent="0.3">
      <c r="A30" s="132" t="s">
        <v>417</v>
      </c>
      <c r="B30" s="132" t="s">
        <v>798</v>
      </c>
      <c r="C30" s="132" t="s">
        <v>799</v>
      </c>
      <c r="D30" s="132" t="s">
        <v>800</v>
      </c>
      <c r="E30" s="132" t="s">
        <v>383</v>
      </c>
    </row>
    <row r="31" spans="1:6" ht="15" customHeight="1" x14ac:dyDescent="0.3">
      <c r="A31" s="119">
        <v>1</v>
      </c>
      <c r="B31" s="120" t="s">
        <v>801</v>
      </c>
      <c r="C31" s="140"/>
      <c r="D31" s="119" t="str">
        <f t="shared" ref="D31:D42" ca="1" si="0">IF(C31="","",C31-TODAY())</f>
        <v/>
      </c>
      <c r="E31" s="119" t="str">
        <f t="shared" ref="E31:E42" si="1">IF(C31="","Sin fecha registrada",IF(D31&lt;0,"VENCIDO",IF(D31&lt;30,"PROXIMO A VENCER",IF(D31&lt;90,"ATENCION","VIGENTE"))))</f>
        <v>Sin fecha registrada</v>
      </c>
    </row>
    <row r="32" spans="1:6" ht="15" customHeight="1" x14ac:dyDescent="0.3">
      <c r="A32" s="112">
        <v>2</v>
      </c>
      <c r="B32" s="113" t="s">
        <v>159</v>
      </c>
      <c r="C32" s="141"/>
      <c r="D32" s="112" t="str">
        <f t="shared" ca="1" si="0"/>
        <v/>
      </c>
      <c r="E32" s="112" t="str">
        <f t="shared" si="1"/>
        <v>Sin fecha registrada</v>
      </c>
    </row>
    <row r="33" spans="1:5" ht="15" customHeight="1" x14ac:dyDescent="0.3">
      <c r="A33" s="119">
        <v>3</v>
      </c>
      <c r="B33" s="120" t="s">
        <v>802</v>
      </c>
      <c r="C33" s="140"/>
      <c r="D33" s="119" t="str">
        <f t="shared" ca="1" si="0"/>
        <v/>
      </c>
      <c r="E33" s="119" t="str">
        <f t="shared" si="1"/>
        <v>Sin fecha registrada</v>
      </c>
    </row>
    <row r="34" spans="1:5" ht="15" customHeight="1" x14ac:dyDescent="0.3">
      <c r="A34" s="112">
        <v>4</v>
      </c>
      <c r="B34" s="113" t="s">
        <v>803</v>
      </c>
      <c r="C34" s="141"/>
      <c r="D34" s="112" t="str">
        <f t="shared" ca="1" si="0"/>
        <v/>
      </c>
      <c r="E34" s="112" t="str">
        <f t="shared" si="1"/>
        <v>Sin fecha registrada</v>
      </c>
    </row>
    <row r="35" spans="1:5" ht="15" customHeight="1" x14ac:dyDescent="0.3">
      <c r="A35" s="119">
        <v>5</v>
      </c>
      <c r="B35" s="120" t="s">
        <v>804</v>
      </c>
      <c r="C35" s="140"/>
      <c r="D35" s="119" t="str">
        <f t="shared" ca="1" si="0"/>
        <v/>
      </c>
      <c r="E35" s="119" t="str">
        <f t="shared" si="1"/>
        <v>Sin fecha registrada</v>
      </c>
    </row>
    <row r="36" spans="1:5" ht="15" customHeight="1" x14ac:dyDescent="0.3">
      <c r="A36" s="112">
        <v>6</v>
      </c>
      <c r="B36" s="113" t="s">
        <v>805</v>
      </c>
      <c r="C36" s="141"/>
      <c r="D36" s="112" t="str">
        <f t="shared" ca="1" si="0"/>
        <v/>
      </c>
      <c r="E36" s="112" t="str">
        <f t="shared" si="1"/>
        <v>Sin fecha registrada</v>
      </c>
    </row>
    <row r="37" spans="1:5" ht="15" customHeight="1" x14ac:dyDescent="0.3">
      <c r="A37" s="119">
        <v>7</v>
      </c>
      <c r="B37" s="120" t="s">
        <v>806</v>
      </c>
      <c r="C37" s="140"/>
      <c r="D37" s="119" t="str">
        <f t="shared" ca="1" si="0"/>
        <v/>
      </c>
      <c r="E37" s="119" t="str">
        <f t="shared" si="1"/>
        <v>Sin fecha registrada</v>
      </c>
    </row>
    <row r="38" spans="1:5" ht="15" customHeight="1" x14ac:dyDescent="0.3">
      <c r="A38" s="112">
        <v>8</v>
      </c>
      <c r="B38" s="113" t="s">
        <v>807</v>
      </c>
      <c r="C38" s="141"/>
      <c r="D38" s="112" t="str">
        <f t="shared" ca="1" si="0"/>
        <v/>
      </c>
      <c r="E38" s="112" t="str">
        <f t="shared" si="1"/>
        <v>Sin fecha registrada</v>
      </c>
    </row>
    <row r="39" spans="1:5" ht="15" customHeight="1" x14ac:dyDescent="0.3">
      <c r="A39" s="119">
        <v>9</v>
      </c>
      <c r="B39" s="120" t="s">
        <v>808</v>
      </c>
      <c r="C39" s="140"/>
      <c r="D39" s="119" t="str">
        <f t="shared" ca="1" si="0"/>
        <v/>
      </c>
      <c r="E39" s="119" t="str">
        <f t="shared" si="1"/>
        <v>Sin fecha registrada</v>
      </c>
    </row>
    <row r="40" spans="1:5" ht="15" customHeight="1" x14ac:dyDescent="0.3">
      <c r="A40" s="112">
        <v>10</v>
      </c>
      <c r="B40" s="113" t="s">
        <v>809</v>
      </c>
      <c r="C40" s="141"/>
      <c r="D40" s="112" t="str">
        <f t="shared" ca="1" si="0"/>
        <v/>
      </c>
      <c r="E40" s="112" t="str">
        <f t="shared" si="1"/>
        <v>Sin fecha registrada</v>
      </c>
    </row>
    <row r="41" spans="1:5" ht="15" customHeight="1" x14ac:dyDescent="0.3">
      <c r="A41" s="119">
        <v>11</v>
      </c>
      <c r="B41" s="120" t="s">
        <v>810</v>
      </c>
      <c r="C41" s="140"/>
      <c r="D41" s="119" t="str">
        <f t="shared" ca="1" si="0"/>
        <v/>
      </c>
      <c r="E41" s="119" t="str">
        <f t="shared" si="1"/>
        <v>Sin fecha registrada</v>
      </c>
    </row>
    <row r="42" spans="1:5" ht="15" customHeight="1" x14ac:dyDescent="0.3">
      <c r="A42" s="112">
        <v>12</v>
      </c>
      <c r="B42" s="113" t="s">
        <v>811</v>
      </c>
      <c r="C42" s="141"/>
      <c r="D42" s="112" t="str">
        <f t="shared" ca="1" si="0"/>
        <v/>
      </c>
      <c r="E42" s="112" t="str">
        <f t="shared" si="1"/>
        <v>Sin fecha registrada</v>
      </c>
    </row>
  </sheetData>
  <mergeCells count="43">
    <mergeCell ref="B26:F26"/>
    <mergeCell ref="A27:B27"/>
    <mergeCell ref="C27:D27"/>
    <mergeCell ref="A29:F29"/>
    <mergeCell ref="A23:B23"/>
    <mergeCell ref="C23:D23"/>
    <mergeCell ref="A24:B24"/>
    <mergeCell ref="C24:D24"/>
    <mergeCell ref="B25:F25"/>
    <mergeCell ref="A20:B20"/>
    <mergeCell ref="C20:D20"/>
    <mergeCell ref="A21:B21"/>
    <mergeCell ref="C21:D21"/>
    <mergeCell ref="A22:B22"/>
    <mergeCell ref="C22:D22"/>
    <mergeCell ref="A16:B16"/>
    <mergeCell ref="C16:D16"/>
    <mergeCell ref="A17:B17"/>
    <mergeCell ref="C17:D17"/>
    <mergeCell ref="A19:F19"/>
    <mergeCell ref="A12:F12"/>
    <mergeCell ref="B13:F13"/>
    <mergeCell ref="A14:B14"/>
    <mergeCell ref="C14:D14"/>
    <mergeCell ref="A15:B15"/>
    <mergeCell ref="C15:D15"/>
    <mergeCell ref="A8:B8"/>
    <mergeCell ref="C8:D8"/>
    <mergeCell ref="A9:B9"/>
    <mergeCell ref="C9:D9"/>
    <mergeCell ref="A10:B10"/>
    <mergeCell ref="C10:D10"/>
    <mergeCell ref="A5:B5"/>
    <mergeCell ref="C5:D5"/>
    <mergeCell ref="A6:B6"/>
    <mergeCell ref="C6:D6"/>
    <mergeCell ref="A7:B7"/>
    <mergeCell ref="C7:D7"/>
    <mergeCell ref="A1:F1"/>
    <mergeCell ref="A2:F2"/>
    <mergeCell ref="A3:F3"/>
    <mergeCell ref="A4:B4"/>
    <mergeCell ref="C4:D4"/>
  </mergeCells>
  <pageMargins left="0.5" right="0.5" top="0.6" bottom="0.6" header="0.511811023622047" footer="0.511811023622047"/>
  <pageSetup paperSize="9"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B4F6C"/>
    <pageSetUpPr fitToPage="1"/>
  </sheetPr>
  <dimension ref="A1:M174"/>
  <sheetViews>
    <sheetView showGridLines="0" zoomScaleNormal="100" workbookViewId="0">
      <pane ySplit="6" topLeftCell="A172" activePane="bottomLeft" state="frozen"/>
      <selection pane="bottomLeft" activeCell="D168" sqref="D168"/>
    </sheetView>
  </sheetViews>
  <sheetFormatPr baseColWidth="10" defaultColWidth="8.6640625" defaultRowHeight="14.4" x14ac:dyDescent="0.3"/>
  <cols>
    <col min="1" max="1" width="23.77734375" customWidth="1"/>
    <col min="2" max="2" width="10" customWidth="1"/>
    <col min="3" max="3" width="26" customWidth="1"/>
    <col min="4" max="4" width="60" customWidth="1"/>
    <col min="5" max="5" width="22" customWidth="1"/>
    <col min="6" max="6" width="13.88671875" customWidth="1"/>
    <col min="7" max="7" width="13.109375" customWidth="1"/>
    <col min="8" max="9" width="5" customWidth="1"/>
    <col min="10" max="11" width="34" customWidth="1"/>
    <col min="12" max="12" width="18" customWidth="1"/>
    <col min="13" max="13" width="14" customWidth="1"/>
  </cols>
  <sheetData>
    <row r="1" spans="1:13" ht="30" customHeight="1" x14ac:dyDescent="0.3">
      <c r="A1" s="208" t="s">
        <v>413</v>
      </c>
      <c r="B1" s="208"/>
      <c r="C1" s="208"/>
      <c r="D1" s="208"/>
      <c r="E1" s="208"/>
      <c r="F1" s="208"/>
      <c r="G1" s="208"/>
      <c r="H1" s="208"/>
      <c r="I1" s="208"/>
      <c r="J1" s="208"/>
      <c r="K1" s="208"/>
      <c r="L1" s="208"/>
      <c r="M1" s="208"/>
    </row>
    <row r="2" spans="1:13" ht="21.75" customHeight="1" x14ac:dyDescent="0.3">
      <c r="A2" s="209" t="s">
        <v>414</v>
      </c>
      <c r="B2" s="209"/>
      <c r="C2" s="209"/>
      <c r="D2" s="209"/>
      <c r="E2" s="209"/>
      <c r="F2" s="209"/>
      <c r="G2" s="209"/>
      <c r="H2" s="209"/>
      <c r="I2" s="209"/>
      <c r="J2" s="209"/>
      <c r="K2" s="209"/>
      <c r="L2" s="209"/>
      <c r="M2" s="209"/>
    </row>
    <row r="3" spans="1:13" ht="15" customHeight="1" x14ac:dyDescent="0.3">
      <c r="A3" s="206" t="s">
        <v>361</v>
      </c>
      <c r="B3" s="206"/>
      <c r="C3" s="206"/>
      <c r="D3" s="206"/>
      <c r="E3" s="207"/>
      <c r="F3" s="207"/>
      <c r="G3" s="207"/>
      <c r="H3" s="207"/>
      <c r="I3" s="206" t="s">
        <v>362</v>
      </c>
      <c r="J3" s="206"/>
      <c r="K3" s="207"/>
      <c r="L3" s="207"/>
      <c r="M3" s="207"/>
    </row>
    <row r="4" spans="1:13" ht="15.75" customHeight="1" x14ac:dyDescent="0.3">
      <c r="A4" s="210" t="s">
        <v>415</v>
      </c>
      <c r="B4" s="210"/>
      <c r="C4" s="210"/>
      <c r="D4" s="210"/>
      <c r="E4" s="210"/>
      <c r="F4" s="210"/>
      <c r="G4" s="210"/>
      <c r="H4" s="210"/>
      <c r="I4" s="210"/>
      <c r="J4" s="210"/>
      <c r="K4" s="210"/>
      <c r="L4" s="210"/>
      <c r="M4" s="210"/>
    </row>
    <row r="5" spans="1:13" ht="18" customHeight="1" x14ac:dyDescent="0.3">
      <c r="A5" s="211" t="s">
        <v>416</v>
      </c>
      <c r="B5" s="211"/>
      <c r="C5" s="211"/>
      <c r="D5" s="211"/>
      <c r="E5" s="211"/>
      <c r="F5" s="211"/>
      <c r="G5" s="211"/>
      <c r="H5" s="211"/>
      <c r="I5" s="211"/>
      <c r="J5" s="211"/>
      <c r="K5" s="211"/>
      <c r="L5" s="211"/>
      <c r="M5" s="211"/>
    </row>
    <row r="6" spans="1:13" ht="36" customHeight="1" x14ac:dyDescent="0.3">
      <c r="A6" s="82" t="s">
        <v>417</v>
      </c>
      <c r="B6" s="82" t="s">
        <v>418</v>
      </c>
      <c r="C6" s="82" t="s">
        <v>419</v>
      </c>
      <c r="D6" s="82" t="s">
        <v>420</v>
      </c>
      <c r="E6" s="82" t="s">
        <v>421</v>
      </c>
      <c r="F6" s="82" t="s">
        <v>422</v>
      </c>
      <c r="G6" s="83" t="s">
        <v>423</v>
      </c>
      <c r="H6" s="84" t="s">
        <v>424</v>
      </c>
      <c r="I6" s="85" t="s">
        <v>425</v>
      </c>
      <c r="J6" s="82" t="s">
        <v>426</v>
      </c>
      <c r="K6" s="82" t="s">
        <v>427</v>
      </c>
      <c r="L6" s="82" t="s">
        <v>428</v>
      </c>
      <c r="M6" s="82" t="s">
        <v>429</v>
      </c>
    </row>
    <row r="7" spans="1:13" ht="21.75" customHeight="1" x14ac:dyDescent="0.3">
      <c r="A7" s="212" t="s">
        <v>430</v>
      </c>
      <c r="B7" s="212"/>
      <c r="C7" s="212"/>
      <c r="D7" s="212"/>
      <c r="E7" s="212"/>
      <c r="F7" s="212"/>
      <c r="G7" s="212"/>
      <c r="H7" s="212"/>
      <c r="I7" s="212"/>
      <c r="J7" s="212"/>
      <c r="K7" s="212"/>
      <c r="L7" s="212"/>
      <c r="M7" s="212"/>
    </row>
    <row r="8" spans="1:13" ht="51.75" customHeight="1" x14ac:dyDescent="0.3">
      <c r="A8" s="86" t="s">
        <v>18</v>
      </c>
      <c r="B8" s="87" t="s">
        <v>18</v>
      </c>
      <c r="C8" s="88" t="s">
        <v>431</v>
      </c>
      <c r="D8" s="89" t="s">
        <v>432</v>
      </c>
      <c r="E8" s="88" t="s">
        <v>433</v>
      </c>
      <c r="F8" s="90" t="s">
        <v>422</v>
      </c>
      <c r="G8" s="91" t="s">
        <v>1343</v>
      </c>
      <c r="H8" s="91"/>
      <c r="I8" s="91"/>
      <c r="J8" s="92"/>
      <c r="K8" s="92"/>
      <c r="L8" s="92"/>
      <c r="M8" s="92"/>
    </row>
    <row r="9" spans="1:13" ht="51.75" customHeight="1" x14ac:dyDescent="0.3">
      <c r="A9" s="86" t="s">
        <v>22</v>
      </c>
      <c r="B9" s="87" t="s">
        <v>22</v>
      </c>
      <c r="C9" s="88" t="s">
        <v>431</v>
      </c>
      <c r="D9" s="89" t="s">
        <v>434</v>
      </c>
      <c r="E9" s="88" t="s">
        <v>433</v>
      </c>
      <c r="F9" s="90" t="s">
        <v>422</v>
      </c>
      <c r="G9" s="91"/>
      <c r="H9" s="91"/>
      <c r="I9" s="91"/>
      <c r="J9" s="92"/>
      <c r="K9" s="92"/>
      <c r="L9" s="92"/>
      <c r="M9" s="92"/>
    </row>
    <row r="10" spans="1:13" ht="21.75" customHeight="1" x14ac:dyDescent="0.3">
      <c r="A10" s="213" t="s">
        <v>435</v>
      </c>
      <c r="B10" s="213"/>
      <c r="C10" s="213"/>
      <c r="D10" s="213"/>
      <c r="E10" s="213"/>
      <c r="F10" s="213"/>
      <c r="G10" s="213"/>
      <c r="H10" s="213"/>
      <c r="I10" s="213"/>
      <c r="J10" s="213"/>
      <c r="K10" s="213"/>
      <c r="L10" s="213"/>
      <c r="M10" s="213"/>
    </row>
    <row r="11" spans="1:13" ht="51.75" customHeight="1" x14ac:dyDescent="0.3">
      <c r="A11" s="93" t="s">
        <v>26</v>
      </c>
      <c r="B11" s="94" t="s">
        <v>30</v>
      </c>
      <c r="C11" s="95" t="s">
        <v>431</v>
      </c>
      <c r="D11" s="96" t="s">
        <v>436</v>
      </c>
      <c r="E11" s="95" t="s">
        <v>433</v>
      </c>
      <c r="F11" s="97"/>
      <c r="G11" s="98"/>
      <c r="H11" s="98"/>
      <c r="I11" s="98"/>
      <c r="J11" s="99"/>
      <c r="K11" s="99"/>
      <c r="L11" s="99"/>
      <c r="M11" s="99"/>
    </row>
    <row r="12" spans="1:13" ht="51.75" customHeight="1" x14ac:dyDescent="0.3">
      <c r="A12" s="100" t="s">
        <v>30</v>
      </c>
      <c r="B12" s="101" t="s">
        <v>34</v>
      </c>
      <c r="C12" s="102" t="s">
        <v>431</v>
      </c>
      <c r="D12" s="103" t="s">
        <v>437</v>
      </c>
      <c r="E12" s="102" t="s">
        <v>433</v>
      </c>
      <c r="F12" s="104"/>
      <c r="G12" s="105"/>
      <c r="H12" s="105"/>
      <c r="I12" s="105"/>
      <c r="J12" s="106"/>
      <c r="K12" s="106"/>
      <c r="L12" s="106"/>
      <c r="M12" s="106"/>
    </row>
    <row r="13" spans="1:13" ht="51.75" customHeight="1" x14ac:dyDescent="0.3">
      <c r="A13" s="107" t="s">
        <v>34</v>
      </c>
      <c r="B13" s="108" t="s">
        <v>54</v>
      </c>
      <c r="C13" s="109" t="s">
        <v>431</v>
      </c>
      <c r="D13" s="110" t="s">
        <v>438</v>
      </c>
      <c r="E13" s="109" t="s">
        <v>433</v>
      </c>
      <c r="F13" s="111"/>
      <c r="G13" s="112"/>
      <c r="H13" s="112"/>
      <c r="I13" s="112"/>
      <c r="J13" s="113"/>
      <c r="K13" s="113"/>
      <c r="L13" s="113"/>
      <c r="M13" s="113"/>
    </row>
    <row r="14" spans="1:13" ht="51.75" customHeight="1" x14ac:dyDescent="0.3">
      <c r="A14" s="100" t="s">
        <v>38</v>
      </c>
      <c r="B14" s="101" t="s">
        <v>62</v>
      </c>
      <c r="C14" s="102" t="s">
        <v>431</v>
      </c>
      <c r="D14" s="103" t="s">
        <v>439</v>
      </c>
      <c r="E14" s="102" t="s">
        <v>433</v>
      </c>
      <c r="F14" s="104"/>
      <c r="G14" s="105"/>
      <c r="H14" s="105"/>
      <c r="I14" s="105"/>
      <c r="J14" s="106"/>
      <c r="K14" s="106"/>
      <c r="L14" s="106"/>
      <c r="M14" s="106"/>
    </row>
    <row r="15" spans="1:13" ht="51.75" customHeight="1" x14ac:dyDescent="0.3">
      <c r="A15" s="93" t="s">
        <v>42</v>
      </c>
      <c r="B15" s="94" t="s">
        <v>440</v>
      </c>
      <c r="C15" s="95" t="s">
        <v>431</v>
      </c>
      <c r="D15" s="96" t="s">
        <v>441</v>
      </c>
      <c r="E15" s="95" t="s">
        <v>433</v>
      </c>
      <c r="F15" s="97"/>
      <c r="G15" s="98"/>
      <c r="H15" s="98"/>
      <c r="I15" s="98"/>
      <c r="J15" s="99"/>
      <c r="K15" s="99"/>
      <c r="L15" s="99"/>
      <c r="M15" s="99"/>
    </row>
    <row r="16" spans="1:13" ht="51.75" customHeight="1" x14ac:dyDescent="0.3">
      <c r="A16" s="100" t="s">
        <v>46</v>
      </c>
      <c r="B16" s="101" t="s">
        <v>442</v>
      </c>
      <c r="C16" s="102" t="s">
        <v>431</v>
      </c>
      <c r="D16" s="103" t="s">
        <v>443</v>
      </c>
      <c r="E16" s="102" t="s">
        <v>433</v>
      </c>
      <c r="F16" s="104"/>
      <c r="G16" s="105"/>
      <c r="H16" s="105"/>
      <c r="I16" s="105"/>
      <c r="J16" s="106"/>
      <c r="K16" s="106"/>
      <c r="L16" s="106"/>
      <c r="M16" s="106"/>
    </row>
    <row r="17" spans="1:13" ht="51.75" customHeight="1" x14ac:dyDescent="0.3">
      <c r="A17" s="93" t="s">
        <v>50</v>
      </c>
      <c r="B17" s="94" t="s">
        <v>444</v>
      </c>
      <c r="C17" s="95" t="s">
        <v>431</v>
      </c>
      <c r="D17" s="96" t="s">
        <v>445</v>
      </c>
      <c r="E17" s="95" t="s">
        <v>433</v>
      </c>
      <c r="F17" s="97"/>
      <c r="G17" s="98"/>
      <c r="H17" s="98"/>
      <c r="I17" s="98"/>
      <c r="J17" s="99"/>
      <c r="K17" s="99"/>
      <c r="L17" s="99"/>
      <c r="M17" s="99"/>
    </row>
    <row r="18" spans="1:13" ht="18" customHeight="1" x14ac:dyDescent="0.3">
      <c r="A18" s="214" t="s">
        <v>446</v>
      </c>
      <c r="B18" s="214"/>
      <c r="C18" s="214"/>
      <c r="D18" s="214"/>
      <c r="E18" s="214"/>
      <c r="F18" s="214"/>
      <c r="G18" s="214"/>
      <c r="H18" s="214"/>
      <c r="I18" s="214"/>
      <c r="J18" s="214"/>
      <c r="K18" s="214"/>
      <c r="L18" s="214"/>
      <c r="M18" s="214"/>
    </row>
    <row r="19" spans="1:13" ht="51.75" customHeight="1" x14ac:dyDescent="0.3">
      <c r="A19" s="86" t="s">
        <v>54</v>
      </c>
      <c r="B19" s="87" t="s">
        <v>70</v>
      </c>
      <c r="C19" s="88" t="s">
        <v>447</v>
      </c>
      <c r="D19" s="89" t="s">
        <v>448</v>
      </c>
      <c r="E19" s="88" t="s">
        <v>433</v>
      </c>
      <c r="F19" s="90" t="s">
        <v>422</v>
      </c>
      <c r="G19" s="91"/>
      <c r="H19" s="91"/>
      <c r="I19" s="91"/>
      <c r="J19" s="92"/>
      <c r="K19" s="92"/>
      <c r="L19" s="92"/>
      <c r="M19" s="92"/>
    </row>
    <row r="20" spans="1:13" ht="21.75" customHeight="1" x14ac:dyDescent="0.3">
      <c r="A20" s="212" t="s">
        <v>449</v>
      </c>
      <c r="B20" s="212"/>
      <c r="C20" s="212"/>
      <c r="D20" s="212"/>
      <c r="E20" s="212"/>
      <c r="F20" s="212"/>
      <c r="G20" s="212"/>
      <c r="H20" s="212"/>
      <c r="I20" s="212"/>
      <c r="J20" s="212"/>
      <c r="K20" s="212"/>
      <c r="L20" s="212"/>
      <c r="M20" s="212"/>
    </row>
    <row r="21" spans="1:13" ht="18" customHeight="1" x14ac:dyDescent="0.3">
      <c r="A21" s="214" t="s">
        <v>450</v>
      </c>
      <c r="B21" s="214"/>
      <c r="C21" s="214"/>
      <c r="D21" s="214"/>
      <c r="E21" s="214"/>
      <c r="F21" s="214"/>
      <c r="G21" s="214"/>
      <c r="H21" s="214"/>
      <c r="I21" s="214"/>
      <c r="J21" s="214"/>
      <c r="K21" s="214"/>
      <c r="L21" s="214"/>
      <c r="M21" s="214"/>
    </row>
    <row r="22" spans="1:13" ht="51.75" customHeight="1" x14ac:dyDescent="0.3">
      <c r="A22" s="86" t="s">
        <v>58</v>
      </c>
      <c r="B22" s="87" t="s">
        <v>38</v>
      </c>
      <c r="C22" s="88" t="s">
        <v>451</v>
      </c>
      <c r="D22" s="89" t="s">
        <v>452</v>
      </c>
      <c r="E22" s="88" t="s">
        <v>453</v>
      </c>
      <c r="F22" s="90" t="s">
        <v>422</v>
      </c>
      <c r="G22" s="91"/>
      <c r="H22" s="91"/>
      <c r="I22" s="91"/>
      <c r="J22" s="92"/>
      <c r="K22" s="92"/>
      <c r="L22" s="92"/>
      <c r="M22" s="92"/>
    </row>
    <row r="23" spans="1:13" ht="51.75" customHeight="1" x14ac:dyDescent="0.3">
      <c r="A23" s="114" t="s">
        <v>62</v>
      </c>
      <c r="B23" s="115" t="s">
        <v>42</v>
      </c>
      <c r="C23" s="116" t="s">
        <v>451</v>
      </c>
      <c r="D23" s="117" t="s">
        <v>454</v>
      </c>
      <c r="E23" s="116" t="s">
        <v>453</v>
      </c>
      <c r="F23" s="118"/>
      <c r="G23" s="119"/>
      <c r="H23" s="119"/>
      <c r="I23" s="119"/>
      <c r="J23" s="120"/>
      <c r="K23" s="120"/>
      <c r="L23" s="120"/>
      <c r="M23" s="120"/>
    </row>
    <row r="24" spans="1:13" ht="51.75" customHeight="1" x14ac:dyDescent="0.3">
      <c r="A24" s="93" t="s">
        <v>66</v>
      </c>
      <c r="B24" s="94" t="s">
        <v>26</v>
      </c>
      <c r="C24" s="95" t="s">
        <v>455</v>
      </c>
      <c r="D24" s="96" t="s">
        <v>456</v>
      </c>
      <c r="E24" s="95" t="s">
        <v>453</v>
      </c>
      <c r="F24" s="97"/>
      <c r="G24" s="98"/>
      <c r="H24" s="98"/>
      <c r="I24" s="98"/>
      <c r="J24" s="99"/>
      <c r="K24" s="99"/>
      <c r="L24" s="99"/>
      <c r="M24" s="99"/>
    </row>
    <row r="25" spans="1:13" ht="18" customHeight="1" x14ac:dyDescent="0.3">
      <c r="A25" s="214" t="s">
        <v>457</v>
      </c>
      <c r="B25" s="214"/>
      <c r="C25" s="214"/>
      <c r="D25" s="214"/>
      <c r="E25" s="214"/>
      <c r="F25" s="214"/>
      <c r="G25" s="214"/>
      <c r="H25" s="214"/>
      <c r="I25" s="214"/>
      <c r="J25" s="214"/>
      <c r="K25" s="214"/>
      <c r="L25" s="214"/>
      <c r="M25" s="214"/>
    </row>
    <row r="26" spans="1:13" ht="51.75" customHeight="1" x14ac:dyDescent="0.3">
      <c r="A26" s="86" t="s">
        <v>70</v>
      </c>
      <c r="B26" s="87" t="s">
        <v>46</v>
      </c>
      <c r="C26" s="88" t="s">
        <v>458</v>
      </c>
      <c r="D26" s="89" t="s">
        <v>459</v>
      </c>
      <c r="E26" s="88" t="s">
        <v>453</v>
      </c>
      <c r="F26" s="90" t="s">
        <v>422</v>
      </c>
      <c r="G26" s="91"/>
      <c r="H26" s="91"/>
      <c r="I26" s="91"/>
      <c r="J26" s="92"/>
      <c r="K26" s="92"/>
      <c r="L26" s="92"/>
      <c r="M26" s="92"/>
    </row>
    <row r="27" spans="1:13" ht="51.75" customHeight="1" x14ac:dyDescent="0.3">
      <c r="A27" s="107" t="s">
        <v>263</v>
      </c>
      <c r="B27" s="108" t="s">
        <v>460</v>
      </c>
      <c r="C27" s="109" t="s">
        <v>458</v>
      </c>
      <c r="D27" s="110" t="s">
        <v>461</v>
      </c>
      <c r="E27" s="109" t="s">
        <v>453</v>
      </c>
      <c r="F27" s="111"/>
      <c r="G27" s="112"/>
      <c r="H27" s="112"/>
      <c r="I27" s="112"/>
      <c r="J27" s="113"/>
      <c r="K27" s="113"/>
      <c r="L27" s="113"/>
      <c r="M27" s="113"/>
    </row>
    <row r="28" spans="1:13" ht="51.75" customHeight="1" x14ac:dyDescent="0.3">
      <c r="A28" s="86" t="s">
        <v>265</v>
      </c>
      <c r="B28" s="87" t="s">
        <v>54</v>
      </c>
      <c r="C28" s="88" t="s">
        <v>458</v>
      </c>
      <c r="D28" s="89" t="s">
        <v>462</v>
      </c>
      <c r="E28" s="88" t="s">
        <v>453</v>
      </c>
      <c r="F28" s="90" t="s">
        <v>422</v>
      </c>
      <c r="G28" s="91"/>
      <c r="H28" s="91"/>
      <c r="I28" s="91"/>
      <c r="J28" s="92"/>
      <c r="K28" s="92"/>
      <c r="L28" s="92"/>
      <c r="M28" s="92"/>
    </row>
    <row r="29" spans="1:13" ht="51.75" customHeight="1" x14ac:dyDescent="0.3">
      <c r="A29" s="107" t="s">
        <v>267</v>
      </c>
      <c r="B29" s="108" t="s">
        <v>62</v>
      </c>
      <c r="C29" s="109" t="s">
        <v>458</v>
      </c>
      <c r="D29" s="110" t="s">
        <v>463</v>
      </c>
      <c r="E29" s="109" t="s">
        <v>453</v>
      </c>
      <c r="F29" s="111"/>
      <c r="G29" s="112"/>
      <c r="H29" s="112"/>
      <c r="I29" s="112"/>
      <c r="J29" s="113"/>
      <c r="K29" s="113"/>
      <c r="L29" s="113"/>
      <c r="M29" s="113"/>
    </row>
    <row r="30" spans="1:13" ht="18" customHeight="1" x14ac:dyDescent="0.3">
      <c r="A30" s="214" t="s">
        <v>464</v>
      </c>
      <c r="B30" s="214"/>
      <c r="C30" s="214"/>
      <c r="D30" s="214"/>
      <c r="E30" s="214"/>
      <c r="F30" s="214"/>
      <c r="G30" s="214"/>
      <c r="H30" s="214"/>
      <c r="I30" s="214"/>
      <c r="J30" s="214"/>
      <c r="K30" s="214"/>
      <c r="L30" s="214"/>
      <c r="M30" s="214"/>
    </row>
    <row r="31" spans="1:13" ht="51.75" customHeight="1" x14ac:dyDescent="0.3">
      <c r="A31" s="86" t="s">
        <v>269</v>
      </c>
      <c r="B31" s="87" t="s">
        <v>66</v>
      </c>
      <c r="C31" s="88" t="s">
        <v>465</v>
      </c>
      <c r="D31" s="89" t="s">
        <v>466</v>
      </c>
      <c r="E31" s="88" t="s">
        <v>453</v>
      </c>
      <c r="F31" s="90" t="s">
        <v>422</v>
      </c>
      <c r="G31" s="91"/>
      <c r="H31" s="91"/>
      <c r="I31" s="91"/>
      <c r="J31" s="92"/>
      <c r="K31" s="92"/>
      <c r="L31" s="92"/>
      <c r="M31" s="92"/>
    </row>
    <row r="32" spans="1:13" ht="51.75" customHeight="1" x14ac:dyDescent="0.3">
      <c r="A32" s="86" t="s">
        <v>271</v>
      </c>
      <c r="B32" s="87" t="s">
        <v>263</v>
      </c>
      <c r="C32" s="121" t="s">
        <v>465</v>
      </c>
      <c r="D32" s="122" t="s">
        <v>467</v>
      </c>
      <c r="E32" s="121" t="s">
        <v>433</v>
      </c>
      <c r="F32" s="90" t="s">
        <v>422</v>
      </c>
      <c r="G32" s="91"/>
      <c r="H32" s="91"/>
      <c r="I32" s="91"/>
      <c r="J32" s="92"/>
      <c r="K32" s="92"/>
      <c r="L32" s="92"/>
      <c r="M32" s="92"/>
    </row>
    <row r="33" spans="1:13" ht="27.75" customHeight="1" x14ac:dyDescent="0.3">
      <c r="A33" s="215" t="s">
        <v>468</v>
      </c>
      <c r="B33" s="215"/>
      <c r="C33" s="215"/>
      <c r="D33" s="215"/>
      <c r="E33" s="215"/>
      <c r="F33" s="215"/>
      <c r="G33" s="215"/>
      <c r="H33" s="215"/>
      <c r="I33" s="215"/>
      <c r="J33" s="215"/>
      <c r="K33" s="215"/>
      <c r="L33" s="215"/>
      <c r="M33" s="215"/>
    </row>
    <row r="34" spans="1:13" ht="51.75" customHeight="1" x14ac:dyDescent="0.3">
      <c r="A34" s="86" t="s">
        <v>275</v>
      </c>
      <c r="B34" s="87" t="s">
        <v>267</v>
      </c>
      <c r="C34" s="88" t="s">
        <v>465</v>
      </c>
      <c r="D34" s="89" t="s">
        <v>469</v>
      </c>
      <c r="E34" s="88" t="s">
        <v>433</v>
      </c>
      <c r="F34" s="90" t="s">
        <v>422</v>
      </c>
      <c r="G34" s="91"/>
      <c r="H34" s="91"/>
      <c r="I34" s="91"/>
      <c r="J34" s="92"/>
      <c r="K34" s="92"/>
      <c r="L34" s="92"/>
      <c r="M34" s="92"/>
    </row>
    <row r="35" spans="1:13" ht="18" customHeight="1" x14ac:dyDescent="0.3">
      <c r="A35" s="214" t="s">
        <v>470</v>
      </c>
      <c r="B35" s="214"/>
      <c r="C35" s="214"/>
      <c r="D35" s="214"/>
      <c r="E35" s="214"/>
      <c r="F35" s="214"/>
      <c r="G35" s="214"/>
      <c r="H35" s="214"/>
      <c r="I35" s="214"/>
      <c r="J35" s="214"/>
      <c r="K35" s="214"/>
      <c r="L35" s="214"/>
      <c r="M35" s="214"/>
    </row>
    <row r="36" spans="1:13" ht="51.75" customHeight="1" x14ac:dyDescent="0.3">
      <c r="A36" s="86" t="s">
        <v>277</v>
      </c>
      <c r="B36" s="87" t="s">
        <v>269</v>
      </c>
      <c r="C36" s="88" t="s">
        <v>471</v>
      </c>
      <c r="D36" s="89" t="s">
        <v>472</v>
      </c>
      <c r="E36" s="88" t="s">
        <v>453</v>
      </c>
      <c r="F36" s="90" t="s">
        <v>422</v>
      </c>
      <c r="G36" s="91"/>
      <c r="H36" s="91"/>
      <c r="I36" s="91"/>
      <c r="J36" s="92"/>
      <c r="K36" s="92"/>
      <c r="L36" s="92"/>
      <c r="M36" s="92"/>
    </row>
    <row r="37" spans="1:13" ht="51.75" customHeight="1" x14ac:dyDescent="0.3">
      <c r="A37" s="86" t="s">
        <v>279</v>
      </c>
      <c r="B37" s="87" t="s">
        <v>271</v>
      </c>
      <c r="C37" s="88" t="s">
        <v>471</v>
      </c>
      <c r="D37" s="89" t="s">
        <v>473</v>
      </c>
      <c r="E37" s="88" t="s">
        <v>453</v>
      </c>
      <c r="F37" s="90" t="s">
        <v>422</v>
      </c>
      <c r="G37" s="91"/>
      <c r="H37" s="91"/>
      <c r="I37" s="91"/>
      <c r="J37" s="92"/>
      <c r="K37" s="92"/>
      <c r="L37" s="92"/>
      <c r="M37" s="92"/>
    </row>
    <row r="38" spans="1:13" ht="51.75" customHeight="1" x14ac:dyDescent="0.3">
      <c r="A38" s="114" t="s">
        <v>281</v>
      </c>
      <c r="B38" s="115" t="s">
        <v>273</v>
      </c>
      <c r="C38" s="116" t="s">
        <v>471</v>
      </c>
      <c r="D38" s="117" t="s">
        <v>474</v>
      </c>
      <c r="E38" s="116" t="s">
        <v>453</v>
      </c>
      <c r="F38" s="118"/>
      <c r="G38" s="119"/>
      <c r="H38" s="119"/>
      <c r="I38" s="119"/>
      <c r="J38" s="120"/>
      <c r="K38" s="120"/>
      <c r="L38" s="120"/>
      <c r="M38" s="120"/>
    </row>
    <row r="39" spans="1:13" ht="51.75" customHeight="1" x14ac:dyDescent="0.3">
      <c r="A39" s="86" t="s">
        <v>283</v>
      </c>
      <c r="B39" s="87" t="s">
        <v>277</v>
      </c>
      <c r="C39" s="88" t="s">
        <v>471</v>
      </c>
      <c r="D39" s="89" t="s">
        <v>475</v>
      </c>
      <c r="E39" s="88" t="s">
        <v>453</v>
      </c>
      <c r="F39" s="90" t="s">
        <v>422</v>
      </c>
      <c r="G39" s="91"/>
      <c r="H39" s="91"/>
      <c r="I39" s="91"/>
      <c r="J39" s="92"/>
      <c r="K39" s="92"/>
      <c r="L39" s="92"/>
      <c r="M39" s="92"/>
    </row>
    <row r="40" spans="1:13" ht="51.75" customHeight="1" x14ac:dyDescent="0.3">
      <c r="A40" s="100" t="s">
        <v>285</v>
      </c>
      <c r="B40" s="101" t="s">
        <v>281</v>
      </c>
      <c r="C40" s="102" t="s">
        <v>471</v>
      </c>
      <c r="D40" s="103" t="s">
        <v>476</v>
      </c>
      <c r="E40" s="102" t="s">
        <v>453</v>
      </c>
      <c r="F40" s="104"/>
      <c r="G40" s="105"/>
      <c r="H40" s="105"/>
      <c r="I40" s="105"/>
      <c r="J40" s="106"/>
      <c r="K40" s="106"/>
      <c r="L40" s="106"/>
      <c r="M40" s="106"/>
    </row>
    <row r="41" spans="1:13" ht="18" customHeight="1" x14ac:dyDescent="0.3">
      <c r="A41" s="214" t="s">
        <v>477</v>
      </c>
      <c r="B41" s="214"/>
      <c r="C41" s="214"/>
      <c r="D41" s="214"/>
      <c r="E41" s="214"/>
      <c r="F41" s="214"/>
      <c r="G41" s="214"/>
      <c r="H41" s="214"/>
      <c r="I41" s="214"/>
      <c r="J41" s="214"/>
      <c r="K41" s="214"/>
      <c r="L41" s="214"/>
      <c r="M41" s="214"/>
    </row>
    <row r="42" spans="1:13" ht="51.75" customHeight="1" x14ac:dyDescent="0.3">
      <c r="A42" s="86" t="s">
        <v>287</v>
      </c>
      <c r="B42" s="87" t="s">
        <v>478</v>
      </c>
      <c r="C42" s="88" t="s">
        <v>479</v>
      </c>
      <c r="D42" s="89" t="s">
        <v>480</v>
      </c>
      <c r="E42" s="88" t="s">
        <v>453</v>
      </c>
      <c r="F42" s="90" t="s">
        <v>422</v>
      </c>
      <c r="G42" s="91"/>
      <c r="H42" s="91"/>
      <c r="I42" s="91"/>
      <c r="J42" s="92"/>
      <c r="K42" s="92"/>
      <c r="L42" s="92"/>
      <c r="M42" s="92"/>
    </row>
    <row r="43" spans="1:13" ht="51.75" customHeight="1" x14ac:dyDescent="0.3">
      <c r="A43" s="86" t="s">
        <v>289</v>
      </c>
      <c r="B43" s="87" t="s">
        <v>481</v>
      </c>
      <c r="C43" s="88" t="s">
        <v>479</v>
      </c>
      <c r="D43" s="89" t="s">
        <v>482</v>
      </c>
      <c r="E43" s="88" t="s">
        <v>453</v>
      </c>
      <c r="F43" s="90" t="s">
        <v>422</v>
      </c>
      <c r="G43" s="91"/>
      <c r="H43" s="91"/>
      <c r="I43" s="91"/>
      <c r="J43" s="92"/>
      <c r="K43" s="92"/>
      <c r="L43" s="92"/>
      <c r="M43" s="92"/>
    </row>
    <row r="44" spans="1:13" ht="51.75" customHeight="1" x14ac:dyDescent="0.3">
      <c r="A44" s="93" t="s">
        <v>291</v>
      </c>
      <c r="B44" s="94" t="s">
        <v>483</v>
      </c>
      <c r="C44" s="95" t="s">
        <v>479</v>
      </c>
      <c r="D44" s="96" t="s">
        <v>484</v>
      </c>
      <c r="E44" s="95" t="s">
        <v>453</v>
      </c>
      <c r="F44" s="97"/>
      <c r="G44" s="98"/>
      <c r="H44" s="98"/>
      <c r="I44" s="98"/>
      <c r="J44" s="99"/>
      <c r="K44" s="99"/>
      <c r="L44" s="99"/>
      <c r="M44" s="99"/>
    </row>
    <row r="45" spans="1:13" ht="51.75" customHeight="1" x14ac:dyDescent="0.3">
      <c r="A45" s="114" t="s">
        <v>293</v>
      </c>
      <c r="B45" s="115" t="s">
        <v>291</v>
      </c>
      <c r="C45" s="116" t="s">
        <v>479</v>
      </c>
      <c r="D45" s="117" t="s">
        <v>485</v>
      </c>
      <c r="E45" s="116" t="s">
        <v>453</v>
      </c>
      <c r="F45" s="118"/>
      <c r="G45" s="119"/>
      <c r="H45" s="119"/>
      <c r="I45" s="119"/>
      <c r="J45" s="120"/>
      <c r="K45" s="120"/>
      <c r="L45" s="120"/>
      <c r="M45" s="120"/>
    </row>
    <row r="46" spans="1:13" ht="51.75" customHeight="1" x14ac:dyDescent="0.3">
      <c r="A46" s="93" t="s">
        <v>486</v>
      </c>
      <c r="B46" s="94" t="s">
        <v>487</v>
      </c>
      <c r="C46" s="95" t="s">
        <v>488</v>
      </c>
      <c r="D46" s="96" t="s">
        <v>489</v>
      </c>
      <c r="E46" s="95" t="s">
        <v>453</v>
      </c>
      <c r="F46" s="97"/>
      <c r="G46" s="98"/>
      <c r="H46" s="98"/>
      <c r="I46" s="98"/>
      <c r="J46" s="99"/>
      <c r="K46" s="99"/>
      <c r="L46" s="99"/>
      <c r="M46" s="99"/>
    </row>
    <row r="47" spans="1:13" ht="51.75" customHeight="1" x14ac:dyDescent="0.3">
      <c r="A47" s="100" t="s">
        <v>490</v>
      </c>
      <c r="B47" s="101" t="s">
        <v>486</v>
      </c>
      <c r="C47" s="102" t="s">
        <v>488</v>
      </c>
      <c r="D47" s="103" t="s">
        <v>491</v>
      </c>
      <c r="E47" s="102" t="s">
        <v>453</v>
      </c>
      <c r="F47" s="104"/>
      <c r="G47" s="105"/>
      <c r="H47" s="105"/>
      <c r="I47" s="105"/>
      <c r="J47" s="106"/>
      <c r="K47" s="106"/>
      <c r="L47" s="106"/>
      <c r="M47" s="106"/>
    </row>
    <row r="48" spans="1:13" ht="51.75" customHeight="1" x14ac:dyDescent="0.3">
      <c r="A48" s="86" t="s">
        <v>492</v>
      </c>
      <c r="B48" s="87" t="s">
        <v>493</v>
      </c>
      <c r="C48" s="88" t="s">
        <v>494</v>
      </c>
      <c r="D48" s="89" t="s">
        <v>495</v>
      </c>
      <c r="E48" s="88" t="s">
        <v>453</v>
      </c>
      <c r="F48" s="90" t="s">
        <v>422</v>
      </c>
      <c r="G48" s="91"/>
      <c r="H48" s="91"/>
      <c r="I48" s="91"/>
      <c r="J48" s="92"/>
      <c r="K48" s="92"/>
      <c r="L48" s="92"/>
      <c r="M48" s="92"/>
    </row>
    <row r="49" spans="1:13" ht="51.75" customHeight="1" x14ac:dyDescent="0.3">
      <c r="A49" s="86" t="s">
        <v>496</v>
      </c>
      <c r="B49" s="87" t="s">
        <v>497</v>
      </c>
      <c r="C49" s="88" t="s">
        <v>494</v>
      </c>
      <c r="D49" s="89" t="s">
        <v>498</v>
      </c>
      <c r="E49" s="88" t="s">
        <v>453</v>
      </c>
      <c r="F49" s="90" t="s">
        <v>422</v>
      </c>
      <c r="G49" s="91"/>
      <c r="H49" s="91"/>
      <c r="I49" s="91"/>
      <c r="J49" s="92"/>
      <c r="K49" s="92"/>
      <c r="L49" s="92"/>
      <c r="M49" s="92"/>
    </row>
    <row r="50" spans="1:13" ht="51.75" customHeight="1" x14ac:dyDescent="0.3">
      <c r="A50" s="107" t="s">
        <v>499</v>
      </c>
      <c r="B50" s="108" t="s">
        <v>500</v>
      </c>
      <c r="C50" s="109" t="s">
        <v>501</v>
      </c>
      <c r="D50" s="110" t="s">
        <v>502</v>
      </c>
      <c r="E50" s="109" t="s">
        <v>453</v>
      </c>
      <c r="F50" s="111"/>
      <c r="G50" s="112"/>
      <c r="H50" s="112"/>
      <c r="I50" s="112"/>
      <c r="J50" s="113"/>
      <c r="K50" s="113"/>
      <c r="L50" s="113"/>
      <c r="M50" s="113"/>
    </row>
    <row r="51" spans="1:13" ht="18" customHeight="1" x14ac:dyDescent="0.3">
      <c r="A51" s="214" t="s">
        <v>503</v>
      </c>
      <c r="B51" s="214"/>
      <c r="C51" s="214"/>
      <c r="D51" s="214"/>
      <c r="E51" s="214"/>
      <c r="F51" s="214"/>
      <c r="G51" s="214"/>
      <c r="H51" s="214"/>
      <c r="I51" s="214"/>
      <c r="J51" s="214"/>
      <c r="K51" s="214"/>
      <c r="L51" s="214"/>
      <c r="M51" s="214"/>
    </row>
    <row r="52" spans="1:13" ht="51.75" customHeight="1" x14ac:dyDescent="0.3">
      <c r="A52" s="86" t="s">
        <v>504</v>
      </c>
      <c r="B52" s="87" t="s">
        <v>505</v>
      </c>
      <c r="C52" s="88" t="s">
        <v>506</v>
      </c>
      <c r="D52" s="89" t="s">
        <v>507</v>
      </c>
      <c r="E52" s="88" t="s">
        <v>453</v>
      </c>
      <c r="F52" s="90" t="s">
        <v>422</v>
      </c>
      <c r="G52" s="91"/>
      <c r="H52" s="91"/>
      <c r="I52" s="91"/>
      <c r="J52" s="92"/>
      <c r="K52" s="92"/>
      <c r="L52" s="92"/>
      <c r="M52" s="92"/>
    </row>
    <row r="53" spans="1:13" ht="51.75" customHeight="1" x14ac:dyDescent="0.3">
      <c r="A53" s="86" t="s">
        <v>493</v>
      </c>
      <c r="B53" s="87" t="s">
        <v>508</v>
      </c>
      <c r="C53" s="88" t="s">
        <v>506</v>
      </c>
      <c r="D53" s="89" t="s">
        <v>509</v>
      </c>
      <c r="E53" s="88" t="s">
        <v>453</v>
      </c>
      <c r="F53" s="90" t="s">
        <v>422</v>
      </c>
      <c r="G53" s="91"/>
      <c r="H53" s="91"/>
      <c r="I53" s="91"/>
      <c r="J53" s="92"/>
      <c r="K53" s="92"/>
      <c r="L53" s="92"/>
      <c r="M53" s="92"/>
    </row>
    <row r="54" spans="1:13" ht="51.75" customHeight="1" x14ac:dyDescent="0.3">
      <c r="A54" s="86" t="s">
        <v>497</v>
      </c>
      <c r="B54" s="87" t="s">
        <v>510</v>
      </c>
      <c r="C54" s="88" t="s">
        <v>506</v>
      </c>
      <c r="D54" s="89" t="s">
        <v>511</v>
      </c>
      <c r="E54" s="88" t="s">
        <v>453</v>
      </c>
      <c r="F54" s="90" t="s">
        <v>422</v>
      </c>
      <c r="G54" s="91"/>
      <c r="H54" s="91"/>
      <c r="I54" s="91"/>
      <c r="J54" s="92"/>
      <c r="K54" s="92"/>
      <c r="L54" s="92"/>
      <c r="M54" s="92"/>
    </row>
    <row r="55" spans="1:13" ht="51.75" customHeight="1" x14ac:dyDescent="0.3">
      <c r="A55" s="93" t="s">
        <v>512</v>
      </c>
      <c r="B55" s="94" t="s">
        <v>513</v>
      </c>
      <c r="C55" s="95" t="s">
        <v>506</v>
      </c>
      <c r="D55" s="96" t="s">
        <v>514</v>
      </c>
      <c r="E55" s="95" t="s">
        <v>453</v>
      </c>
      <c r="F55" s="97"/>
      <c r="G55" s="98"/>
      <c r="H55" s="98"/>
      <c r="I55" s="98"/>
      <c r="J55" s="99"/>
      <c r="K55" s="99"/>
      <c r="L55" s="99"/>
      <c r="M55" s="99"/>
    </row>
    <row r="56" spans="1:13" ht="18" customHeight="1" x14ac:dyDescent="0.3">
      <c r="A56" s="214" t="s">
        <v>515</v>
      </c>
      <c r="B56" s="214"/>
      <c r="C56" s="214"/>
      <c r="D56" s="214"/>
      <c r="E56" s="214"/>
      <c r="F56" s="214"/>
      <c r="G56" s="214"/>
      <c r="H56" s="214"/>
      <c r="I56" s="214"/>
      <c r="J56" s="214"/>
      <c r="K56" s="214"/>
      <c r="L56" s="214"/>
      <c r="M56" s="214"/>
    </row>
    <row r="57" spans="1:13" ht="51.75" customHeight="1" x14ac:dyDescent="0.3">
      <c r="A57" s="100" t="s">
        <v>500</v>
      </c>
      <c r="B57" s="101" t="s">
        <v>516</v>
      </c>
      <c r="C57" s="102" t="s">
        <v>517</v>
      </c>
      <c r="D57" s="103" t="s">
        <v>518</v>
      </c>
      <c r="E57" s="102" t="s">
        <v>453</v>
      </c>
      <c r="F57" s="104"/>
      <c r="G57" s="105"/>
      <c r="H57" s="105"/>
      <c r="I57" s="105"/>
      <c r="J57" s="106"/>
      <c r="K57" s="106"/>
      <c r="L57" s="106"/>
      <c r="M57" s="106"/>
    </row>
    <row r="58" spans="1:13" ht="51.75" customHeight="1" x14ac:dyDescent="0.3">
      <c r="A58" s="93" t="s">
        <v>505</v>
      </c>
      <c r="B58" s="94" t="s">
        <v>519</v>
      </c>
      <c r="C58" s="95" t="s">
        <v>517</v>
      </c>
      <c r="D58" s="96" t="s">
        <v>520</v>
      </c>
      <c r="E58" s="95" t="s">
        <v>453</v>
      </c>
      <c r="F58" s="97"/>
      <c r="G58" s="98"/>
      <c r="H58" s="98"/>
      <c r="I58" s="98"/>
      <c r="J58" s="99"/>
      <c r="K58" s="99"/>
      <c r="L58" s="99"/>
      <c r="M58" s="99"/>
    </row>
    <row r="59" spans="1:13" ht="51.75" customHeight="1" x14ac:dyDescent="0.3">
      <c r="A59" s="100" t="s">
        <v>508</v>
      </c>
      <c r="B59" s="101" t="s">
        <v>521</v>
      </c>
      <c r="C59" s="102" t="s">
        <v>522</v>
      </c>
      <c r="D59" s="103" t="s">
        <v>523</v>
      </c>
      <c r="E59" s="102" t="s">
        <v>453</v>
      </c>
      <c r="F59" s="104"/>
      <c r="G59" s="105"/>
      <c r="H59" s="105"/>
      <c r="I59" s="105"/>
      <c r="J59" s="106"/>
      <c r="K59" s="106"/>
      <c r="L59" s="106"/>
      <c r="M59" s="106"/>
    </row>
    <row r="60" spans="1:13" ht="51.75" customHeight="1" x14ac:dyDescent="0.3">
      <c r="A60" s="93" t="s">
        <v>510</v>
      </c>
      <c r="B60" s="94" t="s">
        <v>524</v>
      </c>
      <c r="C60" s="95" t="s">
        <v>525</v>
      </c>
      <c r="D60" s="96" t="s">
        <v>526</v>
      </c>
      <c r="E60" s="95" t="s">
        <v>453</v>
      </c>
      <c r="F60" s="97"/>
      <c r="G60" s="98"/>
      <c r="H60" s="98"/>
      <c r="I60" s="98"/>
      <c r="J60" s="99"/>
      <c r="K60" s="99"/>
      <c r="L60" s="99"/>
      <c r="M60" s="99"/>
    </row>
    <row r="61" spans="1:13" ht="18" customHeight="1" x14ac:dyDescent="0.3">
      <c r="A61" s="214" t="s">
        <v>527</v>
      </c>
      <c r="B61" s="214"/>
      <c r="C61" s="214"/>
      <c r="D61" s="214"/>
      <c r="E61" s="214"/>
      <c r="F61" s="214"/>
      <c r="G61" s="214"/>
      <c r="H61" s="214"/>
      <c r="I61" s="214"/>
      <c r="J61" s="214"/>
      <c r="K61" s="214"/>
      <c r="L61" s="214"/>
      <c r="M61" s="214"/>
    </row>
    <row r="62" spans="1:13" ht="51.75" customHeight="1" x14ac:dyDescent="0.3">
      <c r="A62" s="86" t="s">
        <v>513</v>
      </c>
      <c r="B62" s="87" t="s">
        <v>528</v>
      </c>
      <c r="C62" s="88" t="s">
        <v>529</v>
      </c>
      <c r="D62" s="89" t="s">
        <v>530</v>
      </c>
      <c r="E62" s="88" t="s">
        <v>453</v>
      </c>
      <c r="F62" s="90" t="s">
        <v>422</v>
      </c>
      <c r="G62" s="91"/>
      <c r="H62" s="91"/>
      <c r="I62" s="91"/>
      <c r="J62" s="92"/>
      <c r="K62" s="92"/>
      <c r="L62" s="92"/>
      <c r="M62" s="92"/>
    </row>
    <row r="63" spans="1:13" ht="51.75" customHeight="1" x14ac:dyDescent="0.3">
      <c r="A63" s="86" t="s">
        <v>531</v>
      </c>
      <c r="B63" s="87" t="s">
        <v>532</v>
      </c>
      <c r="C63" s="121" t="s">
        <v>533</v>
      </c>
      <c r="D63" s="122" t="s">
        <v>534</v>
      </c>
      <c r="E63" s="121" t="s">
        <v>453</v>
      </c>
      <c r="F63" s="90" t="s">
        <v>422</v>
      </c>
      <c r="G63" s="91"/>
      <c r="H63" s="91"/>
      <c r="I63" s="91"/>
      <c r="J63" s="92"/>
      <c r="K63" s="92"/>
      <c r="L63" s="92"/>
      <c r="M63" s="92"/>
    </row>
    <row r="64" spans="1:13" ht="51.75" customHeight="1" x14ac:dyDescent="0.3">
      <c r="A64" s="86" t="s">
        <v>516</v>
      </c>
      <c r="B64" s="87" t="s">
        <v>535</v>
      </c>
      <c r="C64" s="121" t="s">
        <v>536</v>
      </c>
      <c r="D64" s="122" t="s">
        <v>537</v>
      </c>
      <c r="E64" s="121" t="s">
        <v>453</v>
      </c>
      <c r="F64" s="90" t="s">
        <v>422</v>
      </c>
      <c r="G64" s="91"/>
      <c r="H64" s="91"/>
      <c r="I64" s="91"/>
      <c r="J64" s="92"/>
      <c r="K64" s="92"/>
      <c r="L64" s="92"/>
      <c r="M64" s="92"/>
    </row>
    <row r="65" spans="1:13" ht="21.75" customHeight="1" x14ac:dyDescent="0.3">
      <c r="A65" s="212" t="s">
        <v>538</v>
      </c>
      <c r="B65" s="212"/>
      <c r="C65" s="212"/>
      <c r="D65" s="212"/>
      <c r="E65" s="212"/>
      <c r="F65" s="212"/>
      <c r="G65" s="212"/>
      <c r="H65" s="212"/>
      <c r="I65" s="212"/>
      <c r="J65" s="212"/>
      <c r="K65" s="212"/>
      <c r="L65" s="212"/>
      <c r="M65" s="212"/>
    </row>
    <row r="66" spans="1:13" ht="51.75" customHeight="1" x14ac:dyDescent="0.3">
      <c r="A66" s="86" t="s">
        <v>519</v>
      </c>
      <c r="B66" s="87" t="s">
        <v>18</v>
      </c>
      <c r="C66" s="88" t="s">
        <v>539</v>
      </c>
      <c r="D66" s="89" t="s">
        <v>540</v>
      </c>
      <c r="E66" s="88" t="s">
        <v>433</v>
      </c>
      <c r="F66" s="90" t="s">
        <v>422</v>
      </c>
      <c r="G66" s="91"/>
      <c r="H66" s="91"/>
      <c r="I66" s="91"/>
      <c r="J66" s="92"/>
      <c r="K66" s="92"/>
      <c r="L66" s="92"/>
      <c r="M66" s="92"/>
    </row>
    <row r="67" spans="1:13" ht="51.75" customHeight="1" x14ac:dyDescent="0.3">
      <c r="A67" s="86" t="s">
        <v>521</v>
      </c>
      <c r="B67" s="87" t="s">
        <v>541</v>
      </c>
      <c r="C67" s="88" t="s">
        <v>539</v>
      </c>
      <c r="D67" s="89" t="s">
        <v>542</v>
      </c>
      <c r="E67" s="88" t="s">
        <v>433</v>
      </c>
      <c r="F67" s="90" t="s">
        <v>422</v>
      </c>
      <c r="G67" s="91"/>
      <c r="H67" s="91"/>
      <c r="I67" s="91"/>
      <c r="J67" s="92"/>
      <c r="K67" s="92"/>
      <c r="L67" s="92"/>
      <c r="M67" s="92"/>
    </row>
    <row r="68" spans="1:13" ht="51.75" customHeight="1" x14ac:dyDescent="0.3">
      <c r="A68" s="86" t="s">
        <v>543</v>
      </c>
      <c r="B68" s="87" t="s">
        <v>544</v>
      </c>
      <c r="C68" s="88" t="s">
        <v>539</v>
      </c>
      <c r="D68" s="89" t="s">
        <v>545</v>
      </c>
      <c r="E68" s="88" t="s">
        <v>433</v>
      </c>
      <c r="F68" s="90" t="s">
        <v>422</v>
      </c>
      <c r="G68" s="91"/>
      <c r="H68" s="91"/>
      <c r="I68" s="91"/>
      <c r="J68" s="92"/>
      <c r="K68" s="92"/>
      <c r="L68" s="92"/>
      <c r="M68" s="92"/>
    </row>
    <row r="69" spans="1:13" ht="51.75" customHeight="1" x14ac:dyDescent="0.3">
      <c r="A69" s="114" t="s">
        <v>546</v>
      </c>
      <c r="B69" s="115" t="s">
        <v>26</v>
      </c>
      <c r="C69" s="116" t="s">
        <v>539</v>
      </c>
      <c r="D69" s="117" t="s">
        <v>547</v>
      </c>
      <c r="E69" s="116" t="s">
        <v>433</v>
      </c>
      <c r="F69" s="118"/>
      <c r="G69" s="119"/>
      <c r="H69" s="119"/>
      <c r="I69" s="119"/>
      <c r="J69" s="120"/>
      <c r="K69" s="120"/>
      <c r="L69" s="120"/>
      <c r="M69" s="120"/>
    </row>
    <row r="70" spans="1:13" ht="51.75" customHeight="1" x14ac:dyDescent="0.3">
      <c r="A70" s="86" t="s">
        <v>528</v>
      </c>
      <c r="B70" s="87" t="s">
        <v>30</v>
      </c>
      <c r="C70" s="88" t="s">
        <v>539</v>
      </c>
      <c r="D70" s="89" t="s">
        <v>548</v>
      </c>
      <c r="E70" s="88" t="s">
        <v>453</v>
      </c>
      <c r="F70" s="90" t="s">
        <v>422</v>
      </c>
      <c r="G70" s="91"/>
      <c r="H70" s="91"/>
      <c r="I70" s="91"/>
      <c r="J70" s="92"/>
      <c r="K70" s="92"/>
      <c r="L70" s="92"/>
      <c r="M70" s="92"/>
    </row>
    <row r="71" spans="1:13" ht="51.75" customHeight="1" x14ac:dyDescent="0.3">
      <c r="A71" s="114" t="s">
        <v>532</v>
      </c>
      <c r="B71" s="115" t="s">
        <v>34</v>
      </c>
      <c r="C71" s="116" t="s">
        <v>539</v>
      </c>
      <c r="D71" s="117" t="s">
        <v>549</v>
      </c>
      <c r="E71" s="116" t="s">
        <v>453</v>
      </c>
      <c r="F71" s="118"/>
      <c r="G71" s="119"/>
      <c r="H71" s="119"/>
      <c r="I71" s="119"/>
      <c r="J71" s="120"/>
      <c r="K71" s="120"/>
      <c r="L71" s="120"/>
      <c r="M71" s="120"/>
    </row>
    <row r="72" spans="1:13" ht="51.75" customHeight="1" x14ac:dyDescent="0.3">
      <c r="A72" s="107" t="s">
        <v>535</v>
      </c>
      <c r="B72" s="108" t="s">
        <v>38</v>
      </c>
      <c r="C72" s="109" t="s">
        <v>539</v>
      </c>
      <c r="D72" s="110" t="s">
        <v>550</v>
      </c>
      <c r="E72" s="109" t="s">
        <v>433</v>
      </c>
      <c r="F72" s="111"/>
      <c r="G72" s="112"/>
      <c r="H72" s="112"/>
      <c r="I72" s="112"/>
      <c r="J72" s="113"/>
      <c r="K72" s="113"/>
      <c r="L72" s="113"/>
      <c r="M72" s="113"/>
    </row>
    <row r="73" spans="1:13" ht="51.75" customHeight="1" x14ac:dyDescent="0.3">
      <c r="A73" s="100" t="s">
        <v>551</v>
      </c>
      <c r="B73" s="101" t="s">
        <v>42</v>
      </c>
      <c r="C73" s="102" t="s">
        <v>539</v>
      </c>
      <c r="D73" s="103" t="s">
        <v>552</v>
      </c>
      <c r="E73" s="102" t="s">
        <v>433</v>
      </c>
      <c r="F73" s="104"/>
      <c r="G73" s="105"/>
      <c r="H73" s="105"/>
      <c r="I73" s="105"/>
      <c r="J73" s="106"/>
      <c r="K73" s="106"/>
      <c r="L73" s="106"/>
      <c r="M73" s="106"/>
    </row>
    <row r="74" spans="1:13" ht="51.75" customHeight="1" x14ac:dyDescent="0.3">
      <c r="A74" s="93" t="s">
        <v>553</v>
      </c>
      <c r="B74" s="94" t="s">
        <v>62</v>
      </c>
      <c r="C74" s="95" t="s">
        <v>539</v>
      </c>
      <c r="D74" s="96" t="s">
        <v>554</v>
      </c>
      <c r="E74" s="95" t="s">
        <v>453</v>
      </c>
      <c r="F74" s="97"/>
      <c r="G74" s="98"/>
      <c r="H74" s="98"/>
      <c r="I74" s="98"/>
      <c r="J74" s="99"/>
      <c r="K74" s="99"/>
      <c r="L74" s="99"/>
      <c r="M74" s="99"/>
    </row>
    <row r="75" spans="1:13" ht="51.75" customHeight="1" x14ac:dyDescent="0.3">
      <c r="A75" s="100" t="s">
        <v>555</v>
      </c>
      <c r="B75" s="101" t="s">
        <v>70</v>
      </c>
      <c r="C75" s="102" t="s">
        <v>539</v>
      </c>
      <c r="D75" s="103" t="s">
        <v>556</v>
      </c>
      <c r="E75" s="102" t="s">
        <v>453</v>
      </c>
      <c r="F75" s="104"/>
      <c r="G75" s="105"/>
      <c r="H75" s="105"/>
      <c r="I75" s="105"/>
      <c r="J75" s="106"/>
      <c r="K75" s="106"/>
      <c r="L75" s="106"/>
      <c r="M75" s="106"/>
    </row>
    <row r="76" spans="1:13" ht="18" customHeight="1" x14ac:dyDescent="0.3">
      <c r="A76" s="214" t="s">
        <v>557</v>
      </c>
      <c r="B76" s="214"/>
      <c r="C76" s="214"/>
      <c r="D76" s="214"/>
      <c r="E76" s="214"/>
      <c r="F76" s="214"/>
      <c r="G76" s="214"/>
      <c r="H76" s="214"/>
      <c r="I76" s="214"/>
      <c r="J76" s="214"/>
      <c r="K76" s="214"/>
      <c r="L76" s="214"/>
      <c r="M76" s="214"/>
    </row>
    <row r="77" spans="1:13" ht="51.75" customHeight="1" x14ac:dyDescent="0.3">
      <c r="A77" s="93" t="s">
        <v>558</v>
      </c>
      <c r="B77" s="94" t="s">
        <v>559</v>
      </c>
      <c r="C77" s="95" t="s">
        <v>560</v>
      </c>
      <c r="D77" s="96" t="s">
        <v>561</v>
      </c>
      <c r="E77" s="95" t="s">
        <v>453</v>
      </c>
      <c r="F77" s="97"/>
      <c r="G77" s="98"/>
      <c r="H77" s="98"/>
      <c r="I77" s="98"/>
      <c r="J77" s="99"/>
      <c r="K77" s="99"/>
      <c r="L77" s="99"/>
      <c r="M77" s="99"/>
    </row>
    <row r="78" spans="1:13" ht="51.75" customHeight="1" x14ac:dyDescent="0.3">
      <c r="A78" s="100" t="s">
        <v>562</v>
      </c>
      <c r="B78" s="101" t="s">
        <v>563</v>
      </c>
      <c r="C78" s="102" t="s">
        <v>560</v>
      </c>
      <c r="D78" s="103" t="s">
        <v>564</v>
      </c>
      <c r="E78" s="102" t="s">
        <v>453</v>
      </c>
      <c r="F78" s="104"/>
      <c r="G78" s="105"/>
      <c r="H78" s="105"/>
      <c r="I78" s="105"/>
      <c r="J78" s="106"/>
      <c r="K78" s="106"/>
      <c r="L78" s="106"/>
      <c r="M78" s="106"/>
    </row>
    <row r="79" spans="1:13" ht="18" customHeight="1" x14ac:dyDescent="0.3">
      <c r="A79" s="214" t="s">
        <v>527</v>
      </c>
      <c r="B79" s="214"/>
      <c r="C79" s="214"/>
      <c r="D79" s="214"/>
      <c r="E79" s="214"/>
      <c r="F79" s="214"/>
      <c r="G79" s="214"/>
      <c r="H79" s="214"/>
      <c r="I79" s="214"/>
      <c r="J79" s="214"/>
      <c r="K79" s="214"/>
      <c r="L79" s="214"/>
      <c r="M79" s="214"/>
    </row>
    <row r="80" spans="1:13" ht="51.75" customHeight="1" x14ac:dyDescent="0.3">
      <c r="A80" s="86" t="s">
        <v>565</v>
      </c>
      <c r="B80" s="87" t="s">
        <v>566</v>
      </c>
      <c r="C80" s="121" t="s">
        <v>567</v>
      </c>
      <c r="D80" s="122" t="s">
        <v>568</v>
      </c>
      <c r="E80" s="121" t="s">
        <v>433</v>
      </c>
      <c r="F80" s="90" t="s">
        <v>422</v>
      </c>
      <c r="G80" s="91"/>
      <c r="H80" s="91"/>
      <c r="I80" s="91"/>
      <c r="J80" s="92"/>
      <c r="K80" s="92"/>
      <c r="L80" s="92"/>
      <c r="M80" s="92"/>
    </row>
    <row r="81" spans="1:13" ht="51.75" customHeight="1" x14ac:dyDescent="0.3">
      <c r="A81" s="86" t="s">
        <v>569</v>
      </c>
      <c r="B81" s="87" t="s">
        <v>570</v>
      </c>
      <c r="C81" s="121" t="s">
        <v>567</v>
      </c>
      <c r="D81" s="122" t="s">
        <v>571</v>
      </c>
      <c r="E81" s="121" t="s">
        <v>433</v>
      </c>
      <c r="F81" s="90" t="s">
        <v>422</v>
      </c>
      <c r="G81" s="91"/>
      <c r="H81" s="91"/>
      <c r="I81" s="91"/>
      <c r="J81" s="92"/>
      <c r="K81" s="92"/>
      <c r="L81" s="92"/>
      <c r="M81" s="92"/>
    </row>
    <row r="82" spans="1:13" ht="51.75" customHeight="1" x14ac:dyDescent="0.3">
      <c r="A82" s="86" t="s">
        <v>572</v>
      </c>
      <c r="B82" s="87" t="s">
        <v>573</v>
      </c>
      <c r="C82" s="121" t="s">
        <v>574</v>
      </c>
      <c r="D82" s="122" t="s">
        <v>575</v>
      </c>
      <c r="E82" s="121" t="s">
        <v>433</v>
      </c>
      <c r="F82" s="90" t="s">
        <v>422</v>
      </c>
      <c r="G82" s="91"/>
      <c r="H82" s="91"/>
      <c r="I82" s="91"/>
      <c r="J82" s="92"/>
      <c r="K82" s="92"/>
      <c r="L82" s="92"/>
      <c r="M82" s="92"/>
    </row>
    <row r="83" spans="1:13" ht="21.75" customHeight="1" x14ac:dyDescent="0.3">
      <c r="A83" s="212" t="s">
        <v>576</v>
      </c>
      <c r="B83" s="212"/>
      <c r="C83" s="212"/>
      <c r="D83" s="212"/>
      <c r="E83" s="212"/>
      <c r="F83" s="212"/>
      <c r="G83" s="212"/>
      <c r="H83" s="212"/>
      <c r="I83" s="212"/>
      <c r="J83" s="212"/>
      <c r="K83" s="212"/>
      <c r="L83" s="212"/>
      <c r="M83" s="212"/>
    </row>
    <row r="84" spans="1:13" ht="51.75" customHeight="1" x14ac:dyDescent="0.3">
      <c r="A84" s="86" t="s">
        <v>577</v>
      </c>
      <c r="B84" s="87" t="s">
        <v>18</v>
      </c>
      <c r="C84" s="88" t="s">
        <v>578</v>
      </c>
      <c r="D84" s="89" t="s">
        <v>579</v>
      </c>
      <c r="E84" s="88" t="s">
        <v>433</v>
      </c>
      <c r="F84" s="90" t="s">
        <v>422</v>
      </c>
      <c r="G84" s="91"/>
      <c r="H84" s="91"/>
      <c r="I84" s="91"/>
      <c r="J84" s="92"/>
      <c r="K84" s="92"/>
      <c r="L84" s="92"/>
      <c r="M84" s="92"/>
    </row>
    <row r="85" spans="1:13" ht="51.75" customHeight="1" x14ac:dyDescent="0.3">
      <c r="A85" s="86" t="s">
        <v>580</v>
      </c>
      <c r="B85" s="87" t="s">
        <v>22</v>
      </c>
      <c r="C85" s="88" t="s">
        <v>578</v>
      </c>
      <c r="D85" s="89" t="s">
        <v>581</v>
      </c>
      <c r="E85" s="88" t="s">
        <v>433</v>
      </c>
      <c r="F85" s="90" t="s">
        <v>422</v>
      </c>
      <c r="G85" s="91"/>
      <c r="H85" s="91"/>
      <c r="I85" s="91"/>
      <c r="J85" s="92"/>
      <c r="K85" s="92"/>
      <c r="L85" s="92"/>
      <c r="M85" s="92"/>
    </row>
    <row r="86" spans="1:13" ht="51.75" customHeight="1" x14ac:dyDescent="0.3">
      <c r="A86" s="86" t="s">
        <v>582</v>
      </c>
      <c r="B86" s="87" t="s">
        <v>26</v>
      </c>
      <c r="C86" s="121" t="s">
        <v>578</v>
      </c>
      <c r="D86" s="122" t="s">
        <v>583</v>
      </c>
      <c r="E86" s="121" t="s">
        <v>433</v>
      </c>
      <c r="F86" s="90" t="s">
        <v>422</v>
      </c>
      <c r="G86" s="91"/>
      <c r="H86" s="91"/>
      <c r="I86" s="91"/>
      <c r="J86" s="92"/>
      <c r="K86" s="92"/>
      <c r="L86" s="92"/>
      <c r="M86" s="92"/>
    </row>
    <row r="87" spans="1:13" ht="51.75" customHeight="1" x14ac:dyDescent="0.3">
      <c r="A87" s="86" t="s">
        <v>584</v>
      </c>
      <c r="B87" s="87" t="s">
        <v>30</v>
      </c>
      <c r="C87" s="88" t="s">
        <v>578</v>
      </c>
      <c r="D87" s="89" t="s">
        <v>585</v>
      </c>
      <c r="E87" s="88" t="s">
        <v>433</v>
      </c>
      <c r="F87" s="90" t="s">
        <v>422</v>
      </c>
      <c r="G87" s="91"/>
      <c r="H87" s="91"/>
      <c r="I87" s="91"/>
      <c r="J87" s="92"/>
      <c r="K87" s="92"/>
      <c r="L87" s="92"/>
      <c r="M87" s="92"/>
    </row>
    <row r="88" spans="1:13" ht="51.75" customHeight="1" x14ac:dyDescent="0.3">
      <c r="A88" s="86" t="s">
        <v>586</v>
      </c>
      <c r="B88" s="87" t="s">
        <v>34</v>
      </c>
      <c r="C88" s="121" t="s">
        <v>578</v>
      </c>
      <c r="D88" s="122" t="s">
        <v>587</v>
      </c>
      <c r="E88" s="121" t="s">
        <v>433</v>
      </c>
      <c r="F88" s="90" t="s">
        <v>422</v>
      </c>
      <c r="G88" s="91"/>
      <c r="H88" s="91"/>
      <c r="I88" s="91"/>
      <c r="J88" s="92"/>
      <c r="K88" s="92"/>
      <c r="L88" s="92"/>
      <c r="M88" s="92"/>
    </row>
    <row r="89" spans="1:13" ht="51.75" customHeight="1" x14ac:dyDescent="0.3">
      <c r="A89" s="86" t="s">
        <v>588</v>
      </c>
      <c r="B89" s="87" t="s">
        <v>38</v>
      </c>
      <c r="C89" s="88" t="s">
        <v>578</v>
      </c>
      <c r="D89" s="89" t="s">
        <v>589</v>
      </c>
      <c r="E89" s="88" t="s">
        <v>433</v>
      </c>
      <c r="F89" s="90" t="s">
        <v>422</v>
      </c>
      <c r="G89" s="91"/>
      <c r="H89" s="91"/>
      <c r="I89" s="91"/>
      <c r="J89" s="92"/>
      <c r="K89" s="92"/>
      <c r="L89" s="92"/>
      <c r="M89" s="92"/>
    </row>
    <row r="90" spans="1:13" ht="51.75" customHeight="1" x14ac:dyDescent="0.3">
      <c r="A90" s="86" t="s">
        <v>590</v>
      </c>
      <c r="B90" s="87" t="s">
        <v>42</v>
      </c>
      <c r="C90" s="88" t="s">
        <v>578</v>
      </c>
      <c r="D90" s="89" t="s">
        <v>591</v>
      </c>
      <c r="E90" s="88" t="s">
        <v>592</v>
      </c>
      <c r="F90" s="90" t="s">
        <v>422</v>
      </c>
      <c r="G90" s="91"/>
      <c r="H90" s="91"/>
      <c r="I90" s="91"/>
      <c r="J90" s="92"/>
      <c r="K90" s="92"/>
      <c r="L90" s="92"/>
      <c r="M90" s="92"/>
    </row>
    <row r="91" spans="1:13" ht="51.75" customHeight="1" x14ac:dyDescent="0.3">
      <c r="A91" s="86" t="s">
        <v>593</v>
      </c>
      <c r="B91" s="87" t="s">
        <v>46</v>
      </c>
      <c r="C91" s="88" t="s">
        <v>578</v>
      </c>
      <c r="D91" s="89" t="s">
        <v>594</v>
      </c>
      <c r="E91" s="88" t="s">
        <v>453</v>
      </c>
      <c r="F91" s="90" t="s">
        <v>422</v>
      </c>
      <c r="G91" s="91"/>
      <c r="H91" s="91"/>
      <c r="I91" s="91"/>
      <c r="J91" s="92"/>
      <c r="K91" s="92"/>
      <c r="L91" s="92"/>
      <c r="M91" s="92"/>
    </row>
    <row r="92" spans="1:13" ht="51.75" customHeight="1" x14ac:dyDescent="0.3">
      <c r="A92" s="114" t="s">
        <v>595</v>
      </c>
      <c r="B92" s="115" t="s">
        <v>50</v>
      </c>
      <c r="C92" s="116" t="s">
        <v>578</v>
      </c>
      <c r="D92" s="117" t="s">
        <v>596</v>
      </c>
      <c r="E92" s="116" t="s">
        <v>453</v>
      </c>
      <c r="F92" s="118"/>
      <c r="G92" s="119"/>
      <c r="H92" s="119"/>
      <c r="I92" s="119"/>
      <c r="J92" s="120"/>
      <c r="K92" s="120"/>
      <c r="L92" s="120"/>
      <c r="M92" s="120"/>
    </row>
    <row r="93" spans="1:13" ht="51.75" customHeight="1" x14ac:dyDescent="0.3">
      <c r="A93" s="107" t="s">
        <v>597</v>
      </c>
      <c r="B93" s="108" t="s">
        <v>54</v>
      </c>
      <c r="C93" s="109" t="s">
        <v>578</v>
      </c>
      <c r="D93" s="110" t="s">
        <v>598</v>
      </c>
      <c r="E93" s="109" t="s">
        <v>453</v>
      </c>
      <c r="F93" s="111"/>
      <c r="G93" s="112"/>
      <c r="H93" s="112"/>
      <c r="I93" s="112"/>
      <c r="J93" s="113"/>
      <c r="K93" s="113"/>
      <c r="L93" s="113"/>
      <c r="M93" s="113"/>
    </row>
    <row r="94" spans="1:13" ht="18" customHeight="1" x14ac:dyDescent="0.3">
      <c r="A94" s="214" t="s">
        <v>599</v>
      </c>
      <c r="B94" s="214"/>
      <c r="C94" s="214"/>
      <c r="D94" s="214"/>
      <c r="E94" s="214"/>
      <c r="F94" s="214"/>
      <c r="G94" s="214"/>
      <c r="H94" s="214"/>
      <c r="I94" s="214"/>
      <c r="J94" s="214"/>
      <c r="K94" s="214"/>
      <c r="L94" s="214"/>
      <c r="M94" s="214"/>
    </row>
    <row r="95" spans="1:13" ht="51.75" customHeight="1" x14ac:dyDescent="0.3">
      <c r="A95" s="100" t="s">
        <v>600</v>
      </c>
      <c r="B95" s="101" t="s">
        <v>559</v>
      </c>
      <c r="C95" s="102" t="s">
        <v>601</v>
      </c>
      <c r="D95" s="103" t="s">
        <v>602</v>
      </c>
      <c r="E95" s="102" t="s">
        <v>453</v>
      </c>
      <c r="F95" s="104"/>
      <c r="G95" s="105"/>
      <c r="H95" s="105"/>
      <c r="I95" s="105"/>
      <c r="J95" s="106"/>
      <c r="K95" s="106"/>
      <c r="L95" s="106"/>
      <c r="M95" s="106"/>
    </row>
    <row r="96" spans="1:13" ht="51.75" customHeight="1" x14ac:dyDescent="0.3">
      <c r="A96" s="93" t="s">
        <v>603</v>
      </c>
      <c r="B96" s="94" t="s">
        <v>563</v>
      </c>
      <c r="C96" s="95" t="s">
        <v>601</v>
      </c>
      <c r="D96" s="96" t="s">
        <v>604</v>
      </c>
      <c r="E96" s="95" t="s">
        <v>433</v>
      </c>
      <c r="F96" s="97"/>
      <c r="G96" s="98"/>
      <c r="H96" s="98"/>
      <c r="I96" s="98"/>
      <c r="J96" s="99"/>
      <c r="K96" s="99"/>
      <c r="L96" s="99"/>
      <c r="M96" s="99"/>
    </row>
    <row r="97" spans="1:13" ht="18" customHeight="1" x14ac:dyDescent="0.3">
      <c r="A97" s="214" t="s">
        <v>446</v>
      </c>
      <c r="B97" s="214"/>
      <c r="C97" s="214"/>
      <c r="D97" s="214"/>
      <c r="E97" s="214"/>
      <c r="F97" s="214"/>
      <c r="G97" s="214"/>
      <c r="H97" s="214"/>
      <c r="I97" s="214"/>
      <c r="J97" s="214"/>
      <c r="K97" s="214"/>
      <c r="L97" s="214"/>
      <c r="M97" s="214"/>
    </row>
    <row r="98" spans="1:13" ht="51.75" customHeight="1" x14ac:dyDescent="0.3">
      <c r="A98" s="114" t="s">
        <v>605</v>
      </c>
      <c r="B98" s="115" t="s">
        <v>267</v>
      </c>
      <c r="C98" s="116" t="s">
        <v>606</v>
      </c>
      <c r="D98" s="117" t="s">
        <v>607</v>
      </c>
      <c r="E98" s="116" t="s">
        <v>433</v>
      </c>
      <c r="F98" s="118"/>
      <c r="G98" s="119"/>
      <c r="H98" s="119"/>
      <c r="I98" s="119"/>
      <c r="J98" s="120"/>
      <c r="K98" s="120"/>
      <c r="L98" s="120"/>
      <c r="M98" s="120"/>
    </row>
    <row r="99" spans="1:13" ht="21.75" customHeight="1" x14ac:dyDescent="0.3">
      <c r="A99" s="212" t="s">
        <v>608</v>
      </c>
      <c r="B99" s="212"/>
      <c r="C99" s="212"/>
      <c r="D99" s="212"/>
      <c r="E99" s="212"/>
      <c r="F99" s="212"/>
      <c r="G99" s="212"/>
      <c r="H99" s="212"/>
      <c r="I99" s="212"/>
      <c r="J99" s="212"/>
      <c r="K99" s="212"/>
      <c r="L99" s="212"/>
      <c r="M99" s="212"/>
    </row>
    <row r="100" spans="1:13" ht="51.75" customHeight="1" x14ac:dyDescent="0.3">
      <c r="A100" s="86" t="s">
        <v>609</v>
      </c>
      <c r="B100" s="87" t="s">
        <v>18</v>
      </c>
      <c r="C100" s="88" t="s">
        <v>610</v>
      </c>
      <c r="D100" s="89" t="s">
        <v>611</v>
      </c>
      <c r="E100" s="88" t="s">
        <v>433</v>
      </c>
      <c r="F100" s="90" t="s">
        <v>422</v>
      </c>
      <c r="G100" s="91"/>
      <c r="H100" s="91"/>
      <c r="I100" s="91"/>
      <c r="J100" s="92"/>
      <c r="K100" s="92"/>
      <c r="L100" s="92"/>
      <c r="M100" s="92"/>
    </row>
    <row r="101" spans="1:13" ht="51.75" customHeight="1" x14ac:dyDescent="0.3">
      <c r="A101" s="86" t="s">
        <v>612</v>
      </c>
      <c r="B101" s="87" t="s">
        <v>22</v>
      </c>
      <c r="C101" s="88" t="s">
        <v>610</v>
      </c>
      <c r="D101" s="89" t="s">
        <v>613</v>
      </c>
      <c r="E101" s="88" t="s">
        <v>433</v>
      </c>
      <c r="F101" s="90" t="s">
        <v>422</v>
      </c>
      <c r="G101" s="91"/>
      <c r="H101" s="91"/>
      <c r="I101" s="91"/>
      <c r="J101" s="92"/>
      <c r="K101" s="92"/>
      <c r="L101" s="92"/>
      <c r="M101" s="92"/>
    </row>
    <row r="102" spans="1:13" ht="51.75" customHeight="1" x14ac:dyDescent="0.3">
      <c r="A102" s="86" t="s">
        <v>614</v>
      </c>
      <c r="B102" s="87" t="s">
        <v>615</v>
      </c>
      <c r="C102" s="123" t="s">
        <v>610</v>
      </c>
      <c r="D102" s="124" t="s">
        <v>616</v>
      </c>
      <c r="E102" s="123" t="s">
        <v>433</v>
      </c>
      <c r="F102" s="90" t="s">
        <v>422</v>
      </c>
      <c r="G102" s="91"/>
      <c r="H102" s="91"/>
      <c r="I102" s="91"/>
      <c r="J102" s="92"/>
      <c r="K102" s="92"/>
      <c r="L102" s="92"/>
      <c r="M102" s="92"/>
    </row>
    <row r="103" spans="1:13" ht="51.75" customHeight="1" x14ac:dyDescent="0.3">
      <c r="A103" s="86" t="s">
        <v>617</v>
      </c>
      <c r="B103" s="87" t="s">
        <v>618</v>
      </c>
      <c r="C103" s="88" t="s">
        <v>610</v>
      </c>
      <c r="D103" s="89" t="s">
        <v>619</v>
      </c>
      <c r="E103" s="88" t="s">
        <v>433</v>
      </c>
      <c r="F103" s="90" t="s">
        <v>422</v>
      </c>
      <c r="G103" s="91"/>
      <c r="H103" s="91"/>
      <c r="I103" s="91"/>
      <c r="J103" s="92"/>
      <c r="K103" s="92"/>
      <c r="L103" s="92"/>
      <c r="M103" s="92"/>
    </row>
    <row r="104" spans="1:13" ht="51.75" customHeight="1" x14ac:dyDescent="0.3">
      <c r="A104" s="107" t="s">
        <v>620</v>
      </c>
      <c r="B104" s="108" t="s">
        <v>621</v>
      </c>
      <c r="C104" s="109" t="s">
        <v>610</v>
      </c>
      <c r="D104" s="110" t="s">
        <v>622</v>
      </c>
      <c r="E104" s="109" t="s">
        <v>433</v>
      </c>
      <c r="F104" s="111"/>
      <c r="G104" s="112"/>
      <c r="H104" s="112"/>
      <c r="I104" s="112"/>
      <c r="J104" s="113"/>
      <c r="K104" s="113"/>
      <c r="L104" s="113"/>
      <c r="M104" s="113"/>
    </row>
    <row r="105" spans="1:13" ht="51.75" customHeight="1" x14ac:dyDescent="0.3">
      <c r="A105" s="86" t="s">
        <v>623</v>
      </c>
      <c r="B105" s="87" t="s">
        <v>624</v>
      </c>
      <c r="C105" s="88" t="s">
        <v>610</v>
      </c>
      <c r="D105" s="89" t="s">
        <v>625</v>
      </c>
      <c r="E105" s="88" t="s">
        <v>433</v>
      </c>
      <c r="F105" s="90" t="s">
        <v>422</v>
      </c>
      <c r="G105" s="91"/>
      <c r="H105" s="91"/>
      <c r="I105" s="91"/>
      <c r="J105" s="92"/>
      <c r="K105" s="92"/>
      <c r="L105" s="92"/>
      <c r="M105" s="92"/>
    </row>
    <row r="106" spans="1:13" ht="51.75" customHeight="1" x14ac:dyDescent="0.3">
      <c r="A106" s="107" t="s">
        <v>626</v>
      </c>
      <c r="B106" s="108" t="s">
        <v>627</v>
      </c>
      <c r="C106" s="109" t="s">
        <v>610</v>
      </c>
      <c r="D106" s="110" t="s">
        <v>628</v>
      </c>
      <c r="E106" s="109" t="s">
        <v>433</v>
      </c>
      <c r="F106" s="111"/>
      <c r="G106" s="112"/>
      <c r="H106" s="112"/>
      <c r="I106" s="112"/>
      <c r="J106" s="113"/>
      <c r="K106" s="113"/>
      <c r="L106" s="113"/>
      <c r="M106" s="113"/>
    </row>
    <row r="107" spans="1:13" ht="51.75" customHeight="1" x14ac:dyDescent="0.3">
      <c r="A107" s="86" t="s">
        <v>629</v>
      </c>
      <c r="B107" s="87" t="s">
        <v>630</v>
      </c>
      <c r="C107" s="88" t="s">
        <v>610</v>
      </c>
      <c r="D107" s="89" t="s">
        <v>631</v>
      </c>
      <c r="E107" s="88" t="s">
        <v>433</v>
      </c>
      <c r="F107" s="90" t="s">
        <v>422</v>
      </c>
      <c r="G107" s="91"/>
      <c r="H107" s="91"/>
      <c r="I107" s="91"/>
      <c r="J107" s="92"/>
      <c r="K107" s="92"/>
      <c r="L107" s="92"/>
      <c r="M107" s="92"/>
    </row>
    <row r="108" spans="1:13" ht="51.75" customHeight="1" x14ac:dyDescent="0.3">
      <c r="A108" s="93" t="s">
        <v>632</v>
      </c>
      <c r="B108" s="94" t="s">
        <v>633</v>
      </c>
      <c r="C108" s="95" t="s">
        <v>610</v>
      </c>
      <c r="D108" s="96" t="s">
        <v>634</v>
      </c>
      <c r="E108" s="95" t="s">
        <v>433</v>
      </c>
      <c r="F108" s="97"/>
      <c r="G108" s="98"/>
      <c r="H108" s="98"/>
      <c r="I108" s="98"/>
      <c r="J108" s="99"/>
      <c r="K108" s="99"/>
      <c r="L108" s="99"/>
      <c r="M108" s="99"/>
    </row>
    <row r="109" spans="1:13" ht="51.75" customHeight="1" x14ac:dyDescent="0.3">
      <c r="A109" s="100" t="s">
        <v>635</v>
      </c>
      <c r="B109" s="101" t="s">
        <v>636</v>
      </c>
      <c r="C109" s="102" t="s">
        <v>610</v>
      </c>
      <c r="D109" s="103" t="s">
        <v>637</v>
      </c>
      <c r="E109" s="102" t="s">
        <v>433</v>
      </c>
      <c r="F109" s="104"/>
      <c r="G109" s="105"/>
      <c r="H109" s="105"/>
      <c r="I109" s="105"/>
      <c r="J109" s="106"/>
      <c r="K109" s="106"/>
      <c r="L109" s="106"/>
      <c r="M109" s="106"/>
    </row>
    <row r="110" spans="1:13" ht="51.75" customHeight="1" x14ac:dyDescent="0.3">
      <c r="A110" s="107" t="s">
        <v>638</v>
      </c>
      <c r="B110" s="108" t="s">
        <v>34</v>
      </c>
      <c r="C110" s="109" t="s">
        <v>610</v>
      </c>
      <c r="D110" s="110" t="s">
        <v>639</v>
      </c>
      <c r="E110" s="109" t="s">
        <v>433</v>
      </c>
      <c r="F110" s="111"/>
      <c r="G110" s="112"/>
      <c r="H110" s="112"/>
      <c r="I110" s="112"/>
      <c r="J110" s="113"/>
      <c r="K110" s="113"/>
      <c r="L110" s="113"/>
      <c r="M110" s="113"/>
    </row>
    <row r="111" spans="1:13" ht="51.75" customHeight="1" x14ac:dyDescent="0.3">
      <c r="A111" s="86" t="s">
        <v>640</v>
      </c>
      <c r="B111" s="87" t="s">
        <v>38</v>
      </c>
      <c r="C111" s="88" t="s">
        <v>610</v>
      </c>
      <c r="D111" s="89" t="s">
        <v>641</v>
      </c>
      <c r="E111" s="88" t="s">
        <v>433</v>
      </c>
      <c r="F111" s="90" t="s">
        <v>422</v>
      </c>
      <c r="G111" s="91"/>
      <c r="H111" s="91"/>
      <c r="I111" s="91"/>
      <c r="J111" s="92"/>
      <c r="K111" s="92"/>
      <c r="L111" s="92"/>
      <c r="M111" s="92"/>
    </row>
    <row r="112" spans="1:13" ht="51.75" customHeight="1" x14ac:dyDescent="0.3">
      <c r="A112" s="107" t="s">
        <v>642</v>
      </c>
      <c r="B112" s="108" t="s">
        <v>42</v>
      </c>
      <c r="C112" s="109" t="s">
        <v>610</v>
      </c>
      <c r="D112" s="110" t="s">
        <v>643</v>
      </c>
      <c r="E112" s="109" t="s">
        <v>433</v>
      </c>
      <c r="F112" s="111"/>
      <c r="G112" s="112"/>
      <c r="H112" s="112"/>
      <c r="I112" s="112"/>
      <c r="J112" s="113"/>
      <c r="K112" s="113"/>
      <c r="L112" s="113"/>
      <c r="M112" s="113"/>
    </row>
    <row r="113" spans="1:13" ht="51.75" customHeight="1" x14ac:dyDescent="0.3">
      <c r="A113" s="86" t="s">
        <v>644</v>
      </c>
      <c r="B113" s="87" t="s">
        <v>46</v>
      </c>
      <c r="C113" s="88" t="s">
        <v>610</v>
      </c>
      <c r="D113" s="89" t="s">
        <v>645</v>
      </c>
      <c r="E113" s="88" t="s">
        <v>433</v>
      </c>
      <c r="F113" s="90" t="s">
        <v>422</v>
      </c>
      <c r="G113" s="91"/>
      <c r="H113" s="91"/>
      <c r="I113" s="91"/>
      <c r="J113" s="92"/>
      <c r="K113" s="92"/>
      <c r="L113" s="92"/>
      <c r="M113" s="92"/>
    </row>
    <row r="114" spans="1:13" ht="51.75" customHeight="1" x14ac:dyDescent="0.3">
      <c r="A114" s="107" t="s">
        <v>646</v>
      </c>
      <c r="B114" s="108" t="s">
        <v>50</v>
      </c>
      <c r="C114" s="109" t="s">
        <v>610</v>
      </c>
      <c r="D114" s="110" t="s">
        <v>647</v>
      </c>
      <c r="E114" s="109" t="s">
        <v>433</v>
      </c>
      <c r="F114" s="111"/>
      <c r="G114" s="112"/>
      <c r="H114" s="112"/>
      <c r="I114" s="112"/>
      <c r="J114" s="113"/>
      <c r="K114" s="113"/>
      <c r="L114" s="113"/>
      <c r="M114" s="113"/>
    </row>
    <row r="115" spans="1:13" ht="51.75" customHeight="1" x14ac:dyDescent="0.3">
      <c r="A115" s="114" t="s">
        <v>648</v>
      </c>
      <c r="B115" s="115" t="s">
        <v>54</v>
      </c>
      <c r="C115" s="116" t="s">
        <v>610</v>
      </c>
      <c r="D115" s="117" t="s">
        <v>649</v>
      </c>
      <c r="E115" s="116" t="s">
        <v>433</v>
      </c>
      <c r="F115" s="118"/>
      <c r="G115" s="119"/>
      <c r="H115" s="119"/>
      <c r="I115" s="119"/>
      <c r="J115" s="120"/>
      <c r="K115" s="120"/>
      <c r="L115" s="120"/>
      <c r="M115" s="120"/>
    </row>
    <row r="116" spans="1:13" ht="51.75" customHeight="1" x14ac:dyDescent="0.3">
      <c r="A116" s="93" t="s">
        <v>650</v>
      </c>
      <c r="B116" s="94" t="s">
        <v>651</v>
      </c>
      <c r="C116" s="95" t="s">
        <v>610</v>
      </c>
      <c r="D116" s="96" t="s">
        <v>652</v>
      </c>
      <c r="E116" s="95" t="s">
        <v>433</v>
      </c>
      <c r="F116" s="97"/>
      <c r="G116" s="98"/>
      <c r="H116" s="98"/>
      <c r="I116" s="98"/>
      <c r="J116" s="99"/>
      <c r="K116" s="99"/>
      <c r="L116" s="99"/>
      <c r="M116" s="99"/>
    </row>
    <row r="117" spans="1:13" ht="51.75" customHeight="1" x14ac:dyDescent="0.3">
      <c r="A117" s="86" t="s">
        <v>653</v>
      </c>
      <c r="B117" s="87" t="s">
        <v>654</v>
      </c>
      <c r="C117" s="88" t="s">
        <v>610</v>
      </c>
      <c r="D117" s="89" t="s">
        <v>655</v>
      </c>
      <c r="E117" s="88" t="s">
        <v>433</v>
      </c>
      <c r="F117" s="90" t="s">
        <v>422</v>
      </c>
      <c r="G117" s="91"/>
      <c r="H117" s="91"/>
      <c r="I117" s="91"/>
      <c r="J117" s="92"/>
      <c r="K117" s="92"/>
      <c r="L117" s="92"/>
      <c r="M117" s="92"/>
    </row>
    <row r="118" spans="1:13" ht="51.75" customHeight="1" x14ac:dyDescent="0.3">
      <c r="A118" s="93" t="s">
        <v>656</v>
      </c>
      <c r="B118" s="94" t="s">
        <v>657</v>
      </c>
      <c r="C118" s="95" t="s">
        <v>610</v>
      </c>
      <c r="D118" s="96" t="s">
        <v>658</v>
      </c>
      <c r="E118" s="95" t="s">
        <v>433</v>
      </c>
      <c r="F118" s="97"/>
      <c r="G118" s="98"/>
      <c r="H118" s="98"/>
      <c r="I118" s="98"/>
      <c r="J118" s="99"/>
      <c r="K118" s="99"/>
      <c r="L118" s="99"/>
      <c r="M118" s="99"/>
    </row>
    <row r="119" spans="1:13" ht="51.75" customHeight="1" x14ac:dyDescent="0.3">
      <c r="A119" s="100" t="s">
        <v>659</v>
      </c>
      <c r="B119" s="101" t="s">
        <v>660</v>
      </c>
      <c r="C119" s="102" t="s">
        <v>610</v>
      </c>
      <c r="D119" s="103" t="s">
        <v>661</v>
      </c>
      <c r="E119" s="102" t="s">
        <v>433</v>
      </c>
      <c r="F119" s="104"/>
      <c r="G119" s="105"/>
      <c r="H119" s="105"/>
      <c r="I119" s="105"/>
      <c r="J119" s="106"/>
      <c r="K119" s="106"/>
      <c r="L119" s="106"/>
      <c r="M119" s="106"/>
    </row>
    <row r="120" spans="1:13" ht="51.75" customHeight="1" x14ac:dyDescent="0.3">
      <c r="A120" s="86" t="s">
        <v>662</v>
      </c>
      <c r="B120" s="87" t="s">
        <v>663</v>
      </c>
      <c r="C120" s="88" t="s">
        <v>610</v>
      </c>
      <c r="D120" s="89" t="s">
        <v>664</v>
      </c>
      <c r="E120" s="88" t="s">
        <v>433</v>
      </c>
      <c r="F120" s="90" t="s">
        <v>422</v>
      </c>
      <c r="G120" s="91"/>
      <c r="H120" s="91"/>
      <c r="I120" s="91"/>
      <c r="J120" s="92"/>
      <c r="K120" s="92"/>
      <c r="L120" s="92"/>
      <c r="M120" s="92"/>
    </row>
    <row r="121" spans="1:13" ht="51.75" customHeight="1" x14ac:dyDescent="0.3">
      <c r="A121" s="114" t="s">
        <v>665</v>
      </c>
      <c r="B121" s="115" t="s">
        <v>666</v>
      </c>
      <c r="C121" s="116" t="s">
        <v>610</v>
      </c>
      <c r="D121" s="117" t="s">
        <v>667</v>
      </c>
      <c r="E121" s="116" t="s">
        <v>433</v>
      </c>
      <c r="F121" s="118"/>
      <c r="G121" s="119"/>
      <c r="H121" s="119"/>
      <c r="I121" s="119"/>
      <c r="J121" s="120"/>
      <c r="K121" s="120"/>
      <c r="L121" s="120"/>
      <c r="M121" s="120"/>
    </row>
    <row r="122" spans="1:13" ht="51.75" customHeight="1" x14ac:dyDescent="0.3">
      <c r="A122" s="93" t="s">
        <v>668</v>
      </c>
      <c r="B122" s="94" t="s">
        <v>669</v>
      </c>
      <c r="C122" s="95" t="s">
        <v>610</v>
      </c>
      <c r="D122" s="96" t="s">
        <v>670</v>
      </c>
      <c r="E122" s="95" t="s">
        <v>433</v>
      </c>
      <c r="F122" s="97"/>
      <c r="G122" s="98"/>
      <c r="H122" s="98"/>
      <c r="I122" s="98"/>
      <c r="J122" s="99"/>
      <c r="K122" s="99"/>
      <c r="L122" s="99"/>
      <c r="M122" s="99"/>
    </row>
    <row r="123" spans="1:13" ht="51.75" customHeight="1" x14ac:dyDescent="0.3">
      <c r="A123" s="100" t="s">
        <v>671</v>
      </c>
      <c r="B123" s="101" t="s">
        <v>672</v>
      </c>
      <c r="C123" s="102" t="s">
        <v>610</v>
      </c>
      <c r="D123" s="103" t="s">
        <v>673</v>
      </c>
      <c r="E123" s="102" t="s">
        <v>433</v>
      </c>
      <c r="F123" s="104"/>
      <c r="G123" s="105"/>
      <c r="H123" s="105"/>
      <c r="I123" s="105"/>
      <c r="J123" s="106"/>
      <c r="K123" s="106"/>
      <c r="L123" s="106"/>
      <c r="M123" s="106"/>
    </row>
    <row r="124" spans="1:13" ht="51.75" customHeight="1" x14ac:dyDescent="0.3">
      <c r="A124" s="93" t="s">
        <v>674</v>
      </c>
      <c r="B124" s="94" t="s">
        <v>70</v>
      </c>
      <c r="C124" s="95" t="s">
        <v>610</v>
      </c>
      <c r="D124" s="96" t="s">
        <v>675</v>
      </c>
      <c r="E124" s="95" t="s">
        <v>433</v>
      </c>
      <c r="F124" s="97"/>
      <c r="G124" s="98"/>
      <c r="H124" s="98"/>
      <c r="I124" s="98"/>
      <c r="J124" s="99"/>
      <c r="K124" s="99"/>
      <c r="L124" s="99"/>
      <c r="M124" s="99"/>
    </row>
    <row r="125" spans="1:13" ht="51.75" customHeight="1" x14ac:dyDescent="0.3">
      <c r="A125" s="114" t="s">
        <v>676</v>
      </c>
      <c r="B125" s="115" t="s">
        <v>263</v>
      </c>
      <c r="C125" s="116" t="s">
        <v>610</v>
      </c>
      <c r="D125" s="117" t="s">
        <v>677</v>
      </c>
      <c r="E125" s="116" t="s">
        <v>433</v>
      </c>
      <c r="F125" s="118"/>
      <c r="G125" s="119"/>
      <c r="H125" s="119"/>
      <c r="I125" s="119"/>
      <c r="J125" s="120"/>
      <c r="K125" s="120"/>
      <c r="L125" s="120"/>
      <c r="M125" s="120"/>
    </row>
    <row r="126" spans="1:13" ht="51.75" customHeight="1" x14ac:dyDescent="0.3">
      <c r="A126" s="125" t="s">
        <v>678</v>
      </c>
      <c r="B126" s="126" t="s">
        <v>679</v>
      </c>
      <c r="C126" s="127" t="s">
        <v>610</v>
      </c>
      <c r="D126" s="128" t="s">
        <v>680</v>
      </c>
      <c r="E126" s="127" t="s">
        <v>433</v>
      </c>
      <c r="F126" s="129" t="s">
        <v>681</v>
      </c>
      <c r="G126" s="130"/>
      <c r="H126" s="130"/>
      <c r="I126" s="130"/>
      <c r="J126" s="131"/>
      <c r="K126" s="131"/>
      <c r="L126" s="131"/>
      <c r="M126" s="131"/>
    </row>
    <row r="127" spans="1:13" ht="51.75" customHeight="1" x14ac:dyDescent="0.3">
      <c r="A127" s="86" t="s">
        <v>682</v>
      </c>
      <c r="B127" s="87" t="s">
        <v>267</v>
      </c>
      <c r="C127" s="88" t="s">
        <v>610</v>
      </c>
      <c r="D127" s="89" t="s">
        <v>683</v>
      </c>
      <c r="E127" s="88" t="s">
        <v>433</v>
      </c>
      <c r="F127" s="90" t="s">
        <v>422</v>
      </c>
      <c r="G127" s="91"/>
      <c r="H127" s="91"/>
      <c r="I127" s="91"/>
      <c r="J127" s="92"/>
      <c r="K127" s="92"/>
      <c r="L127" s="92"/>
      <c r="M127" s="92"/>
    </row>
    <row r="128" spans="1:13" ht="51.75" customHeight="1" x14ac:dyDescent="0.3">
      <c r="A128" s="86" t="s">
        <v>684</v>
      </c>
      <c r="B128" s="87" t="s">
        <v>685</v>
      </c>
      <c r="C128" s="123" t="s">
        <v>610</v>
      </c>
      <c r="D128" s="124" t="s">
        <v>686</v>
      </c>
      <c r="E128" s="123" t="s">
        <v>433</v>
      </c>
      <c r="F128" s="90" t="s">
        <v>422</v>
      </c>
      <c r="G128" s="91"/>
      <c r="H128" s="91"/>
      <c r="I128" s="91"/>
      <c r="J128" s="92"/>
      <c r="K128" s="92"/>
      <c r="L128" s="92"/>
      <c r="M128" s="92"/>
    </row>
    <row r="129" spans="1:13" ht="51.75" customHeight="1" x14ac:dyDescent="0.3">
      <c r="A129" s="100" t="s">
        <v>687</v>
      </c>
      <c r="B129" s="101" t="s">
        <v>279</v>
      </c>
      <c r="C129" s="102" t="s">
        <v>610</v>
      </c>
      <c r="D129" s="103" t="s">
        <v>688</v>
      </c>
      <c r="E129" s="102" t="s">
        <v>433</v>
      </c>
      <c r="F129" s="104"/>
      <c r="G129" s="105"/>
      <c r="H129" s="105"/>
      <c r="I129" s="105"/>
      <c r="J129" s="106"/>
      <c r="K129" s="106"/>
      <c r="L129" s="106"/>
      <c r="M129" s="106"/>
    </row>
    <row r="130" spans="1:13" ht="51.75" customHeight="1" x14ac:dyDescent="0.3">
      <c r="A130" s="93" t="s">
        <v>689</v>
      </c>
      <c r="B130" s="94" t="s">
        <v>285</v>
      </c>
      <c r="C130" s="95" t="s">
        <v>610</v>
      </c>
      <c r="D130" s="96" t="s">
        <v>690</v>
      </c>
      <c r="E130" s="95" t="s">
        <v>433</v>
      </c>
      <c r="F130" s="97"/>
      <c r="G130" s="98"/>
      <c r="H130" s="98"/>
      <c r="I130" s="98"/>
      <c r="J130" s="99"/>
      <c r="K130" s="99"/>
      <c r="L130" s="99"/>
      <c r="M130" s="99"/>
    </row>
    <row r="131" spans="1:13" ht="51.75" customHeight="1" x14ac:dyDescent="0.3">
      <c r="A131" s="100" t="s">
        <v>691</v>
      </c>
      <c r="B131" s="101" t="s">
        <v>287</v>
      </c>
      <c r="C131" s="102" t="s">
        <v>610</v>
      </c>
      <c r="D131" s="103" t="s">
        <v>692</v>
      </c>
      <c r="E131" s="102" t="s">
        <v>433</v>
      </c>
      <c r="F131" s="104"/>
      <c r="G131" s="105"/>
      <c r="H131" s="105"/>
      <c r="I131" s="105"/>
      <c r="J131" s="106"/>
      <c r="K131" s="106"/>
      <c r="L131" s="106"/>
      <c r="M131" s="106"/>
    </row>
    <row r="132" spans="1:13" ht="18" customHeight="1" x14ac:dyDescent="0.3">
      <c r="A132" s="214" t="s">
        <v>693</v>
      </c>
      <c r="B132" s="214"/>
      <c r="C132" s="214"/>
      <c r="D132" s="214"/>
      <c r="E132" s="214"/>
      <c r="F132" s="214"/>
      <c r="G132" s="214"/>
      <c r="H132" s="214"/>
      <c r="I132" s="214"/>
      <c r="J132" s="214"/>
      <c r="K132" s="214"/>
      <c r="L132" s="214"/>
      <c r="M132" s="214"/>
    </row>
    <row r="133" spans="1:13" ht="51.75" customHeight="1" x14ac:dyDescent="0.3">
      <c r="A133" s="93" t="s">
        <v>694</v>
      </c>
      <c r="B133" s="94" t="s">
        <v>289</v>
      </c>
      <c r="C133" s="95" t="s">
        <v>695</v>
      </c>
      <c r="D133" s="96" t="s">
        <v>696</v>
      </c>
      <c r="E133" s="95" t="s">
        <v>433</v>
      </c>
      <c r="F133" s="97"/>
      <c r="G133" s="98"/>
      <c r="H133" s="98"/>
      <c r="I133" s="98"/>
      <c r="J133" s="99"/>
      <c r="K133" s="99"/>
      <c r="L133" s="99"/>
      <c r="M133" s="99"/>
    </row>
    <row r="134" spans="1:13" ht="51.75" customHeight="1" x14ac:dyDescent="0.3">
      <c r="A134" s="100" t="s">
        <v>697</v>
      </c>
      <c r="B134" s="101" t="s">
        <v>291</v>
      </c>
      <c r="C134" s="102" t="s">
        <v>695</v>
      </c>
      <c r="D134" s="103" t="s">
        <v>698</v>
      </c>
      <c r="E134" s="102" t="s">
        <v>433</v>
      </c>
      <c r="F134" s="104"/>
      <c r="G134" s="105"/>
      <c r="H134" s="105"/>
      <c r="I134" s="105"/>
      <c r="J134" s="106"/>
      <c r="K134" s="106"/>
      <c r="L134" s="106"/>
      <c r="M134" s="106"/>
    </row>
    <row r="135" spans="1:13" ht="51.75" customHeight="1" x14ac:dyDescent="0.3">
      <c r="A135" s="93" t="s">
        <v>699</v>
      </c>
      <c r="B135" s="94" t="s">
        <v>293</v>
      </c>
      <c r="C135" s="95" t="s">
        <v>695</v>
      </c>
      <c r="D135" s="96" t="s">
        <v>700</v>
      </c>
      <c r="E135" s="95" t="s">
        <v>433</v>
      </c>
      <c r="F135" s="97"/>
      <c r="G135" s="98"/>
      <c r="H135" s="98"/>
      <c r="I135" s="98"/>
      <c r="J135" s="99"/>
      <c r="K135" s="99"/>
      <c r="L135" s="99"/>
      <c r="M135" s="99"/>
    </row>
    <row r="136" spans="1:13" ht="18" customHeight="1" x14ac:dyDescent="0.3">
      <c r="A136" s="214" t="s">
        <v>701</v>
      </c>
      <c r="B136" s="214"/>
      <c r="C136" s="214"/>
      <c r="D136" s="214"/>
      <c r="E136" s="214"/>
      <c r="F136" s="214"/>
      <c r="G136" s="214"/>
      <c r="H136" s="214"/>
      <c r="I136" s="214"/>
      <c r="J136" s="214"/>
      <c r="K136" s="214"/>
      <c r="L136" s="214"/>
      <c r="M136" s="214"/>
    </row>
    <row r="137" spans="1:13" ht="51.75" customHeight="1" x14ac:dyDescent="0.3">
      <c r="A137" s="86" t="s">
        <v>702</v>
      </c>
      <c r="B137" s="87" t="s">
        <v>486</v>
      </c>
      <c r="C137" s="88" t="s">
        <v>703</v>
      </c>
      <c r="D137" s="89" t="s">
        <v>704</v>
      </c>
      <c r="E137" s="88" t="s">
        <v>433</v>
      </c>
      <c r="F137" s="90" t="s">
        <v>422</v>
      </c>
      <c r="G137" s="91"/>
      <c r="H137" s="91"/>
      <c r="I137" s="91"/>
      <c r="J137" s="92"/>
      <c r="K137" s="92"/>
      <c r="L137" s="92"/>
      <c r="M137" s="92"/>
    </row>
    <row r="138" spans="1:13" ht="18" customHeight="1" x14ac:dyDescent="0.3">
      <c r="A138" s="214" t="s">
        <v>705</v>
      </c>
      <c r="B138" s="214"/>
      <c r="C138" s="214"/>
      <c r="D138" s="214"/>
      <c r="E138" s="214"/>
      <c r="F138" s="214"/>
      <c r="G138" s="214"/>
      <c r="H138" s="214"/>
      <c r="I138" s="214"/>
      <c r="J138" s="214"/>
      <c r="K138" s="214"/>
      <c r="L138" s="214"/>
      <c r="M138" s="214"/>
    </row>
    <row r="139" spans="1:13" ht="51.75" customHeight="1" x14ac:dyDescent="0.3">
      <c r="A139" s="86" t="s">
        <v>706</v>
      </c>
      <c r="B139" s="87" t="s">
        <v>490</v>
      </c>
      <c r="C139" s="88" t="s">
        <v>707</v>
      </c>
      <c r="D139" s="89" t="s">
        <v>708</v>
      </c>
      <c r="E139" s="88" t="s">
        <v>433</v>
      </c>
      <c r="F139" s="90" t="s">
        <v>422</v>
      </c>
      <c r="G139" s="91"/>
      <c r="H139" s="91"/>
      <c r="I139" s="91"/>
      <c r="J139" s="92"/>
      <c r="K139" s="92"/>
      <c r="L139" s="92"/>
      <c r="M139" s="92"/>
    </row>
    <row r="140" spans="1:13" ht="21.75" customHeight="1" x14ac:dyDescent="0.3">
      <c r="A140" s="212" t="s">
        <v>709</v>
      </c>
      <c r="B140" s="212"/>
      <c r="C140" s="212"/>
      <c r="D140" s="212"/>
      <c r="E140" s="212"/>
      <c r="F140" s="212"/>
      <c r="G140" s="212"/>
      <c r="H140" s="212"/>
      <c r="I140" s="212"/>
      <c r="J140" s="212"/>
      <c r="K140" s="212"/>
      <c r="L140" s="212"/>
      <c r="M140" s="212"/>
    </row>
    <row r="141" spans="1:13" ht="51.75" customHeight="1" x14ac:dyDescent="0.3">
      <c r="A141" s="86" t="s">
        <v>710</v>
      </c>
      <c r="B141" s="87" t="s">
        <v>18</v>
      </c>
      <c r="C141" s="88" t="s">
        <v>711</v>
      </c>
      <c r="D141" s="89" t="s">
        <v>712</v>
      </c>
      <c r="E141" s="88" t="s">
        <v>433</v>
      </c>
      <c r="F141" s="90" t="s">
        <v>422</v>
      </c>
      <c r="G141" s="91"/>
      <c r="H141" s="91"/>
      <c r="I141" s="91"/>
      <c r="J141" s="92"/>
      <c r="K141" s="92"/>
      <c r="L141" s="92"/>
      <c r="M141" s="92"/>
    </row>
    <row r="142" spans="1:13" ht="51.75" customHeight="1" x14ac:dyDescent="0.3">
      <c r="A142" s="86" t="s">
        <v>713</v>
      </c>
      <c r="B142" s="87" t="s">
        <v>22</v>
      </c>
      <c r="C142" s="88" t="s">
        <v>711</v>
      </c>
      <c r="D142" s="89" t="s">
        <v>714</v>
      </c>
      <c r="E142" s="88" t="s">
        <v>433</v>
      </c>
      <c r="F142" s="90" t="s">
        <v>422</v>
      </c>
      <c r="G142" s="91"/>
      <c r="H142" s="91"/>
      <c r="I142" s="91"/>
      <c r="J142" s="92"/>
      <c r="K142" s="92"/>
      <c r="L142" s="92"/>
      <c r="M142" s="92"/>
    </row>
    <row r="143" spans="1:13" ht="51.75" customHeight="1" x14ac:dyDescent="0.3">
      <c r="A143" s="86" t="s">
        <v>715</v>
      </c>
      <c r="B143" s="87" t="s">
        <v>26</v>
      </c>
      <c r="C143" s="121" t="s">
        <v>711</v>
      </c>
      <c r="D143" s="122" t="s">
        <v>716</v>
      </c>
      <c r="E143" s="121" t="s">
        <v>433</v>
      </c>
      <c r="F143" s="90" t="s">
        <v>422</v>
      </c>
      <c r="G143" s="91"/>
      <c r="H143" s="91"/>
      <c r="I143" s="91"/>
      <c r="J143" s="92"/>
      <c r="K143" s="92"/>
      <c r="L143" s="92"/>
      <c r="M143" s="92"/>
    </row>
    <row r="144" spans="1:13" ht="51.75" customHeight="1" x14ac:dyDescent="0.3">
      <c r="A144" s="86" t="s">
        <v>717</v>
      </c>
      <c r="B144" s="87" t="s">
        <v>30</v>
      </c>
      <c r="C144" s="88" t="s">
        <v>711</v>
      </c>
      <c r="D144" s="89" t="s">
        <v>718</v>
      </c>
      <c r="E144" s="88" t="s">
        <v>433</v>
      </c>
      <c r="F144" s="90" t="s">
        <v>422</v>
      </c>
      <c r="G144" s="91"/>
      <c r="H144" s="91"/>
      <c r="I144" s="91"/>
      <c r="J144" s="92"/>
      <c r="K144" s="92"/>
      <c r="L144" s="92"/>
      <c r="M144" s="92"/>
    </row>
    <row r="145" spans="1:13" ht="51.75" customHeight="1" x14ac:dyDescent="0.3">
      <c r="A145" s="86" t="s">
        <v>719</v>
      </c>
      <c r="B145" s="87" t="s">
        <v>34</v>
      </c>
      <c r="C145" s="88" t="s">
        <v>711</v>
      </c>
      <c r="D145" s="89" t="s">
        <v>720</v>
      </c>
      <c r="E145" s="88" t="s">
        <v>433</v>
      </c>
      <c r="F145" s="90" t="s">
        <v>422</v>
      </c>
      <c r="G145" s="91"/>
      <c r="H145" s="91"/>
      <c r="I145" s="91"/>
      <c r="J145" s="92"/>
      <c r="K145" s="92"/>
      <c r="L145" s="92"/>
      <c r="M145" s="92"/>
    </row>
    <row r="146" spans="1:13" ht="51.75" customHeight="1" x14ac:dyDescent="0.3">
      <c r="A146" s="86" t="s">
        <v>721</v>
      </c>
      <c r="B146" s="87" t="s">
        <v>38</v>
      </c>
      <c r="C146" s="88" t="s">
        <v>711</v>
      </c>
      <c r="D146" s="89" t="s">
        <v>722</v>
      </c>
      <c r="E146" s="88" t="s">
        <v>433</v>
      </c>
      <c r="F146" s="90" t="s">
        <v>422</v>
      </c>
      <c r="G146" s="91"/>
      <c r="H146" s="91"/>
      <c r="I146" s="91"/>
      <c r="J146" s="92"/>
      <c r="K146" s="92"/>
      <c r="L146" s="92"/>
      <c r="M146" s="92"/>
    </row>
    <row r="147" spans="1:13" ht="51.75" customHeight="1" x14ac:dyDescent="0.3">
      <c r="A147" s="114" t="s">
        <v>723</v>
      </c>
      <c r="B147" s="115" t="s">
        <v>42</v>
      </c>
      <c r="C147" s="116" t="s">
        <v>711</v>
      </c>
      <c r="D147" s="117" t="s">
        <v>724</v>
      </c>
      <c r="E147" s="116" t="s">
        <v>433</v>
      </c>
      <c r="F147" s="118"/>
      <c r="G147" s="119"/>
      <c r="H147" s="119"/>
      <c r="I147" s="119"/>
      <c r="J147" s="120"/>
      <c r="K147" s="120"/>
      <c r="L147" s="120"/>
      <c r="M147" s="120"/>
    </row>
    <row r="148" spans="1:13" ht="51.75" customHeight="1" x14ac:dyDescent="0.3">
      <c r="A148" s="86" t="s">
        <v>725</v>
      </c>
      <c r="B148" s="87" t="s">
        <v>46</v>
      </c>
      <c r="C148" s="88" t="s">
        <v>711</v>
      </c>
      <c r="D148" s="89" t="s">
        <v>726</v>
      </c>
      <c r="E148" s="88" t="s">
        <v>433</v>
      </c>
      <c r="F148" s="90" t="s">
        <v>422</v>
      </c>
      <c r="G148" s="91"/>
      <c r="H148" s="91"/>
      <c r="I148" s="91"/>
      <c r="J148" s="92"/>
      <c r="K148" s="92"/>
      <c r="L148" s="92"/>
      <c r="M148" s="92"/>
    </row>
    <row r="149" spans="1:13" ht="51.75" customHeight="1" x14ac:dyDescent="0.3">
      <c r="A149" s="86" t="s">
        <v>727</v>
      </c>
      <c r="B149" s="87" t="s">
        <v>50</v>
      </c>
      <c r="C149" s="88" t="s">
        <v>711</v>
      </c>
      <c r="D149" s="89" t="s">
        <v>728</v>
      </c>
      <c r="E149" s="88" t="s">
        <v>433</v>
      </c>
      <c r="F149" s="90" t="s">
        <v>422</v>
      </c>
      <c r="G149" s="91"/>
      <c r="H149" s="91"/>
      <c r="I149" s="91"/>
      <c r="J149" s="92"/>
      <c r="K149" s="92"/>
      <c r="L149" s="92"/>
      <c r="M149" s="92"/>
    </row>
    <row r="150" spans="1:13" ht="51.75" customHeight="1" x14ac:dyDescent="0.3">
      <c r="A150" s="93" t="s">
        <v>729</v>
      </c>
      <c r="B150" s="94" t="s">
        <v>54</v>
      </c>
      <c r="C150" s="95" t="s">
        <v>711</v>
      </c>
      <c r="D150" s="96" t="s">
        <v>730</v>
      </c>
      <c r="E150" s="95" t="s">
        <v>433</v>
      </c>
      <c r="F150" s="97"/>
      <c r="G150" s="98"/>
      <c r="H150" s="98"/>
      <c r="I150" s="98"/>
      <c r="J150" s="99"/>
      <c r="K150" s="99"/>
      <c r="L150" s="99"/>
      <c r="M150" s="99"/>
    </row>
    <row r="151" spans="1:13" ht="51.75" customHeight="1" x14ac:dyDescent="0.3">
      <c r="A151" s="100" t="s">
        <v>731</v>
      </c>
      <c r="B151" s="101" t="s">
        <v>58</v>
      </c>
      <c r="C151" s="102" t="s">
        <v>711</v>
      </c>
      <c r="D151" s="103" t="s">
        <v>732</v>
      </c>
      <c r="E151" s="102" t="s">
        <v>433</v>
      </c>
      <c r="F151" s="104"/>
      <c r="G151" s="105"/>
      <c r="H151" s="105"/>
      <c r="I151" s="105"/>
      <c r="J151" s="106"/>
      <c r="K151" s="106"/>
      <c r="L151" s="106"/>
      <c r="M151" s="106"/>
    </row>
    <row r="152" spans="1:13" ht="18" customHeight="1" x14ac:dyDescent="0.3">
      <c r="A152" s="214" t="s">
        <v>557</v>
      </c>
      <c r="B152" s="214"/>
      <c r="C152" s="214"/>
      <c r="D152" s="214"/>
      <c r="E152" s="214"/>
      <c r="F152" s="214"/>
      <c r="G152" s="214"/>
      <c r="H152" s="214"/>
      <c r="I152" s="214"/>
      <c r="J152" s="214"/>
      <c r="K152" s="214"/>
      <c r="L152" s="214"/>
      <c r="M152" s="214"/>
    </row>
    <row r="153" spans="1:13" ht="51.75" customHeight="1" x14ac:dyDescent="0.3">
      <c r="A153" s="86" t="s">
        <v>733</v>
      </c>
      <c r="B153" s="87" t="s">
        <v>70</v>
      </c>
      <c r="C153" s="121" t="s">
        <v>734</v>
      </c>
      <c r="D153" s="122" t="s">
        <v>735</v>
      </c>
      <c r="E153" s="121" t="s">
        <v>433</v>
      </c>
      <c r="F153" s="90" t="s">
        <v>422</v>
      </c>
      <c r="G153" s="91"/>
      <c r="H153" s="91"/>
      <c r="I153" s="91"/>
      <c r="J153" s="92"/>
      <c r="K153" s="92"/>
      <c r="L153" s="92"/>
      <c r="M153" s="92"/>
    </row>
    <row r="154" spans="1:13" ht="51.75" customHeight="1" x14ac:dyDescent="0.3">
      <c r="A154" s="100" t="s">
        <v>736</v>
      </c>
      <c r="B154" s="101" t="s">
        <v>737</v>
      </c>
      <c r="C154" s="102" t="s">
        <v>734</v>
      </c>
      <c r="D154" s="103" t="s">
        <v>738</v>
      </c>
      <c r="E154" s="102" t="s">
        <v>433</v>
      </c>
      <c r="F154" s="104"/>
      <c r="G154" s="105"/>
      <c r="H154" s="105"/>
      <c r="I154" s="105"/>
      <c r="J154" s="106"/>
      <c r="K154" s="106"/>
      <c r="L154" s="106"/>
      <c r="M154" s="106"/>
    </row>
    <row r="155" spans="1:13" ht="18" customHeight="1" x14ac:dyDescent="0.3">
      <c r="A155" s="214" t="s">
        <v>446</v>
      </c>
      <c r="B155" s="214"/>
      <c r="C155" s="214"/>
      <c r="D155" s="214"/>
      <c r="E155" s="214"/>
      <c r="F155" s="214"/>
      <c r="G155" s="214"/>
      <c r="H155" s="214"/>
      <c r="I155" s="214"/>
      <c r="J155" s="214"/>
      <c r="K155" s="214"/>
      <c r="L155" s="214"/>
      <c r="M155" s="214"/>
    </row>
    <row r="156" spans="1:13" ht="51.75" customHeight="1" x14ac:dyDescent="0.3">
      <c r="A156" s="86" t="s">
        <v>739</v>
      </c>
      <c r="B156" s="87" t="s">
        <v>263</v>
      </c>
      <c r="C156" s="88" t="s">
        <v>740</v>
      </c>
      <c r="D156" s="89" t="s">
        <v>741</v>
      </c>
      <c r="E156" s="88" t="s">
        <v>433</v>
      </c>
      <c r="F156" s="90" t="s">
        <v>422</v>
      </c>
      <c r="G156" s="91"/>
      <c r="H156" s="91"/>
      <c r="I156" s="91"/>
      <c r="J156" s="92"/>
      <c r="K156" s="92"/>
      <c r="L156" s="92"/>
      <c r="M156" s="92"/>
    </row>
    <row r="157" spans="1:13" ht="51.75" customHeight="1" x14ac:dyDescent="0.3">
      <c r="A157" s="86" t="s">
        <v>742</v>
      </c>
      <c r="B157" s="87" t="s">
        <v>265</v>
      </c>
      <c r="C157" s="88" t="s">
        <v>740</v>
      </c>
      <c r="D157" s="89" t="s">
        <v>743</v>
      </c>
      <c r="E157" s="88" t="s">
        <v>433</v>
      </c>
      <c r="F157" s="90" t="s">
        <v>422</v>
      </c>
      <c r="G157" s="91"/>
      <c r="H157" s="91"/>
      <c r="I157" s="91"/>
      <c r="J157" s="92"/>
      <c r="K157" s="92"/>
      <c r="L157" s="92"/>
      <c r="M157" s="92"/>
    </row>
    <row r="158" spans="1:13" ht="51.75" customHeight="1" x14ac:dyDescent="0.3">
      <c r="A158" s="107" t="s">
        <v>744</v>
      </c>
      <c r="B158" s="108" t="s">
        <v>267</v>
      </c>
      <c r="C158" s="109" t="s">
        <v>740</v>
      </c>
      <c r="D158" s="110" t="s">
        <v>745</v>
      </c>
      <c r="E158" s="109" t="s">
        <v>433</v>
      </c>
      <c r="F158" s="111"/>
      <c r="G158" s="112"/>
      <c r="H158" s="112"/>
      <c r="I158" s="112"/>
      <c r="J158" s="113"/>
      <c r="K158" s="113"/>
      <c r="L158" s="113"/>
      <c r="M158" s="113"/>
    </row>
    <row r="159" spans="1:13" ht="51.75" customHeight="1" x14ac:dyDescent="0.3">
      <c r="A159" s="114" t="s">
        <v>746</v>
      </c>
      <c r="B159" s="115" t="s">
        <v>269</v>
      </c>
      <c r="C159" s="116" t="s">
        <v>740</v>
      </c>
      <c r="D159" s="117" t="s">
        <v>747</v>
      </c>
      <c r="E159" s="116" t="s">
        <v>433</v>
      </c>
      <c r="F159" s="118"/>
      <c r="G159" s="119"/>
      <c r="H159" s="119"/>
      <c r="I159" s="119"/>
      <c r="J159" s="120"/>
      <c r="K159" s="120"/>
      <c r="L159" s="120"/>
      <c r="M159" s="120"/>
    </row>
    <row r="160" spans="1:13" ht="21.75" customHeight="1" x14ac:dyDescent="0.3">
      <c r="A160" s="212" t="s">
        <v>748</v>
      </c>
      <c r="B160" s="212"/>
      <c r="C160" s="212"/>
      <c r="D160" s="212"/>
      <c r="E160" s="212"/>
      <c r="F160" s="212"/>
      <c r="G160" s="212"/>
      <c r="H160" s="212"/>
      <c r="I160" s="212"/>
      <c r="J160" s="212"/>
      <c r="K160" s="212"/>
      <c r="L160" s="212"/>
      <c r="M160" s="212"/>
    </row>
    <row r="161" spans="1:13" ht="51.75" customHeight="1" x14ac:dyDescent="0.3">
      <c r="A161" s="86" t="s">
        <v>749</v>
      </c>
      <c r="B161" s="87" t="s">
        <v>18</v>
      </c>
      <c r="C161" s="121" t="s">
        <v>750</v>
      </c>
      <c r="D161" s="122" t="s">
        <v>751</v>
      </c>
      <c r="E161" s="121" t="s">
        <v>433</v>
      </c>
      <c r="F161" s="90" t="s">
        <v>422</v>
      </c>
      <c r="G161" s="91"/>
      <c r="H161" s="91"/>
      <c r="I161" s="91"/>
      <c r="J161" s="92"/>
      <c r="K161" s="92"/>
      <c r="L161" s="92"/>
      <c r="M161" s="92"/>
    </row>
    <row r="162" spans="1:13" ht="51.75" customHeight="1" x14ac:dyDescent="0.3">
      <c r="A162" s="100" t="s">
        <v>752</v>
      </c>
      <c r="B162" s="101" t="s">
        <v>22</v>
      </c>
      <c r="C162" s="102" t="s">
        <v>750</v>
      </c>
      <c r="D162" s="103" t="s">
        <v>753</v>
      </c>
      <c r="E162" s="102" t="s">
        <v>433</v>
      </c>
      <c r="F162" s="104"/>
      <c r="G162" s="105"/>
      <c r="H162" s="105"/>
      <c r="I162" s="105"/>
      <c r="J162" s="106"/>
      <c r="K162" s="106"/>
      <c r="L162" s="106"/>
      <c r="M162" s="106"/>
    </row>
    <row r="165" spans="1:13" ht="21.75" customHeight="1" x14ac:dyDescent="0.3">
      <c r="A165" s="216" t="s">
        <v>754</v>
      </c>
      <c r="B165" s="216"/>
      <c r="C165" s="216"/>
      <c r="D165" s="216"/>
      <c r="E165" s="216"/>
      <c r="F165" s="216"/>
      <c r="G165" s="216"/>
      <c r="H165" s="216"/>
      <c r="I165" s="216"/>
      <c r="J165" s="216"/>
      <c r="K165" s="216"/>
      <c r="L165" s="216"/>
      <c r="M165" s="216"/>
    </row>
    <row r="166" spans="1:13" ht="53.25" customHeight="1" x14ac:dyDescent="0.3">
      <c r="A166" s="132" t="s">
        <v>419</v>
      </c>
      <c r="B166" s="132" t="s">
        <v>369</v>
      </c>
      <c r="C166" s="132" t="s">
        <v>405</v>
      </c>
      <c r="D166" s="132" t="s">
        <v>424</v>
      </c>
      <c r="E166" s="132" t="s">
        <v>425</v>
      </c>
      <c r="F166" s="132" t="s">
        <v>755</v>
      </c>
      <c r="G166" s="132" t="s">
        <v>301</v>
      </c>
    </row>
    <row r="167" spans="1:13" ht="63.75" customHeight="1" x14ac:dyDescent="0.3">
      <c r="A167" s="133" t="s">
        <v>431</v>
      </c>
      <c r="B167" s="119">
        <f>COUNTIF(C8:C162,"*TALENTO HUMANO*")</f>
        <v>10</v>
      </c>
      <c r="C167" s="119">
        <v>0</v>
      </c>
      <c r="D167" s="119">
        <f>COUNTIFS(C8:C162,"*TALENTO HUMANO*",H8:H162,"X")</f>
        <v>0</v>
      </c>
      <c r="E167" s="119">
        <f>COUNTIFS(C8:C162,"*TALENTO HUMANO*",I8:I162,"X")</f>
        <v>0</v>
      </c>
      <c r="F167" s="134">
        <f t="shared" ref="F167:F173" si="0">IF((C167+D167)=0,0,C167/(C167+D167))</f>
        <v>0</v>
      </c>
      <c r="G167" s="119" t="str">
        <f t="shared" ref="G167:G174" si="1">IF(F167&gt;=0.9,"ALTO",IF(F167&gt;=0.7,"MEDIO",IF(F167&gt;0,"BAJO","SIN EVALUAR")))</f>
        <v>SIN EVALUAR</v>
      </c>
    </row>
    <row r="168" spans="1:13" ht="63.75" customHeight="1" x14ac:dyDescent="0.3">
      <c r="A168" s="135" t="s">
        <v>756</v>
      </c>
      <c r="B168" s="112">
        <f>COUNTIF(C8:C162,"*INFRAESTRUCTURA*")</f>
        <v>35</v>
      </c>
      <c r="C168" s="112">
        <f>COUNTIFS(C8:C162,"*INFRAESTRUCTURA*",G8:G162,"X")</f>
        <v>0</v>
      </c>
      <c r="D168" s="112">
        <f>COUNTIFS(C8:C162,"*INFRAESTRUCTURA*",H8:H162,"X")</f>
        <v>0</v>
      </c>
      <c r="E168" s="112">
        <f>COUNTIFS(C8:C162,"*INFRAESTRUCTURA*",I8:I162,"X")</f>
        <v>0</v>
      </c>
      <c r="F168" s="136">
        <f t="shared" si="0"/>
        <v>0</v>
      </c>
      <c r="G168" s="112" t="str">
        <f t="shared" si="1"/>
        <v>SIN EVALUAR</v>
      </c>
    </row>
    <row r="169" spans="1:13" ht="32.25" customHeight="1" x14ac:dyDescent="0.3">
      <c r="A169" s="133" t="s">
        <v>539</v>
      </c>
      <c r="B169" s="119">
        <f>COUNTIF(C8:C162,"*DOTACIÓN*")</f>
        <v>15</v>
      </c>
      <c r="C169" s="119">
        <f>COUNTIFS(C8:C162,"*DOTACIÓN*",G8:G162,"X")</f>
        <v>0</v>
      </c>
      <c r="D169" s="119">
        <f>COUNTIFS(C8:C162,"*DOTACIÓN*",H8:H162,"X")</f>
        <v>0</v>
      </c>
      <c r="E169" s="119">
        <f>COUNTIFS(C8:C162,"*DOTACIÓN*",I8:I162,"X")</f>
        <v>0</v>
      </c>
      <c r="F169" s="134">
        <f t="shared" si="0"/>
        <v>0</v>
      </c>
      <c r="G169" s="119" t="str">
        <f t="shared" si="1"/>
        <v>SIN EVALUAR</v>
      </c>
    </row>
    <row r="170" spans="1:13" ht="105.75" customHeight="1" x14ac:dyDescent="0.3">
      <c r="A170" s="135" t="s">
        <v>578</v>
      </c>
      <c r="B170" s="112">
        <f>COUNTIF(C8:C162,"*MEDICAMENTOS, DM E INSUMOS*")</f>
        <v>13</v>
      </c>
      <c r="C170" s="112">
        <f>COUNTIFS(C8:C162,"*MEDICAMENTOS, DM E INSUMOS*",G8:G162,"X")</f>
        <v>0</v>
      </c>
      <c r="D170" s="112">
        <f>COUNTIFS(C8:C162,"*MEDICAMENTOS, DM E INSUMOS*",H8:H162,"X")</f>
        <v>0</v>
      </c>
      <c r="E170" s="112">
        <f>COUNTIFS(C8:C162,"*MEDICAMENTOS, DM E INSUMOS*",I8:I162,"X")</f>
        <v>0</v>
      </c>
      <c r="F170" s="136">
        <f t="shared" si="0"/>
        <v>0</v>
      </c>
      <c r="G170" s="112" t="str">
        <f t="shared" si="1"/>
        <v>SIN EVALUAR</v>
      </c>
    </row>
    <row r="171" spans="1:13" ht="84.75" customHeight="1" x14ac:dyDescent="0.3">
      <c r="A171" s="133" t="s">
        <v>610</v>
      </c>
      <c r="B171" s="119">
        <f>COUNTIF(C8:C162,"*PROCESOS PRIORITARIOS*")</f>
        <v>37</v>
      </c>
      <c r="C171" s="119">
        <f>COUNTIFS(C8:C162,"*PROCESOS PRIORITARIOS*",G8:G162,"X")</f>
        <v>0</v>
      </c>
      <c r="D171" s="119">
        <f>COUNTIFS(C8:C162,"*PROCESOS PRIORITARIOS*",H8:H162,"X")</f>
        <v>0</v>
      </c>
      <c r="E171" s="119">
        <f>COUNTIFS(C8:C162,"*PROCESOS PRIORITARIOS*",I8:I162,"X")</f>
        <v>0</v>
      </c>
      <c r="F171" s="134">
        <f t="shared" si="0"/>
        <v>0</v>
      </c>
      <c r="G171" s="119" t="str">
        <f t="shared" si="1"/>
        <v>SIN EVALUAR</v>
      </c>
    </row>
    <row r="172" spans="1:13" ht="105.75" customHeight="1" x14ac:dyDescent="0.3">
      <c r="A172" s="135" t="s">
        <v>711</v>
      </c>
      <c r="B172" s="112">
        <f>COUNTIF(C8:C162,"*HISTORIA CLÍNICA Y REGISTROS*")</f>
        <v>17</v>
      </c>
      <c r="C172" s="112">
        <f>COUNTIFS(C8:C162,"*HISTORIA CLÍNICA Y REGISTROS*",G8:G162,"X")</f>
        <v>0</v>
      </c>
      <c r="D172" s="112">
        <f>COUNTIFS(C8:C162,"*HISTORIA CLÍNICA Y REGISTROS*",H8:H162,"X")</f>
        <v>0</v>
      </c>
      <c r="E172" s="112">
        <f>COUNTIFS(C8:C162,"*HISTORIA CLÍNICA Y REGISTROS*",I8:I162,"X")</f>
        <v>0</v>
      </c>
      <c r="F172" s="136">
        <f t="shared" si="0"/>
        <v>0</v>
      </c>
      <c r="G172" s="112" t="str">
        <f t="shared" si="1"/>
        <v>SIN EVALUAR</v>
      </c>
    </row>
    <row r="173" spans="1:13" ht="74.25" customHeight="1" x14ac:dyDescent="0.3">
      <c r="A173" s="133" t="s">
        <v>750</v>
      </c>
      <c r="B173" s="119">
        <f>COUNTIF(C8:C162,"*INTERDEPENDENCIA*")</f>
        <v>2</v>
      </c>
      <c r="C173" s="119">
        <f>COUNTIFS(C8:C162,"*INTERDEPENDENCIA*",G8:G162,"X")</f>
        <v>0</v>
      </c>
      <c r="D173" s="119">
        <f>COUNTIFS(C8:C162,"*INTERDEPENDENCIA*",H8:H162,"X")</f>
        <v>0</v>
      </c>
      <c r="E173" s="119">
        <f>COUNTIFS(C8:C162,"*INTERDEPENDENCIA*",I8:I162,"X")</f>
        <v>0</v>
      </c>
      <c r="F173" s="134">
        <f t="shared" si="0"/>
        <v>0</v>
      </c>
      <c r="G173" s="119" t="str">
        <f t="shared" si="1"/>
        <v>SIN EVALUAR</v>
      </c>
    </row>
    <row r="174" spans="1:13" ht="53.25" customHeight="1" x14ac:dyDescent="0.3">
      <c r="A174" s="82" t="s">
        <v>379</v>
      </c>
      <c r="B174" s="82">
        <f>SUM(B167:B173)</f>
        <v>129</v>
      </c>
      <c r="C174" s="82">
        <f>SUM(C167:C173)</f>
        <v>0</v>
      </c>
      <c r="D174" s="82">
        <f>SUM(D167:D173)</f>
        <v>0</v>
      </c>
      <c r="E174" s="82">
        <f>SUM(E167:E173)</f>
        <v>0</v>
      </c>
      <c r="F174" s="137">
        <f>SUM(F167:F173)</f>
        <v>0</v>
      </c>
      <c r="G174" s="82" t="str">
        <f t="shared" si="1"/>
        <v>SIN EVALUAR</v>
      </c>
    </row>
  </sheetData>
  <mergeCells count="36">
    <mergeCell ref="A140:M140"/>
    <mergeCell ref="A152:M152"/>
    <mergeCell ref="A155:M155"/>
    <mergeCell ref="A160:M160"/>
    <mergeCell ref="A165:M165"/>
    <mergeCell ref="A97:M97"/>
    <mergeCell ref="A99:M99"/>
    <mergeCell ref="A132:M132"/>
    <mergeCell ref="A136:M136"/>
    <mergeCell ref="A138:M138"/>
    <mergeCell ref="A65:M65"/>
    <mergeCell ref="A76:M76"/>
    <mergeCell ref="A79:M79"/>
    <mergeCell ref="A83:M83"/>
    <mergeCell ref="A94:M94"/>
    <mergeCell ref="A35:M35"/>
    <mergeCell ref="A41:M41"/>
    <mergeCell ref="A51:M51"/>
    <mergeCell ref="A56:M56"/>
    <mergeCell ref="A61:M61"/>
    <mergeCell ref="A20:M20"/>
    <mergeCell ref="A21:M21"/>
    <mergeCell ref="A25:M25"/>
    <mergeCell ref="A30:M30"/>
    <mergeCell ref="A33:M33"/>
    <mergeCell ref="A4:M4"/>
    <mergeCell ref="A5:M5"/>
    <mergeCell ref="A7:M7"/>
    <mergeCell ref="A10:M10"/>
    <mergeCell ref="A18:M18"/>
    <mergeCell ref="A1:M1"/>
    <mergeCell ref="A2:M2"/>
    <mergeCell ref="A3:D3"/>
    <mergeCell ref="E3:H3"/>
    <mergeCell ref="I3:J3"/>
    <mergeCell ref="K3:M3"/>
  </mergeCells>
  <conditionalFormatting sqref="A8:M162">
    <cfRule type="expression" dxfId="20" priority="2">
      <formula>$G8="X"</formula>
    </cfRule>
    <cfRule type="expression" dxfId="19" priority="3">
      <formula>$H8="X"</formula>
    </cfRule>
    <cfRule type="expression" dxfId="18" priority="4">
      <formula>$I8="X"</formula>
    </cfRule>
  </conditionalFormatting>
  <dataValidations count="1">
    <dataValidation type="list" allowBlank="1" sqref="G8:I162" xr:uid="{00000000-0002-0000-0400-000000000000}">
      <formula1>"X,"</formula1>
      <formula2>0</formula2>
    </dataValidation>
  </dataValidations>
  <pageMargins left="0.3" right="0.3" top="0.5" bottom="0.5"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8449"/>
    <pageSetUpPr fitToPage="1"/>
  </sheetPr>
  <dimension ref="A1:L97"/>
  <sheetViews>
    <sheetView showGridLines="0" zoomScaleNormal="100" workbookViewId="0">
      <pane ySplit="7" topLeftCell="A18" activePane="bottomLeft" state="frozen"/>
      <selection pane="bottomLeft" activeCell="C21" sqref="C21"/>
    </sheetView>
  </sheetViews>
  <sheetFormatPr baseColWidth="10" defaultColWidth="8.6640625" defaultRowHeight="14.4" x14ac:dyDescent="0.3"/>
  <cols>
    <col min="1" max="1" width="5" customWidth="1"/>
    <col min="2" max="2" width="20" customWidth="1"/>
    <col min="3" max="3" width="48" customWidth="1"/>
    <col min="4" max="4" width="22" customWidth="1"/>
    <col min="5" max="8" width="5" customWidth="1"/>
    <col min="9" max="10" width="38" customWidth="1"/>
    <col min="11" max="11" width="22" customWidth="1"/>
    <col min="12" max="12" width="16" customWidth="1"/>
  </cols>
  <sheetData>
    <row r="1" spans="1:12" ht="30" customHeight="1" x14ac:dyDescent="0.3">
      <c r="A1" s="164" t="s">
        <v>812</v>
      </c>
      <c r="B1" s="164"/>
      <c r="C1" s="164"/>
      <c r="D1" s="164"/>
      <c r="E1" s="164"/>
      <c r="F1" s="164"/>
      <c r="G1" s="164"/>
      <c r="H1" s="164"/>
      <c r="I1" s="164"/>
      <c r="J1" s="164"/>
      <c r="K1" s="164"/>
      <c r="L1" s="164"/>
    </row>
    <row r="2" spans="1:12" ht="19.5" customHeight="1" x14ac:dyDescent="0.3">
      <c r="A2" s="165" t="s">
        <v>813</v>
      </c>
      <c r="B2" s="165"/>
      <c r="C2" s="165"/>
      <c r="D2" s="165"/>
      <c r="E2" s="165"/>
      <c r="F2" s="165"/>
      <c r="G2" s="165"/>
      <c r="H2" s="165"/>
      <c r="I2" s="165"/>
      <c r="J2" s="165"/>
      <c r="K2" s="165"/>
      <c r="L2" s="165"/>
    </row>
    <row r="3" spans="1:12" ht="15" customHeight="1" x14ac:dyDescent="0.3">
      <c r="A3" s="166" t="s">
        <v>361</v>
      </c>
      <c r="B3" s="166"/>
      <c r="C3" s="166"/>
      <c r="D3" s="167"/>
      <c r="E3" s="167"/>
      <c r="F3" s="167"/>
      <c r="G3" s="167"/>
      <c r="H3" s="167"/>
      <c r="I3" s="167"/>
      <c r="J3" s="167"/>
      <c r="K3" s="167"/>
      <c r="L3" s="167"/>
    </row>
    <row r="4" spans="1:12" ht="15" customHeight="1" x14ac:dyDescent="0.3">
      <c r="A4" s="166" t="s">
        <v>362</v>
      </c>
      <c r="B4" s="166"/>
      <c r="C4" s="166" t="s">
        <v>363</v>
      </c>
      <c r="D4" s="166"/>
      <c r="E4" s="166"/>
      <c r="F4" s="166" t="s">
        <v>364</v>
      </c>
      <c r="G4" s="166"/>
      <c r="H4" s="166"/>
      <c r="I4" s="166" t="s">
        <v>814</v>
      </c>
      <c r="J4" s="166"/>
      <c r="K4" s="166"/>
      <c r="L4" s="166"/>
    </row>
    <row r="5" spans="1:12" ht="19.5" customHeight="1" x14ac:dyDescent="0.3">
      <c r="A5" s="161" t="s">
        <v>815</v>
      </c>
      <c r="B5" s="161"/>
      <c r="C5" s="161"/>
      <c r="D5" s="161"/>
      <c r="E5" s="161"/>
      <c r="F5" s="161"/>
      <c r="G5" s="161"/>
      <c r="H5" s="161"/>
      <c r="I5" s="161"/>
      <c r="J5" s="161"/>
      <c r="K5" s="161"/>
      <c r="L5" s="161"/>
    </row>
    <row r="6" spans="1:12" ht="15" customHeight="1" x14ac:dyDescent="0.3">
      <c r="A6" s="162"/>
      <c r="B6" s="162"/>
      <c r="C6" s="162"/>
      <c r="D6" s="162"/>
      <c r="E6" s="162"/>
      <c r="F6" s="162"/>
      <c r="G6" s="162"/>
      <c r="H6" s="162"/>
      <c r="I6" s="162"/>
      <c r="J6" s="162"/>
      <c r="K6" s="162"/>
      <c r="L6" s="162"/>
    </row>
    <row r="7" spans="1:12" ht="30" customHeight="1" x14ac:dyDescent="0.3">
      <c r="A7" s="82" t="s">
        <v>417</v>
      </c>
      <c r="B7" s="82" t="s">
        <v>419</v>
      </c>
      <c r="C7" s="82" t="s">
        <v>816</v>
      </c>
      <c r="D7" s="82" t="s">
        <v>817</v>
      </c>
      <c r="E7" s="82" t="s">
        <v>422</v>
      </c>
      <c r="F7" s="83" t="s">
        <v>423</v>
      </c>
      <c r="G7" s="84" t="s">
        <v>424</v>
      </c>
      <c r="H7" s="85" t="s">
        <v>425</v>
      </c>
      <c r="I7" s="82" t="s">
        <v>426</v>
      </c>
      <c r="J7" s="82" t="s">
        <v>427</v>
      </c>
      <c r="K7" s="82" t="s">
        <v>428</v>
      </c>
      <c r="L7" s="82" t="s">
        <v>429</v>
      </c>
    </row>
    <row r="8" spans="1:12" ht="54.75" customHeight="1" x14ac:dyDescent="0.3">
      <c r="A8" s="142">
        <v>1</v>
      </c>
      <c r="B8" s="92" t="s">
        <v>431</v>
      </c>
      <c r="C8" s="92" t="s">
        <v>818</v>
      </c>
      <c r="D8" s="92" t="s">
        <v>433</v>
      </c>
      <c r="E8" s="143" t="s">
        <v>422</v>
      </c>
      <c r="F8" s="144"/>
      <c r="G8" s="144"/>
      <c r="H8" s="144"/>
      <c r="I8" s="144"/>
      <c r="J8" s="144"/>
      <c r="K8" s="144"/>
      <c r="L8" s="144"/>
    </row>
    <row r="9" spans="1:12" ht="54.75" customHeight="1" x14ac:dyDescent="0.3">
      <c r="A9" s="142">
        <v>2</v>
      </c>
      <c r="B9" s="113" t="s">
        <v>431</v>
      </c>
      <c r="C9" s="113" t="s">
        <v>819</v>
      </c>
      <c r="D9" s="113" t="s">
        <v>433</v>
      </c>
      <c r="E9" s="145"/>
      <c r="F9" s="146"/>
      <c r="G9" s="146"/>
      <c r="H9" s="146"/>
      <c r="I9" s="146"/>
      <c r="J9" s="146"/>
      <c r="K9" s="146"/>
      <c r="L9" s="146"/>
    </row>
    <row r="10" spans="1:12" ht="54.75" customHeight="1" x14ac:dyDescent="0.3">
      <c r="A10" s="142">
        <v>3</v>
      </c>
      <c r="B10" s="120" t="s">
        <v>431</v>
      </c>
      <c r="C10" s="120" t="s">
        <v>820</v>
      </c>
      <c r="D10" s="120" t="s">
        <v>433</v>
      </c>
      <c r="E10" s="147"/>
      <c r="F10" s="144"/>
      <c r="G10" s="144"/>
      <c r="H10" s="144"/>
      <c r="I10" s="144"/>
      <c r="J10" s="144"/>
      <c r="K10" s="144"/>
      <c r="L10" s="144"/>
    </row>
    <row r="11" spans="1:12" ht="54.75" customHeight="1" x14ac:dyDescent="0.3">
      <c r="A11" s="142">
        <v>4</v>
      </c>
      <c r="B11" s="113" t="s">
        <v>431</v>
      </c>
      <c r="C11" s="113" t="s">
        <v>821</v>
      </c>
      <c r="D11" s="113" t="s">
        <v>433</v>
      </c>
      <c r="E11" s="145"/>
      <c r="F11" s="146"/>
      <c r="G11" s="146"/>
      <c r="H11" s="146"/>
      <c r="I11" s="146"/>
      <c r="J11" s="146"/>
      <c r="K11" s="146"/>
      <c r="L11" s="146"/>
    </row>
    <row r="12" spans="1:12" ht="54.75" customHeight="1" x14ac:dyDescent="0.3">
      <c r="A12" s="142">
        <v>5</v>
      </c>
      <c r="B12" s="92" t="s">
        <v>756</v>
      </c>
      <c r="C12" s="92" t="s">
        <v>822</v>
      </c>
      <c r="D12" s="92" t="s">
        <v>433</v>
      </c>
      <c r="E12" s="143" t="s">
        <v>422</v>
      </c>
      <c r="F12" s="144"/>
      <c r="G12" s="144"/>
      <c r="H12" s="144"/>
      <c r="I12" s="144"/>
      <c r="J12" s="144"/>
      <c r="K12" s="144"/>
      <c r="L12" s="144"/>
    </row>
    <row r="13" spans="1:12" ht="54.75" customHeight="1" x14ac:dyDescent="0.3">
      <c r="A13" s="142">
        <v>6</v>
      </c>
      <c r="B13" s="92" t="s">
        <v>756</v>
      </c>
      <c r="C13" s="92" t="s">
        <v>823</v>
      </c>
      <c r="D13" s="92" t="s">
        <v>433</v>
      </c>
      <c r="E13" s="143" t="s">
        <v>422</v>
      </c>
      <c r="F13" s="146"/>
      <c r="G13" s="146"/>
      <c r="H13" s="146"/>
      <c r="I13" s="146"/>
      <c r="J13" s="146"/>
      <c r="K13" s="146"/>
      <c r="L13" s="146"/>
    </row>
    <row r="14" spans="1:12" ht="54.75" customHeight="1" x14ac:dyDescent="0.3">
      <c r="A14" s="142">
        <v>7</v>
      </c>
      <c r="B14" s="92" t="s">
        <v>756</v>
      </c>
      <c r="C14" s="92" t="s">
        <v>159</v>
      </c>
      <c r="D14" s="92" t="s">
        <v>433</v>
      </c>
      <c r="E14" s="143" t="s">
        <v>422</v>
      </c>
      <c r="F14" s="144"/>
      <c r="G14" s="144"/>
      <c r="H14" s="144"/>
      <c r="I14" s="144"/>
      <c r="J14" s="144"/>
      <c r="K14" s="144"/>
      <c r="L14" s="144"/>
    </row>
    <row r="15" spans="1:12" ht="54.75" customHeight="1" x14ac:dyDescent="0.3">
      <c r="A15" s="142">
        <v>8</v>
      </c>
      <c r="B15" s="92" t="s">
        <v>756</v>
      </c>
      <c r="C15" s="92" t="s">
        <v>824</v>
      </c>
      <c r="D15" s="92" t="s">
        <v>433</v>
      </c>
      <c r="E15" s="143" t="s">
        <v>422</v>
      </c>
      <c r="F15" s="146"/>
      <c r="G15" s="146"/>
      <c r="H15" s="146"/>
      <c r="I15" s="146"/>
      <c r="J15" s="146"/>
      <c r="K15" s="146"/>
      <c r="L15" s="146"/>
    </row>
    <row r="16" spans="1:12" ht="54.75" customHeight="1" x14ac:dyDescent="0.3">
      <c r="A16" s="142">
        <v>9</v>
      </c>
      <c r="B16" s="92" t="s">
        <v>756</v>
      </c>
      <c r="C16" s="92" t="s">
        <v>825</v>
      </c>
      <c r="D16" s="92" t="s">
        <v>433</v>
      </c>
      <c r="E16" s="143" t="s">
        <v>422</v>
      </c>
      <c r="F16" s="144"/>
      <c r="G16" s="144"/>
      <c r="H16" s="144"/>
      <c r="I16" s="144"/>
      <c r="J16" s="144"/>
      <c r="K16" s="144"/>
      <c r="L16" s="144"/>
    </row>
    <row r="17" spans="1:12" ht="54.75" customHeight="1" x14ac:dyDescent="0.3">
      <c r="A17" s="142">
        <v>10</v>
      </c>
      <c r="B17" s="113" t="s">
        <v>756</v>
      </c>
      <c r="C17" s="113" t="s">
        <v>826</v>
      </c>
      <c r="D17" s="113" t="s">
        <v>433</v>
      </c>
      <c r="E17" s="145"/>
      <c r="F17" s="146"/>
      <c r="G17" s="146"/>
      <c r="H17" s="146"/>
      <c r="I17" s="146"/>
      <c r="J17" s="146"/>
      <c r="K17" s="146"/>
      <c r="L17" s="146"/>
    </row>
    <row r="18" spans="1:12" ht="54.75" customHeight="1" x14ac:dyDescent="0.3">
      <c r="A18" s="142">
        <v>11</v>
      </c>
      <c r="B18" s="120" t="s">
        <v>756</v>
      </c>
      <c r="C18" s="120" t="s">
        <v>827</v>
      </c>
      <c r="D18" s="120" t="s">
        <v>433</v>
      </c>
      <c r="E18" s="147"/>
      <c r="F18" s="144"/>
      <c r="G18" s="144"/>
      <c r="H18" s="144"/>
      <c r="I18" s="144"/>
      <c r="J18" s="144"/>
      <c r="K18" s="144"/>
      <c r="L18" s="144"/>
    </row>
    <row r="19" spans="1:12" ht="54.75" customHeight="1" x14ac:dyDescent="0.3">
      <c r="A19" s="142">
        <v>12</v>
      </c>
      <c r="B19" s="113" t="s">
        <v>756</v>
      </c>
      <c r="C19" s="113" t="s">
        <v>828</v>
      </c>
      <c r="D19" s="113" t="s">
        <v>433</v>
      </c>
      <c r="E19" s="145"/>
      <c r="F19" s="146"/>
      <c r="G19" s="146"/>
      <c r="H19" s="146"/>
      <c r="I19" s="146"/>
      <c r="J19" s="146"/>
      <c r="K19" s="146"/>
      <c r="L19" s="146"/>
    </row>
    <row r="20" spans="1:12" ht="54.75" customHeight="1" x14ac:dyDescent="0.3">
      <c r="A20" s="142">
        <v>13</v>
      </c>
      <c r="B20" s="120" t="s">
        <v>756</v>
      </c>
      <c r="C20" s="120" t="s">
        <v>829</v>
      </c>
      <c r="D20" s="120" t="s">
        <v>433</v>
      </c>
      <c r="E20" s="147"/>
      <c r="F20" s="144"/>
      <c r="G20" s="144"/>
      <c r="H20" s="144"/>
      <c r="I20" s="144"/>
      <c r="J20" s="144"/>
      <c r="K20" s="144"/>
      <c r="L20" s="144"/>
    </row>
    <row r="21" spans="1:12" ht="54.75" customHeight="1" x14ac:dyDescent="0.3">
      <c r="A21" s="142">
        <v>14</v>
      </c>
      <c r="B21" s="92" t="s">
        <v>756</v>
      </c>
      <c r="C21" s="92" t="s">
        <v>1346</v>
      </c>
      <c r="D21" s="92" t="s">
        <v>433</v>
      </c>
      <c r="E21" s="143" t="s">
        <v>422</v>
      </c>
      <c r="F21" s="146"/>
      <c r="G21" s="146"/>
      <c r="H21" s="146"/>
      <c r="I21" s="146"/>
      <c r="J21" s="146"/>
      <c r="K21" s="146"/>
      <c r="L21" s="146"/>
    </row>
    <row r="22" spans="1:12" ht="54.75" customHeight="1" x14ac:dyDescent="0.3">
      <c r="A22" s="142">
        <v>15</v>
      </c>
      <c r="B22" s="120" t="s">
        <v>756</v>
      </c>
      <c r="C22" s="120" t="s">
        <v>831</v>
      </c>
      <c r="D22" s="120" t="s">
        <v>433</v>
      </c>
      <c r="E22" s="147"/>
      <c r="F22" s="144"/>
      <c r="G22" s="144"/>
      <c r="H22" s="144"/>
      <c r="I22" s="144"/>
      <c r="J22" s="144"/>
      <c r="K22" s="144"/>
      <c r="L22" s="144"/>
    </row>
    <row r="23" spans="1:12" ht="54.75" customHeight="1" x14ac:dyDescent="0.3">
      <c r="A23" s="142">
        <v>16</v>
      </c>
      <c r="B23" s="113" t="s">
        <v>756</v>
      </c>
      <c r="C23" s="113" t="s">
        <v>832</v>
      </c>
      <c r="D23" s="113" t="s">
        <v>433</v>
      </c>
      <c r="E23" s="145"/>
      <c r="F23" s="146"/>
      <c r="G23" s="146"/>
      <c r="H23" s="146"/>
      <c r="I23" s="146"/>
      <c r="J23" s="146"/>
      <c r="K23" s="146"/>
      <c r="L23" s="146"/>
    </row>
    <row r="24" spans="1:12" ht="54.75" customHeight="1" x14ac:dyDescent="0.3">
      <c r="A24" s="142">
        <v>17</v>
      </c>
      <c r="B24" s="120" t="s">
        <v>756</v>
      </c>
      <c r="C24" s="120" t="s">
        <v>833</v>
      </c>
      <c r="D24" s="120" t="s">
        <v>834</v>
      </c>
      <c r="E24" s="147"/>
      <c r="F24" s="144"/>
      <c r="G24" s="144"/>
      <c r="H24" s="144"/>
      <c r="I24" s="144"/>
      <c r="J24" s="144"/>
      <c r="K24" s="144"/>
      <c r="L24" s="144"/>
    </row>
    <row r="25" spans="1:12" ht="54.75" customHeight="1" x14ac:dyDescent="0.3">
      <c r="A25" s="142">
        <v>18</v>
      </c>
      <c r="B25" s="113" t="s">
        <v>756</v>
      </c>
      <c r="C25" s="113" t="s">
        <v>835</v>
      </c>
      <c r="D25" s="113" t="s">
        <v>834</v>
      </c>
      <c r="E25" s="145"/>
      <c r="F25" s="146"/>
      <c r="G25" s="146"/>
      <c r="H25" s="146"/>
      <c r="I25" s="146"/>
      <c r="J25" s="146"/>
      <c r="K25" s="146"/>
      <c r="L25" s="146"/>
    </row>
    <row r="26" spans="1:12" ht="54.75" customHeight="1" x14ac:dyDescent="0.3">
      <c r="A26" s="142">
        <v>19</v>
      </c>
      <c r="B26" s="120" t="s">
        <v>539</v>
      </c>
      <c r="C26" s="120" t="s">
        <v>836</v>
      </c>
      <c r="D26" s="120" t="s">
        <v>433</v>
      </c>
      <c r="E26" s="147"/>
      <c r="F26" s="144"/>
      <c r="G26" s="144"/>
      <c r="H26" s="144"/>
      <c r="I26" s="144"/>
      <c r="J26" s="144"/>
      <c r="K26" s="144"/>
      <c r="L26" s="144"/>
    </row>
    <row r="27" spans="1:12" ht="54.75" customHeight="1" x14ac:dyDescent="0.3">
      <c r="A27" s="142">
        <v>20</v>
      </c>
      <c r="B27" s="113" t="s">
        <v>539</v>
      </c>
      <c r="C27" s="113" t="s">
        <v>837</v>
      </c>
      <c r="D27" s="113" t="s">
        <v>433</v>
      </c>
      <c r="E27" s="145"/>
      <c r="F27" s="146"/>
      <c r="G27" s="146"/>
      <c r="H27" s="146"/>
      <c r="I27" s="146"/>
      <c r="J27" s="146"/>
      <c r="K27" s="146"/>
      <c r="L27" s="146"/>
    </row>
    <row r="28" spans="1:12" ht="54.75" customHeight="1" x14ac:dyDescent="0.3">
      <c r="A28" s="142">
        <v>21</v>
      </c>
      <c r="B28" s="120" t="s">
        <v>539</v>
      </c>
      <c r="C28" s="120" t="s">
        <v>838</v>
      </c>
      <c r="D28" s="120" t="s">
        <v>433</v>
      </c>
      <c r="E28" s="147"/>
      <c r="F28" s="144"/>
      <c r="G28" s="144"/>
      <c r="H28" s="144"/>
      <c r="I28" s="144"/>
      <c r="J28" s="144"/>
      <c r="K28" s="144"/>
      <c r="L28" s="144"/>
    </row>
    <row r="29" spans="1:12" ht="54.75" customHeight="1" x14ac:dyDescent="0.3">
      <c r="A29" s="142">
        <v>22</v>
      </c>
      <c r="B29" s="113" t="s">
        <v>539</v>
      </c>
      <c r="C29" s="113" t="s">
        <v>839</v>
      </c>
      <c r="D29" s="113" t="s">
        <v>433</v>
      </c>
      <c r="E29" s="145"/>
      <c r="F29" s="146"/>
      <c r="G29" s="146"/>
      <c r="H29" s="146"/>
      <c r="I29" s="146"/>
      <c r="J29" s="146"/>
      <c r="K29" s="146"/>
      <c r="L29" s="146"/>
    </row>
    <row r="30" spans="1:12" ht="54.75" customHeight="1" x14ac:dyDescent="0.3">
      <c r="A30" s="142">
        <v>23</v>
      </c>
      <c r="B30" s="120" t="s">
        <v>539</v>
      </c>
      <c r="C30" s="120" t="s">
        <v>840</v>
      </c>
      <c r="D30" s="120" t="s">
        <v>433</v>
      </c>
      <c r="E30" s="147"/>
      <c r="F30" s="144"/>
      <c r="G30" s="144"/>
      <c r="H30" s="144"/>
      <c r="I30" s="144"/>
      <c r="J30" s="144"/>
      <c r="K30" s="144"/>
      <c r="L30" s="144"/>
    </row>
    <row r="31" spans="1:12" ht="54.75" customHeight="1" x14ac:dyDescent="0.3">
      <c r="A31" s="142">
        <v>24</v>
      </c>
      <c r="B31" s="113" t="s">
        <v>539</v>
      </c>
      <c r="C31" s="113" t="s">
        <v>841</v>
      </c>
      <c r="D31" s="113" t="s">
        <v>433</v>
      </c>
      <c r="E31" s="145"/>
      <c r="F31" s="146"/>
      <c r="G31" s="146"/>
      <c r="H31" s="146"/>
      <c r="I31" s="146"/>
      <c r="J31" s="146"/>
      <c r="K31" s="146"/>
      <c r="L31" s="146"/>
    </row>
    <row r="32" spans="1:12" ht="54.75" customHeight="1" x14ac:dyDescent="0.3">
      <c r="A32" s="142">
        <v>25</v>
      </c>
      <c r="B32" s="120" t="s">
        <v>539</v>
      </c>
      <c r="C32" s="120" t="s">
        <v>842</v>
      </c>
      <c r="D32" s="120" t="s">
        <v>433</v>
      </c>
      <c r="E32" s="147"/>
      <c r="F32" s="144"/>
      <c r="G32" s="144"/>
      <c r="H32" s="144"/>
      <c r="I32" s="144"/>
      <c r="J32" s="144"/>
      <c r="K32" s="144"/>
      <c r="L32" s="144"/>
    </row>
    <row r="33" spans="1:12" ht="54.75" customHeight="1" x14ac:dyDescent="0.3">
      <c r="A33" s="142">
        <v>26</v>
      </c>
      <c r="B33" s="113" t="s">
        <v>539</v>
      </c>
      <c r="C33" s="113" t="s">
        <v>843</v>
      </c>
      <c r="D33" s="113" t="s">
        <v>433</v>
      </c>
      <c r="E33" s="145"/>
      <c r="F33" s="146"/>
      <c r="G33" s="146"/>
      <c r="H33" s="146"/>
      <c r="I33" s="146"/>
      <c r="J33" s="146"/>
      <c r="K33" s="146"/>
      <c r="L33" s="146"/>
    </row>
    <row r="34" spans="1:12" ht="54.75" customHeight="1" x14ac:dyDescent="0.3">
      <c r="A34" s="142">
        <v>27</v>
      </c>
      <c r="B34" s="120" t="s">
        <v>539</v>
      </c>
      <c r="C34" s="120" t="s">
        <v>844</v>
      </c>
      <c r="D34" s="120" t="s">
        <v>433</v>
      </c>
      <c r="E34" s="147"/>
      <c r="F34" s="144"/>
      <c r="G34" s="144"/>
      <c r="H34" s="144"/>
      <c r="I34" s="144"/>
      <c r="J34" s="144"/>
      <c r="K34" s="144"/>
      <c r="L34" s="144"/>
    </row>
    <row r="35" spans="1:12" ht="54.75" customHeight="1" x14ac:dyDescent="0.3">
      <c r="A35" s="142">
        <v>28</v>
      </c>
      <c r="B35" s="113" t="s">
        <v>845</v>
      </c>
      <c r="C35" s="113" t="s">
        <v>846</v>
      </c>
      <c r="D35" s="113" t="s">
        <v>433</v>
      </c>
      <c r="E35" s="145"/>
      <c r="F35" s="146"/>
      <c r="G35" s="146"/>
      <c r="H35" s="146"/>
      <c r="I35" s="146"/>
      <c r="J35" s="146"/>
      <c r="K35" s="146"/>
      <c r="L35" s="146"/>
    </row>
    <row r="36" spans="1:12" ht="54.75" customHeight="1" x14ac:dyDescent="0.3">
      <c r="A36" s="142">
        <v>29</v>
      </c>
      <c r="B36" s="120" t="s">
        <v>845</v>
      </c>
      <c r="C36" s="120" t="s">
        <v>847</v>
      </c>
      <c r="D36" s="120" t="s">
        <v>433</v>
      </c>
      <c r="E36" s="147"/>
      <c r="F36" s="144"/>
      <c r="G36" s="144"/>
      <c r="H36" s="144"/>
      <c r="I36" s="144"/>
      <c r="J36" s="144"/>
      <c r="K36" s="144"/>
      <c r="L36" s="144"/>
    </row>
    <row r="37" spans="1:12" ht="54.75" customHeight="1" x14ac:dyDescent="0.3">
      <c r="A37" s="142">
        <v>30</v>
      </c>
      <c r="B37" s="113" t="s">
        <v>845</v>
      </c>
      <c r="C37" s="113" t="s">
        <v>848</v>
      </c>
      <c r="D37" s="113" t="s">
        <v>433</v>
      </c>
      <c r="E37" s="145"/>
      <c r="F37" s="146"/>
      <c r="G37" s="146"/>
      <c r="H37" s="146"/>
      <c r="I37" s="146"/>
      <c r="J37" s="146"/>
      <c r="K37" s="146"/>
      <c r="L37" s="146"/>
    </row>
    <row r="38" spans="1:12" ht="54.75" customHeight="1" x14ac:dyDescent="0.3">
      <c r="A38" s="142">
        <v>31</v>
      </c>
      <c r="B38" s="92" t="s">
        <v>845</v>
      </c>
      <c r="C38" s="92" t="s">
        <v>849</v>
      </c>
      <c r="D38" s="92" t="s">
        <v>433</v>
      </c>
      <c r="E38" s="143" t="s">
        <v>422</v>
      </c>
      <c r="F38" s="144"/>
      <c r="G38" s="144"/>
      <c r="H38" s="144"/>
      <c r="I38" s="144"/>
      <c r="J38" s="144"/>
      <c r="K38" s="144"/>
      <c r="L38" s="144"/>
    </row>
    <row r="39" spans="1:12" ht="54.75" customHeight="1" x14ac:dyDescent="0.3">
      <c r="A39" s="142">
        <v>32</v>
      </c>
      <c r="B39" s="92" t="s">
        <v>845</v>
      </c>
      <c r="C39" s="92" t="s">
        <v>850</v>
      </c>
      <c r="D39" s="92" t="s">
        <v>433</v>
      </c>
      <c r="E39" s="143" t="s">
        <v>422</v>
      </c>
      <c r="F39" s="146"/>
      <c r="G39" s="146"/>
      <c r="H39" s="146"/>
      <c r="I39" s="146"/>
      <c r="J39" s="146"/>
      <c r="K39" s="146"/>
      <c r="L39" s="146"/>
    </row>
    <row r="40" spans="1:12" ht="54.75" customHeight="1" x14ac:dyDescent="0.3">
      <c r="A40" s="142">
        <v>33</v>
      </c>
      <c r="B40" s="120" t="s">
        <v>845</v>
      </c>
      <c r="C40" s="120" t="s">
        <v>851</v>
      </c>
      <c r="D40" s="120" t="s">
        <v>433</v>
      </c>
      <c r="E40" s="147"/>
      <c r="F40" s="144"/>
      <c r="G40" s="144"/>
      <c r="H40" s="144"/>
      <c r="I40" s="144"/>
      <c r="J40" s="144"/>
      <c r="K40" s="144"/>
      <c r="L40" s="144"/>
    </row>
    <row r="41" spans="1:12" ht="54.75" customHeight="1" x14ac:dyDescent="0.3">
      <c r="A41" s="142">
        <v>34</v>
      </c>
      <c r="B41" s="113" t="s">
        <v>845</v>
      </c>
      <c r="C41" s="113" t="s">
        <v>852</v>
      </c>
      <c r="D41" s="113" t="s">
        <v>433</v>
      </c>
      <c r="E41" s="145"/>
      <c r="F41" s="146"/>
      <c r="G41" s="146"/>
      <c r="H41" s="146"/>
      <c r="I41" s="146"/>
      <c r="J41" s="146"/>
      <c r="K41" s="146"/>
      <c r="L41" s="146"/>
    </row>
    <row r="42" spans="1:12" ht="54.75" customHeight="1" x14ac:dyDescent="0.3">
      <c r="A42" s="142">
        <v>35</v>
      </c>
      <c r="B42" s="120" t="s">
        <v>845</v>
      </c>
      <c r="C42" s="120" t="s">
        <v>853</v>
      </c>
      <c r="D42" s="120" t="s">
        <v>433</v>
      </c>
      <c r="E42" s="147"/>
      <c r="F42" s="144"/>
      <c r="G42" s="144"/>
      <c r="H42" s="144"/>
      <c r="I42" s="144"/>
      <c r="J42" s="144"/>
      <c r="K42" s="144"/>
      <c r="L42" s="144"/>
    </row>
    <row r="43" spans="1:12" ht="54.75" customHeight="1" x14ac:dyDescent="0.3">
      <c r="A43" s="142">
        <v>36</v>
      </c>
      <c r="B43" s="113" t="s">
        <v>845</v>
      </c>
      <c r="C43" s="113" t="s">
        <v>854</v>
      </c>
      <c r="D43" s="113" t="s">
        <v>433</v>
      </c>
      <c r="E43" s="145"/>
      <c r="F43" s="146"/>
      <c r="G43" s="146"/>
      <c r="H43" s="146"/>
      <c r="I43" s="146"/>
      <c r="J43" s="146"/>
      <c r="K43" s="146"/>
      <c r="L43" s="146"/>
    </row>
    <row r="44" spans="1:12" ht="54.75" customHeight="1" x14ac:dyDescent="0.3">
      <c r="A44" s="142">
        <v>37</v>
      </c>
      <c r="B44" s="120" t="s">
        <v>845</v>
      </c>
      <c r="C44" s="120" t="s">
        <v>855</v>
      </c>
      <c r="D44" s="120" t="s">
        <v>433</v>
      </c>
      <c r="E44" s="147"/>
      <c r="F44" s="144"/>
      <c r="G44" s="144"/>
      <c r="H44" s="144"/>
      <c r="I44" s="144"/>
      <c r="J44" s="144"/>
      <c r="K44" s="144"/>
      <c r="L44" s="144"/>
    </row>
    <row r="45" spans="1:12" ht="54.75" customHeight="1" x14ac:dyDescent="0.3">
      <c r="A45" s="142">
        <v>38</v>
      </c>
      <c r="B45" s="92" t="s">
        <v>845</v>
      </c>
      <c r="C45" s="92" t="s">
        <v>856</v>
      </c>
      <c r="D45" s="92" t="s">
        <v>433</v>
      </c>
      <c r="E45" s="143" t="s">
        <v>422</v>
      </c>
      <c r="F45" s="146"/>
      <c r="G45" s="146"/>
      <c r="H45" s="146"/>
      <c r="I45" s="146"/>
      <c r="J45" s="146"/>
      <c r="K45" s="146"/>
      <c r="L45" s="146"/>
    </row>
    <row r="46" spans="1:12" ht="54.75" customHeight="1" x14ac:dyDescent="0.3">
      <c r="A46" s="142">
        <v>39</v>
      </c>
      <c r="B46" s="120" t="s">
        <v>845</v>
      </c>
      <c r="C46" s="120" t="s">
        <v>857</v>
      </c>
      <c r="D46" s="120" t="s">
        <v>433</v>
      </c>
      <c r="E46" s="147"/>
      <c r="F46" s="144"/>
      <c r="G46" s="144"/>
      <c r="H46" s="144"/>
      <c r="I46" s="144"/>
      <c r="J46" s="144"/>
      <c r="K46" s="144"/>
      <c r="L46" s="144"/>
    </row>
    <row r="47" spans="1:12" ht="54.75" customHeight="1" x14ac:dyDescent="0.3">
      <c r="A47" s="142">
        <v>40</v>
      </c>
      <c r="B47" s="92" t="s">
        <v>610</v>
      </c>
      <c r="C47" s="92" t="s">
        <v>858</v>
      </c>
      <c r="D47" s="92" t="s">
        <v>433</v>
      </c>
      <c r="E47" s="143" t="s">
        <v>422</v>
      </c>
      <c r="F47" s="146"/>
      <c r="G47" s="146"/>
      <c r="H47" s="146"/>
      <c r="I47" s="146"/>
      <c r="J47" s="146"/>
      <c r="K47" s="146"/>
      <c r="L47" s="146"/>
    </row>
    <row r="48" spans="1:12" ht="54.75" customHeight="1" x14ac:dyDescent="0.3">
      <c r="A48" s="142">
        <v>41</v>
      </c>
      <c r="B48" s="120" t="s">
        <v>610</v>
      </c>
      <c r="C48" s="120" t="s">
        <v>859</v>
      </c>
      <c r="D48" s="120" t="s">
        <v>433</v>
      </c>
      <c r="E48" s="147"/>
      <c r="F48" s="144"/>
      <c r="G48" s="144"/>
      <c r="H48" s="144"/>
      <c r="I48" s="144"/>
      <c r="J48" s="144"/>
      <c r="K48" s="144"/>
      <c r="L48" s="144"/>
    </row>
    <row r="49" spans="1:12" ht="54.75" customHeight="1" x14ac:dyDescent="0.3">
      <c r="A49" s="142">
        <v>42</v>
      </c>
      <c r="B49" s="92" t="s">
        <v>610</v>
      </c>
      <c r="C49" s="92" t="s">
        <v>860</v>
      </c>
      <c r="D49" s="92" t="s">
        <v>433</v>
      </c>
      <c r="E49" s="143" t="s">
        <v>422</v>
      </c>
      <c r="F49" s="146"/>
      <c r="G49" s="146"/>
      <c r="H49" s="146"/>
      <c r="I49" s="146"/>
      <c r="J49" s="146"/>
      <c r="K49" s="146"/>
      <c r="L49" s="146"/>
    </row>
    <row r="50" spans="1:12" ht="54.75" customHeight="1" x14ac:dyDescent="0.3">
      <c r="A50" s="142">
        <v>43</v>
      </c>
      <c r="B50" s="120" t="s">
        <v>610</v>
      </c>
      <c r="C50" s="120" t="s">
        <v>861</v>
      </c>
      <c r="D50" s="120" t="s">
        <v>433</v>
      </c>
      <c r="E50" s="147"/>
      <c r="F50" s="144"/>
      <c r="G50" s="144"/>
      <c r="H50" s="144"/>
      <c r="I50" s="144"/>
      <c r="J50" s="144"/>
      <c r="K50" s="144"/>
      <c r="L50" s="144"/>
    </row>
    <row r="51" spans="1:12" ht="54.75" customHeight="1" x14ac:dyDescent="0.3">
      <c r="A51" s="142">
        <v>44</v>
      </c>
      <c r="B51" s="92" t="s">
        <v>610</v>
      </c>
      <c r="C51" s="92" t="s">
        <v>862</v>
      </c>
      <c r="D51" s="92" t="s">
        <v>433</v>
      </c>
      <c r="E51" s="143" t="s">
        <v>422</v>
      </c>
      <c r="F51" s="146"/>
      <c r="G51" s="146"/>
      <c r="H51" s="146"/>
      <c r="I51" s="146"/>
      <c r="J51" s="146"/>
      <c r="K51" s="146"/>
      <c r="L51" s="146"/>
    </row>
    <row r="52" spans="1:12" ht="54.75" customHeight="1" x14ac:dyDescent="0.3">
      <c r="A52" s="142">
        <v>45</v>
      </c>
      <c r="B52" s="120" t="s">
        <v>610</v>
      </c>
      <c r="C52" s="120" t="s">
        <v>863</v>
      </c>
      <c r="D52" s="120" t="s">
        <v>433</v>
      </c>
      <c r="E52" s="147"/>
      <c r="F52" s="144"/>
      <c r="G52" s="144"/>
      <c r="H52" s="144"/>
      <c r="I52" s="144"/>
      <c r="J52" s="144"/>
      <c r="K52" s="144"/>
      <c r="L52" s="144"/>
    </row>
    <row r="53" spans="1:12" ht="54.75" customHeight="1" x14ac:dyDescent="0.3">
      <c r="A53" s="142">
        <v>46</v>
      </c>
      <c r="B53" s="92" t="s">
        <v>610</v>
      </c>
      <c r="C53" s="92" t="s">
        <v>864</v>
      </c>
      <c r="D53" s="92" t="s">
        <v>433</v>
      </c>
      <c r="E53" s="143" t="s">
        <v>422</v>
      </c>
      <c r="F53" s="146"/>
      <c r="G53" s="146"/>
      <c r="H53" s="146"/>
      <c r="I53" s="146"/>
      <c r="J53" s="146"/>
      <c r="K53" s="146"/>
      <c r="L53" s="146"/>
    </row>
    <row r="54" spans="1:12" ht="54.75" customHeight="1" x14ac:dyDescent="0.3">
      <c r="A54" s="142">
        <v>47</v>
      </c>
      <c r="B54" s="120" t="s">
        <v>610</v>
      </c>
      <c r="C54" s="120" t="s">
        <v>865</v>
      </c>
      <c r="D54" s="120" t="s">
        <v>433</v>
      </c>
      <c r="E54" s="147"/>
      <c r="F54" s="144"/>
      <c r="G54" s="144"/>
      <c r="H54" s="144"/>
      <c r="I54" s="144"/>
      <c r="J54" s="144"/>
      <c r="K54" s="144"/>
      <c r="L54" s="144"/>
    </row>
    <row r="55" spans="1:12" ht="54.75" customHeight="1" x14ac:dyDescent="0.3">
      <c r="A55" s="142">
        <v>48</v>
      </c>
      <c r="B55" s="113" t="s">
        <v>610</v>
      </c>
      <c r="C55" s="113" t="s">
        <v>866</v>
      </c>
      <c r="D55" s="113" t="s">
        <v>433</v>
      </c>
      <c r="E55" s="145"/>
      <c r="F55" s="146"/>
      <c r="G55" s="146"/>
      <c r="H55" s="146"/>
      <c r="I55" s="146"/>
      <c r="J55" s="146"/>
      <c r="K55" s="146"/>
      <c r="L55" s="146"/>
    </row>
    <row r="56" spans="1:12" ht="54.75" customHeight="1" x14ac:dyDescent="0.3">
      <c r="A56" s="142">
        <v>49</v>
      </c>
      <c r="B56" s="120" t="s">
        <v>610</v>
      </c>
      <c r="C56" s="120" t="s">
        <v>867</v>
      </c>
      <c r="D56" s="120" t="s">
        <v>433</v>
      </c>
      <c r="E56" s="147"/>
      <c r="F56" s="144"/>
      <c r="G56" s="144"/>
      <c r="H56" s="144"/>
      <c r="I56" s="144"/>
      <c r="J56" s="144"/>
      <c r="K56" s="144"/>
      <c r="L56" s="144"/>
    </row>
    <row r="57" spans="1:12" ht="54.75" customHeight="1" x14ac:dyDescent="0.3">
      <c r="A57" s="142">
        <v>50</v>
      </c>
      <c r="B57" s="113" t="s">
        <v>610</v>
      </c>
      <c r="C57" s="113" t="s">
        <v>868</v>
      </c>
      <c r="D57" s="113" t="s">
        <v>433</v>
      </c>
      <c r="E57" s="145"/>
      <c r="F57" s="146"/>
      <c r="G57" s="146"/>
      <c r="H57" s="146"/>
      <c r="I57" s="146"/>
      <c r="J57" s="146"/>
      <c r="K57" s="146"/>
      <c r="L57" s="146"/>
    </row>
    <row r="58" spans="1:12" ht="54.75" customHeight="1" x14ac:dyDescent="0.3">
      <c r="A58" s="142">
        <v>51</v>
      </c>
      <c r="B58" s="120" t="s">
        <v>610</v>
      </c>
      <c r="C58" s="120" t="s">
        <v>869</v>
      </c>
      <c r="D58" s="120" t="s">
        <v>433</v>
      </c>
      <c r="E58" s="147"/>
      <c r="F58" s="144"/>
      <c r="G58" s="144"/>
      <c r="H58" s="144"/>
      <c r="I58" s="144"/>
      <c r="J58" s="144"/>
      <c r="K58" s="144"/>
      <c r="L58" s="144"/>
    </row>
    <row r="59" spans="1:12" ht="54.75" customHeight="1" x14ac:dyDescent="0.3">
      <c r="A59" s="142">
        <v>52</v>
      </c>
      <c r="B59" s="113" t="s">
        <v>610</v>
      </c>
      <c r="C59" s="113" t="s">
        <v>870</v>
      </c>
      <c r="D59" s="113" t="s">
        <v>433</v>
      </c>
      <c r="E59" s="145"/>
      <c r="F59" s="146"/>
      <c r="G59" s="146"/>
      <c r="H59" s="146"/>
      <c r="I59" s="146"/>
      <c r="J59" s="146"/>
      <c r="K59" s="146"/>
      <c r="L59" s="146"/>
    </row>
    <row r="60" spans="1:12" ht="54.75" customHeight="1" x14ac:dyDescent="0.3">
      <c r="A60" s="142">
        <v>53</v>
      </c>
      <c r="B60" s="120" t="s">
        <v>610</v>
      </c>
      <c r="C60" s="120" t="s">
        <v>871</v>
      </c>
      <c r="D60" s="120" t="s">
        <v>433</v>
      </c>
      <c r="E60" s="147"/>
      <c r="F60" s="144"/>
      <c r="G60" s="144"/>
      <c r="H60" s="144"/>
      <c r="I60" s="144"/>
      <c r="J60" s="144"/>
      <c r="K60" s="144"/>
      <c r="L60" s="144"/>
    </row>
    <row r="61" spans="1:12" ht="54.75" customHeight="1" x14ac:dyDescent="0.3">
      <c r="A61" s="142">
        <v>54</v>
      </c>
      <c r="B61" s="113" t="s">
        <v>610</v>
      </c>
      <c r="C61" s="113" t="s">
        <v>872</v>
      </c>
      <c r="D61" s="113" t="s">
        <v>433</v>
      </c>
      <c r="E61" s="145"/>
      <c r="F61" s="146"/>
      <c r="G61" s="146"/>
      <c r="H61" s="146"/>
      <c r="I61" s="146"/>
      <c r="J61" s="146"/>
      <c r="K61" s="146"/>
      <c r="L61" s="146"/>
    </row>
    <row r="62" spans="1:12" ht="54.75" customHeight="1" x14ac:dyDescent="0.3">
      <c r="A62" s="142">
        <v>55</v>
      </c>
      <c r="B62" s="120" t="s">
        <v>610</v>
      </c>
      <c r="C62" s="120" t="s">
        <v>873</v>
      </c>
      <c r="D62" s="120" t="s">
        <v>433</v>
      </c>
      <c r="E62" s="147"/>
      <c r="F62" s="144"/>
      <c r="G62" s="144"/>
      <c r="H62" s="144"/>
      <c r="I62" s="144"/>
      <c r="J62" s="144"/>
      <c r="K62" s="144"/>
      <c r="L62" s="144"/>
    </row>
    <row r="63" spans="1:12" ht="54.75" customHeight="1" x14ac:dyDescent="0.3">
      <c r="A63" s="142">
        <v>56</v>
      </c>
      <c r="B63" s="113" t="s">
        <v>610</v>
      </c>
      <c r="C63" s="113" t="s">
        <v>874</v>
      </c>
      <c r="D63" s="113" t="s">
        <v>433</v>
      </c>
      <c r="E63" s="145"/>
      <c r="F63" s="146"/>
      <c r="G63" s="146"/>
      <c r="H63" s="146"/>
      <c r="I63" s="146"/>
      <c r="J63" s="146"/>
      <c r="K63" s="146"/>
      <c r="L63" s="146"/>
    </row>
    <row r="64" spans="1:12" ht="54.75" customHeight="1" x14ac:dyDescent="0.3">
      <c r="A64" s="142">
        <v>57</v>
      </c>
      <c r="B64" s="92" t="s">
        <v>610</v>
      </c>
      <c r="C64" s="92" t="s">
        <v>875</v>
      </c>
      <c r="D64" s="92" t="s">
        <v>433</v>
      </c>
      <c r="E64" s="143" t="s">
        <v>422</v>
      </c>
      <c r="F64" s="144"/>
      <c r="G64" s="144"/>
      <c r="H64" s="144"/>
      <c r="I64" s="144"/>
      <c r="J64" s="144"/>
      <c r="K64" s="144"/>
      <c r="L64" s="144"/>
    </row>
    <row r="65" spans="1:12" ht="54.75" customHeight="1" x14ac:dyDescent="0.3">
      <c r="A65" s="142">
        <v>58</v>
      </c>
      <c r="B65" s="113" t="s">
        <v>610</v>
      </c>
      <c r="C65" s="113" t="s">
        <v>876</v>
      </c>
      <c r="D65" s="113" t="s">
        <v>433</v>
      </c>
      <c r="E65" s="145"/>
      <c r="F65" s="146"/>
      <c r="G65" s="146"/>
      <c r="H65" s="146"/>
      <c r="I65" s="146"/>
      <c r="J65" s="146"/>
      <c r="K65" s="146"/>
      <c r="L65" s="146"/>
    </row>
    <row r="66" spans="1:12" ht="54.75" customHeight="1" x14ac:dyDescent="0.3">
      <c r="A66" s="142">
        <v>59</v>
      </c>
      <c r="B66" s="120" t="s">
        <v>610</v>
      </c>
      <c r="C66" s="120" t="s">
        <v>877</v>
      </c>
      <c r="D66" s="120" t="s">
        <v>433</v>
      </c>
      <c r="E66" s="147"/>
      <c r="F66" s="144"/>
      <c r="G66" s="144"/>
      <c r="H66" s="144"/>
      <c r="I66" s="144"/>
      <c r="J66" s="144"/>
      <c r="K66" s="144"/>
      <c r="L66" s="144"/>
    </row>
    <row r="67" spans="1:12" ht="54.75" customHeight="1" x14ac:dyDescent="0.3">
      <c r="A67" s="142">
        <v>60</v>
      </c>
      <c r="B67" s="113" t="s">
        <v>610</v>
      </c>
      <c r="C67" s="113" t="s">
        <v>878</v>
      </c>
      <c r="D67" s="113" t="s">
        <v>433</v>
      </c>
      <c r="E67" s="145"/>
      <c r="F67" s="146"/>
      <c r="G67" s="146"/>
      <c r="H67" s="146"/>
      <c r="I67" s="146"/>
      <c r="J67" s="146"/>
      <c r="K67" s="146"/>
      <c r="L67" s="146"/>
    </row>
    <row r="68" spans="1:12" ht="54.75" customHeight="1" x14ac:dyDescent="0.3">
      <c r="A68" s="142">
        <v>61</v>
      </c>
      <c r="B68" s="92" t="s">
        <v>610</v>
      </c>
      <c r="C68" s="92" t="s">
        <v>879</v>
      </c>
      <c r="D68" s="92" t="s">
        <v>433</v>
      </c>
      <c r="E68" s="143" t="s">
        <v>422</v>
      </c>
      <c r="F68" s="144"/>
      <c r="G68" s="144"/>
      <c r="H68" s="144"/>
      <c r="I68" s="144"/>
      <c r="J68" s="144"/>
      <c r="K68" s="144"/>
      <c r="L68" s="144"/>
    </row>
    <row r="69" spans="1:12" ht="54.75" customHeight="1" x14ac:dyDescent="0.3">
      <c r="A69" s="142">
        <v>62</v>
      </c>
      <c r="B69" s="113" t="s">
        <v>610</v>
      </c>
      <c r="C69" s="113" t="s">
        <v>880</v>
      </c>
      <c r="D69" s="113" t="s">
        <v>433</v>
      </c>
      <c r="E69" s="145"/>
      <c r="F69" s="146"/>
      <c r="G69" s="146"/>
      <c r="H69" s="146"/>
      <c r="I69" s="146"/>
      <c r="J69" s="146"/>
      <c r="K69" s="146"/>
      <c r="L69" s="146"/>
    </row>
    <row r="70" spans="1:12" ht="54.75" customHeight="1" x14ac:dyDescent="0.3">
      <c r="A70" s="142">
        <v>63</v>
      </c>
      <c r="B70" s="120" t="s">
        <v>610</v>
      </c>
      <c r="C70" s="120" t="s">
        <v>881</v>
      </c>
      <c r="D70" s="120" t="s">
        <v>433</v>
      </c>
      <c r="E70" s="147"/>
      <c r="F70" s="144"/>
      <c r="G70" s="144"/>
      <c r="H70" s="144"/>
      <c r="I70" s="144"/>
      <c r="J70" s="144"/>
      <c r="K70" s="144"/>
      <c r="L70" s="144"/>
    </row>
    <row r="71" spans="1:12" ht="54.75" customHeight="1" x14ac:dyDescent="0.3">
      <c r="A71" s="142">
        <v>64</v>
      </c>
      <c r="B71" s="92" t="s">
        <v>610</v>
      </c>
      <c r="C71" s="92" t="s">
        <v>882</v>
      </c>
      <c r="D71" s="92" t="s">
        <v>433</v>
      </c>
      <c r="E71" s="143" t="s">
        <v>422</v>
      </c>
      <c r="F71" s="146"/>
      <c r="G71" s="146"/>
      <c r="H71" s="146"/>
      <c r="I71" s="146"/>
      <c r="J71" s="146"/>
      <c r="K71" s="146"/>
      <c r="L71" s="146"/>
    </row>
    <row r="72" spans="1:12" ht="54.75" customHeight="1" x14ac:dyDescent="0.3">
      <c r="A72" s="142">
        <v>65</v>
      </c>
      <c r="B72" s="120" t="s">
        <v>610</v>
      </c>
      <c r="C72" s="120" t="s">
        <v>883</v>
      </c>
      <c r="D72" s="120" t="s">
        <v>433</v>
      </c>
      <c r="E72" s="147"/>
      <c r="F72" s="144"/>
      <c r="G72" s="144"/>
      <c r="H72" s="144"/>
      <c r="I72" s="144"/>
      <c r="J72" s="144"/>
      <c r="K72" s="144"/>
      <c r="L72" s="144"/>
    </row>
    <row r="73" spans="1:12" ht="54.75" customHeight="1" x14ac:dyDescent="0.3">
      <c r="A73" s="142">
        <v>66</v>
      </c>
      <c r="B73" s="113" t="s">
        <v>610</v>
      </c>
      <c r="C73" s="113" t="s">
        <v>884</v>
      </c>
      <c r="D73" s="113" t="s">
        <v>433</v>
      </c>
      <c r="E73" s="145"/>
      <c r="F73" s="146"/>
      <c r="G73" s="146"/>
      <c r="H73" s="146"/>
      <c r="I73" s="146"/>
      <c r="J73" s="146"/>
      <c r="K73" s="146"/>
      <c r="L73" s="146"/>
    </row>
    <row r="74" spans="1:12" ht="54.75" customHeight="1" x14ac:dyDescent="0.3">
      <c r="A74" s="142">
        <v>67</v>
      </c>
      <c r="B74" s="120" t="s">
        <v>610</v>
      </c>
      <c r="C74" s="120" t="s">
        <v>885</v>
      </c>
      <c r="D74" s="120" t="s">
        <v>433</v>
      </c>
      <c r="E74" s="147"/>
      <c r="F74" s="144"/>
      <c r="G74" s="144"/>
      <c r="H74" s="144"/>
      <c r="I74" s="144"/>
      <c r="J74" s="144"/>
      <c r="K74" s="144"/>
      <c r="L74" s="144"/>
    </row>
    <row r="75" spans="1:12" ht="54.75" customHeight="1" x14ac:dyDescent="0.3">
      <c r="A75" s="142">
        <v>68</v>
      </c>
      <c r="B75" s="113" t="s">
        <v>610</v>
      </c>
      <c r="C75" s="113" t="s">
        <v>886</v>
      </c>
      <c r="D75" s="113" t="s">
        <v>433</v>
      </c>
      <c r="E75" s="145"/>
      <c r="F75" s="146"/>
      <c r="G75" s="146"/>
      <c r="H75" s="146"/>
      <c r="I75" s="146"/>
      <c r="J75" s="146"/>
      <c r="K75" s="146"/>
      <c r="L75" s="146"/>
    </row>
    <row r="76" spans="1:12" ht="54.75" customHeight="1" x14ac:dyDescent="0.3">
      <c r="A76" s="142">
        <v>69</v>
      </c>
      <c r="B76" s="92" t="s">
        <v>610</v>
      </c>
      <c r="C76" s="92" t="s">
        <v>887</v>
      </c>
      <c r="D76" s="92" t="s">
        <v>433</v>
      </c>
      <c r="E76" s="143" t="s">
        <v>422</v>
      </c>
      <c r="F76" s="144"/>
      <c r="G76" s="144"/>
      <c r="H76" s="144"/>
      <c r="I76" s="144"/>
      <c r="J76" s="144"/>
      <c r="K76" s="144"/>
      <c r="L76" s="144"/>
    </row>
    <row r="77" spans="1:12" ht="54.75" customHeight="1" x14ac:dyDescent="0.3">
      <c r="A77" s="142">
        <v>70</v>
      </c>
      <c r="B77" s="113" t="s">
        <v>610</v>
      </c>
      <c r="C77" s="113" t="s">
        <v>888</v>
      </c>
      <c r="D77" s="113" t="s">
        <v>433</v>
      </c>
      <c r="E77" s="145"/>
      <c r="F77" s="146"/>
      <c r="G77" s="146"/>
      <c r="H77" s="146"/>
      <c r="I77" s="146"/>
      <c r="J77" s="146"/>
      <c r="K77" s="146"/>
      <c r="L77" s="146"/>
    </row>
    <row r="78" spans="1:12" ht="54.75" customHeight="1" x14ac:dyDescent="0.3">
      <c r="A78" s="142">
        <v>71</v>
      </c>
      <c r="B78" s="120" t="s">
        <v>610</v>
      </c>
      <c r="C78" s="120" t="s">
        <v>889</v>
      </c>
      <c r="D78" s="120" t="s">
        <v>433</v>
      </c>
      <c r="E78" s="147"/>
      <c r="F78" s="144"/>
      <c r="G78" s="144"/>
      <c r="H78" s="144"/>
      <c r="I78" s="144"/>
      <c r="J78" s="144"/>
      <c r="K78" s="144"/>
      <c r="L78" s="144"/>
    </row>
    <row r="79" spans="1:12" ht="54.75" customHeight="1" x14ac:dyDescent="0.3">
      <c r="A79" s="142">
        <v>72</v>
      </c>
      <c r="B79" s="113" t="s">
        <v>890</v>
      </c>
      <c r="C79" s="113" t="s">
        <v>891</v>
      </c>
      <c r="D79" s="113" t="s">
        <v>433</v>
      </c>
      <c r="E79" s="145"/>
      <c r="F79" s="146"/>
      <c r="G79" s="146"/>
      <c r="H79" s="146"/>
      <c r="I79" s="146"/>
      <c r="J79" s="146"/>
      <c r="K79" s="146"/>
      <c r="L79" s="146"/>
    </row>
    <row r="80" spans="1:12" ht="54.75" customHeight="1" x14ac:dyDescent="0.3">
      <c r="A80" s="142">
        <v>73</v>
      </c>
      <c r="B80" s="120" t="s">
        <v>890</v>
      </c>
      <c r="C80" s="120" t="s">
        <v>892</v>
      </c>
      <c r="D80" s="120" t="s">
        <v>433</v>
      </c>
      <c r="E80" s="147"/>
      <c r="F80" s="144"/>
      <c r="G80" s="144"/>
      <c r="H80" s="144"/>
      <c r="I80" s="144"/>
      <c r="J80" s="144"/>
      <c r="K80" s="144"/>
      <c r="L80" s="144"/>
    </row>
    <row r="81" spans="1:12" ht="54.75" customHeight="1" x14ac:dyDescent="0.3">
      <c r="A81" s="142">
        <v>74</v>
      </c>
      <c r="B81" s="92" t="s">
        <v>890</v>
      </c>
      <c r="C81" s="92" t="s">
        <v>893</v>
      </c>
      <c r="D81" s="92" t="s">
        <v>433</v>
      </c>
      <c r="E81" s="143" t="s">
        <v>422</v>
      </c>
      <c r="F81" s="146"/>
      <c r="G81" s="146"/>
      <c r="H81" s="146"/>
      <c r="I81" s="146"/>
      <c r="J81" s="146"/>
      <c r="K81" s="146"/>
      <c r="L81" s="146"/>
    </row>
    <row r="82" spans="1:12" ht="54.75" customHeight="1" x14ac:dyDescent="0.3">
      <c r="A82" s="142">
        <v>75</v>
      </c>
      <c r="B82" s="92" t="s">
        <v>890</v>
      </c>
      <c r="C82" s="92" t="s">
        <v>894</v>
      </c>
      <c r="D82" s="92" t="s">
        <v>433</v>
      </c>
      <c r="E82" s="143" t="s">
        <v>422</v>
      </c>
      <c r="F82" s="144"/>
      <c r="G82" s="144"/>
      <c r="H82" s="144"/>
      <c r="I82" s="144"/>
      <c r="J82" s="144"/>
      <c r="K82" s="144"/>
      <c r="L82" s="144"/>
    </row>
    <row r="83" spans="1:12" ht="54.75" customHeight="1" x14ac:dyDescent="0.3">
      <c r="A83" s="142">
        <v>76</v>
      </c>
      <c r="B83" s="113" t="s">
        <v>890</v>
      </c>
      <c r="C83" s="113" t="s">
        <v>895</v>
      </c>
      <c r="D83" s="113" t="s">
        <v>433</v>
      </c>
      <c r="E83" s="145"/>
      <c r="F83" s="146"/>
      <c r="G83" s="146"/>
      <c r="H83" s="146"/>
      <c r="I83" s="146"/>
      <c r="J83" s="146"/>
      <c r="K83" s="146"/>
      <c r="L83" s="146"/>
    </row>
    <row r="84" spans="1:12" ht="54.75" customHeight="1" x14ac:dyDescent="0.3">
      <c r="A84" s="142">
        <v>77</v>
      </c>
      <c r="B84" s="92" t="s">
        <v>890</v>
      </c>
      <c r="C84" s="92" t="s">
        <v>896</v>
      </c>
      <c r="D84" s="92" t="s">
        <v>433</v>
      </c>
      <c r="E84" s="143" t="s">
        <v>422</v>
      </c>
      <c r="F84" s="144"/>
      <c r="G84" s="144"/>
      <c r="H84" s="144"/>
      <c r="I84" s="144"/>
      <c r="J84" s="144"/>
      <c r="K84" s="144"/>
      <c r="L84" s="144"/>
    </row>
    <row r="85" spans="1:12" ht="54.75" customHeight="1" x14ac:dyDescent="0.3">
      <c r="A85" s="142">
        <v>78</v>
      </c>
      <c r="B85" s="113" t="s">
        <v>890</v>
      </c>
      <c r="C85" s="113" t="s">
        <v>897</v>
      </c>
      <c r="D85" s="113" t="s">
        <v>433</v>
      </c>
      <c r="E85" s="145"/>
      <c r="F85" s="146"/>
      <c r="G85" s="146"/>
      <c r="H85" s="146"/>
      <c r="I85" s="146"/>
      <c r="J85" s="146"/>
      <c r="K85" s="146"/>
      <c r="L85" s="146"/>
    </row>
    <row r="86" spans="1:12" ht="54.75" customHeight="1" x14ac:dyDescent="0.3">
      <c r="A86" s="142">
        <v>79</v>
      </c>
      <c r="B86" s="120" t="s">
        <v>890</v>
      </c>
      <c r="C86" s="120" t="s">
        <v>898</v>
      </c>
      <c r="D86" s="120" t="s">
        <v>433</v>
      </c>
      <c r="E86" s="147"/>
      <c r="F86" s="144"/>
      <c r="G86" s="144"/>
      <c r="H86" s="144"/>
      <c r="I86" s="144"/>
      <c r="J86" s="144"/>
      <c r="K86" s="144"/>
      <c r="L86" s="144"/>
    </row>
    <row r="87" spans="1:12" ht="54.75" customHeight="1" x14ac:dyDescent="0.3"/>
    <row r="88" spans="1:12" ht="54.75" customHeight="1" x14ac:dyDescent="0.3"/>
    <row r="89" spans="1:12" ht="54.75" customHeight="1" x14ac:dyDescent="0.3">
      <c r="A89" s="163" t="s">
        <v>899</v>
      </c>
      <c r="B89" s="163"/>
      <c r="C89" s="163"/>
      <c r="D89" s="163"/>
      <c r="E89" s="163"/>
      <c r="F89" s="163"/>
      <c r="G89" s="163"/>
      <c r="H89" s="163"/>
      <c r="I89" s="163"/>
      <c r="J89" s="163"/>
      <c r="K89" s="163"/>
      <c r="L89" s="163"/>
    </row>
    <row r="90" spans="1:12" ht="54.75" customHeight="1" x14ac:dyDescent="0.3">
      <c r="A90" s="132" t="s">
        <v>419</v>
      </c>
      <c r="B90" s="132" t="s">
        <v>900</v>
      </c>
      <c r="C90" s="132" t="s">
        <v>370</v>
      </c>
      <c r="D90" s="132" t="s">
        <v>371</v>
      </c>
      <c r="E90" s="132" t="s">
        <v>372</v>
      </c>
      <c r="F90" s="132" t="s">
        <v>901</v>
      </c>
      <c r="G90" s="132" t="s">
        <v>301</v>
      </c>
    </row>
    <row r="91" spans="1:12" ht="54.75" customHeight="1" x14ac:dyDescent="0.3">
      <c r="A91" s="148" t="s">
        <v>431</v>
      </c>
      <c r="B91" s="119">
        <f>COUNTIF(B8:B86,"*TALENTO HUMANO*")</f>
        <v>4</v>
      </c>
      <c r="C91" s="119">
        <f>COUNTIFS(B8:B86,"*TALENTO HUMANO*",F8:F86,"X")</f>
        <v>0</v>
      </c>
      <c r="D91" s="119">
        <f>COUNTIFS(B8:B86,"*TALENTO HUMANO*",G8:G86,"X")</f>
        <v>0</v>
      </c>
      <c r="E91" s="119">
        <f>COUNTIFS(B8:B86,"*TALENTO HUMANO*",H8:H86,"X")</f>
        <v>0</v>
      </c>
      <c r="F91" s="134">
        <f t="shared" ref="F91:F96" si="0">IF((C91+D91)=0,0,C91/(C91+D91))</f>
        <v>0</v>
      </c>
      <c r="G91" s="119" t="str">
        <f t="shared" ref="G91:G97" si="1">IF(F91&gt;=0.9,"ALTO",IF(F91&gt;=0.7,"MEDIO",IF(F91&gt;0,"BAJO","SIN EVALUAR")))</f>
        <v>SIN EVALUAR</v>
      </c>
    </row>
    <row r="92" spans="1:12" ht="54.75" customHeight="1" x14ac:dyDescent="0.3">
      <c r="A92" s="148" t="s">
        <v>756</v>
      </c>
      <c r="B92" s="112">
        <f>COUNTIF(B8:B86,"*INFRAESTRUCTURA*")</f>
        <v>14</v>
      </c>
      <c r="C92" s="112">
        <f>COUNTIFS(B8:B86,"*INFRAESTRUCTURA*",F8:F86,"X")</f>
        <v>0</v>
      </c>
      <c r="D92" s="112">
        <f>COUNTIFS(B8:B86,"*INFRAESTRUCTURA*",G8:G86,"X")</f>
        <v>0</v>
      </c>
      <c r="E92" s="112">
        <f>COUNTIFS(B8:B86,"*INFRAESTRUCTURA*",H8:H86,"X")</f>
        <v>0</v>
      </c>
      <c r="F92" s="136">
        <f t="shared" si="0"/>
        <v>0</v>
      </c>
      <c r="G92" s="112" t="str">
        <f t="shared" si="1"/>
        <v>SIN EVALUAR</v>
      </c>
    </row>
    <row r="93" spans="1:12" ht="54.75" customHeight="1" x14ac:dyDescent="0.3">
      <c r="A93" s="148" t="s">
        <v>539</v>
      </c>
      <c r="B93" s="119">
        <f>COUNTIF(B8:B86,"*DOTACIÓN*")</f>
        <v>9</v>
      </c>
      <c r="C93" s="119">
        <f>COUNTIFS(B8:B86,"*DOTACIÓN*",F8:F86,"X")</f>
        <v>0</v>
      </c>
      <c r="D93" s="119">
        <f>COUNTIFS(B8:B86,"*DOTACIÓN*",G8:G86,"X")</f>
        <v>0</v>
      </c>
      <c r="E93" s="119">
        <f>COUNTIFS(B8:B86,"*DOTACIÓN*",H8:H86,"X")</f>
        <v>0</v>
      </c>
      <c r="F93" s="134">
        <f t="shared" si="0"/>
        <v>0</v>
      </c>
      <c r="G93" s="119" t="str">
        <f t="shared" si="1"/>
        <v>SIN EVALUAR</v>
      </c>
    </row>
    <row r="94" spans="1:12" ht="54.75" customHeight="1" x14ac:dyDescent="0.3">
      <c r="A94" s="148" t="s">
        <v>845</v>
      </c>
      <c r="B94" s="112">
        <f>COUNTIF(B8:B86,"*INSUMOS*")</f>
        <v>12</v>
      </c>
      <c r="C94" s="112">
        <f>COUNTIFS(B8:B86,"*INSUMOS*",F8:F86,"X")</f>
        <v>0</v>
      </c>
      <c r="D94" s="112">
        <f>COUNTIFS(B8:B86,"*INSUMOS*",G8:G86,"X")</f>
        <v>0</v>
      </c>
      <c r="E94" s="112">
        <f>COUNTIFS(B8:B86,"*INSUMOS*",H8:H86,"X")</f>
        <v>0</v>
      </c>
      <c r="F94" s="136">
        <f t="shared" si="0"/>
        <v>0</v>
      </c>
      <c r="G94" s="112" t="str">
        <f t="shared" si="1"/>
        <v>SIN EVALUAR</v>
      </c>
    </row>
    <row r="95" spans="1:12" ht="54.75" customHeight="1" x14ac:dyDescent="0.3">
      <c r="A95" s="148" t="s">
        <v>610</v>
      </c>
      <c r="B95" s="119">
        <f>COUNTIF(B8:B86,"*PROCESOS PRIORITARIOS*")</f>
        <v>32</v>
      </c>
      <c r="C95" s="119">
        <f>COUNTIFS(B8:B86,"*PROCESOS PRIORITARIOS*",F8:F86,"X")</f>
        <v>0</v>
      </c>
      <c r="D95" s="119">
        <f>COUNTIFS(B8:B86,"*PROCESOS PRIORITARIOS*",G8:G86,"X")</f>
        <v>0</v>
      </c>
      <c r="E95" s="119">
        <f>COUNTIFS(B8:B86,"*PROCESOS PRIORITARIOS*",H8:H86,"X")</f>
        <v>0</v>
      </c>
      <c r="F95" s="134">
        <f t="shared" si="0"/>
        <v>0</v>
      </c>
      <c r="G95" s="119" t="str">
        <f t="shared" si="1"/>
        <v>SIN EVALUAR</v>
      </c>
    </row>
    <row r="96" spans="1:12" ht="54.75" customHeight="1" x14ac:dyDescent="0.3">
      <c r="A96" s="148" t="s">
        <v>890</v>
      </c>
      <c r="B96" s="112">
        <f>COUNTIF(B8:B86,"*HISTORIA CLÍNICA*")</f>
        <v>8</v>
      </c>
      <c r="C96" s="112">
        <f>COUNTIFS(B8:B86,"*HISTORIA CLÍNICA*",F8:F86,"X")</f>
        <v>0</v>
      </c>
      <c r="D96" s="112">
        <f>COUNTIFS(B8:B86,"*HISTORIA CLÍNICA*",G8:G86,"X")</f>
        <v>0</v>
      </c>
      <c r="E96" s="112">
        <f>COUNTIFS(B8:B86,"*HISTORIA CLÍNICA*",H8:H86,"X")</f>
        <v>0</v>
      </c>
      <c r="F96" s="136">
        <f t="shared" si="0"/>
        <v>0</v>
      </c>
      <c r="G96" s="112" t="str">
        <f t="shared" si="1"/>
        <v>SIN EVALUAR</v>
      </c>
    </row>
    <row r="97" spans="1:7" ht="54.75" customHeight="1" x14ac:dyDescent="0.3">
      <c r="A97" s="82" t="s">
        <v>379</v>
      </c>
      <c r="B97" s="82">
        <f>SUM(B91:B96)</f>
        <v>79</v>
      </c>
      <c r="C97" s="82">
        <f>SUM(C91:C96)</f>
        <v>0</v>
      </c>
      <c r="D97" s="82">
        <f>SUM(D91:D96)</f>
        <v>0</v>
      </c>
      <c r="E97" s="137">
        <f>SUM(E91:E96)</f>
        <v>0</v>
      </c>
      <c r="F97" s="149">
        <f>SUM(F91:F96)</f>
        <v>0</v>
      </c>
      <c r="G97" s="82" t="str">
        <f t="shared" si="1"/>
        <v>SIN EVALUAR</v>
      </c>
    </row>
  </sheetData>
  <mergeCells count="11">
    <mergeCell ref="A5:L5"/>
    <mergeCell ref="A6:L6"/>
    <mergeCell ref="A89:L89"/>
    <mergeCell ref="A1:L1"/>
    <mergeCell ref="A2:L2"/>
    <mergeCell ref="A3:C3"/>
    <mergeCell ref="D3:L3"/>
    <mergeCell ref="A4:B4"/>
    <mergeCell ref="C4:E4"/>
    <mergeCell ref="F4:H4"/>
    <mergeCell ref="I4:L4"/>
  </mergeCells>
  <conditionalFormatting sqref="A8:L86">
    <cfRule type="expression" dxfId="17" priority="2">
      <formula>$F8="X"</formula>
    </cfRule>
    <cfRule type="expression" dxfId="16" priority="3">
      <formula>$G8="X"</formula>
    </cfRule>
    <cfRule type="expression" dxfId="15" priority="4">
      <formula>$H8="X"</formula>
    </cfRule>
  </conditionalFormatting>
  <dataValidations count="1">
    <dataValidation type="list" allowBlank="1" sqref="F8:H86" xr:uid="{00000000-0002-0000-0600-000000000000}">
      <formula1>"X,"</formula1>
      <formula2>0</formula2>
    </dataValidation>
  </dataValidations>
  <pageMargins left="0.3" right="0.3" top="0.5" bottom="0.5"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D3C98"/>
    <pageSetUpPr fitToPage="1"/>
  </sheetPr>
  <dimension ref="A1:L62"/>
  <sheetViews>
    <sheetView showGridLines="0" zoomScaleNormal="100" workbookViewId="0">
      <pane ySplit="7" topLeftCell="A62" activePane="bottomLeft" state="frozen"/>
      <selection pane="bottomLeft" sqref="A1:L1"/>
    </sheetView>
  </sheetViews>
  <sheetFormatPr baseColWidth="10" defaultColWidth="8.6640625" defaultRowHeight="14.4" x14ac:dyDescent="0.3"/>
  <cols>
    <col min="1" max="1" width="5" customWidth="1"/>
    <col min="2" max="2" width="20" customWidth="1"/>
    <col min="3" max="3" width="48" customWidth="1"/>
    <col min="4" max="4" width="22" customWidth="1"/>
    <col min="5" max="8" width="5" customWidth="1"/>
    <col min="9" max="10" width="38" customWidth="1"/>
    <col min="11" max="11" width="22" customWidth="1"/>
    <col min="12" max="12" width="16" customWidth="1"/>
  </cols>
  <sheetData>
    <row r="1" spans="1:12" ht="30" customHeight="1" x14ac:dyDescent="0.3">
      <c r="A1" s="164" t="s">
        <v>902</v>
      </c>
      <c r="B1" s="164"/>
      <c r="C1" s="164"/>
      <c r="D1" s="164"/>
      <c r="E1" s="164"/>
      <c r="F1" s="164"/>
      <c r="G1" s="164"/>
      <c r="H1" s="164"/>
      <c r="I1" s="164"/>
      <c r="J1" s="164"/>
      <c r="K1" s="164"/>
      <c r="L1" s="164"/>
    </row>
    <row r="2" spans="1:12" ht="19.5" customHeight="1" x14ac:dyDescent="0.3">
      <c r="A2" s="165" t="s">
        <v>813</v>
      </c>
      <c r="B2" s="165"/>
      <c r="C2" s="165"/>
      <c r="D2" s="165"/>
      <c r="E2" s="165"/>
      <c r="F2" s="165"/>
      <c r="G2" s="165"/>
      <c r="H2" s="165"/>
      <c r="I2" s="165"/>
      <c r="J2" s="165"/>
      <c r="K2" s="165"/>
      <c r="L2" s="165"/>
    </row>
    <row r="3" spans="1:12" ht="15" customHeight="1" x14ac:dyDescent="0.3">
      <c r="A3" s="166" t="s">
        <v>361</v>
      </c>
      <c r="B3" s="166"/>
      <c r="C3" s="166"/>
      <c r="D3" s="167"/>
      <c r="E3" s="167"/>
      <c r="F3" s="167"/>
      <c r="G3" s="167"/>
      <c r="H3" s="167"/>
      <c r="I3" s="167"/>
      <c r="J3" s="167"/>
      <c r="K3" s="167"/>
      <c r="L3" s="167"/>
    </row>
    <row r="4" spans="1:12" ht="15" customHeight="1" x14ac:dyDescent="0.3">
      <c r="A4" s="166" t="s">
        <v>362</v>
      </c>
      <c r="B4" s="166"/>
      <c r="C4" s="166" t="s">
        <v>363</v>
      </c>
      <c r="D4" s="166"/>
      <c r="E4" s="166"/>
      <c r="F4" s="166" t="s">
        <v>364</v>
      </c>
      <c r="G4" s="166"/>
      <c r="H4" s="166"/>
      <c r="I4" s="166" t="s">
        <v>814</v>
      </c>
      <c r="J4" s="166"/>
      <c r="K4" s="166"/>
      <c r="L4" s="166"/>
    </row>
    <row r="5" spans="1:12" ht="19.5" customHeight="1" x14ac:dyDescent="0.3">
      <c r="A5" s="161" t="s">
        <v>815</v>
      </c>
      <c r="B5" s="161"/>
      <c r="C5" s="161"/>
      <c r="D5" s="161"/>
      <c r="E5" s="161"/>
      <c r="F5" s="161"/>
      <c r="G5" s="161"/>
      <c r="H5" s="161"/>
      <c r="I5" s="161"/>
      <c r="J5" s="161"/>
      <c r="K5" s="161"/>
      <c r="L5" s="161"/>
    </row>
    <row r="6" spans="1:12" ht="15" customHeight="1" x14ac:dyDescent="0.3">
      <c r="A6" s="162"/>
      <c r="B6" s="162"/>
      <c r="C6" s="162"/>
      <c r="D6" s="162"/>
      <c r="E6" s="162"/>
      <c r="F6" s="162"/>
      <c r="G6" s="162"/>
      <c r="H6" s="162"/>
      <c r="I6" s="162"/>
      <c r="J6" s="162"/>
      <c r="K6" s="162"/>
      <c r="L6" s="162"/>
    </row>
    <row r="7" spans="1:12" ht="30" customHeight="1" x14ac:dyDescent="0.3">
      <c r="A7" s="82" t="s">
        <v>417</v>
      </c>
      <c r="B7" s="82" t="s">
        <v>419</v>
      </c>
      <c r="C7" s="82" t="s">
        <v>816</v>
      </c>
      <c r="D7" s="82" t="s">
        <v>817</v>
      </c>
      <c r="E7" s="82" t="s">
        <v>422</v>
      </c>
      <c r="F7" s="83" t="s">
        <v>423</v>
      </c>
      <c r="G7" s="84" t="s">
        <v>424</v>
      </c>
      <c r="H7" s="85" t="s">
        <v>425</v>
      </c>
      <c r="I7" s="82" t="s">
        <v>426</v>
      </c>
      <c r="J7" s="82" t="s">
        <v>427</v>
      </c>
      <c r="K7" s="82" t="s">
        <v>428</v>
      </c>
      <c r="L7" s="82" t="s">
        <v>429</v>
      </c>
    </row>
    <row r="8" spans="1:12" ht="54.75" customHeight="1" x14ac:dyDescent="0.3">
      <c r="A8" s="142">
        <v>1</v>
      </c>
      <c r="B8" s="92" t="s">
        <v>903</v>
      </c>
      <c r="C8" s="92" t="s">
        <v>904</v>
      </c>
      <c r="D8" s="92" t="s">
        <v>453</v>
      </c>
      <c r="E8" s="143" t="s">
        <v>422</v>
      </c>
      <c r="F8" s="144"/>
      <c r="G8" s="144"/>
      <c r="H8" s="144"/>
      <c r="I8" s="144"/>
      <c r="J8" s="144"/>
      <c r="K8" s="144"/>
      <c r="L8" s="144"/>
    </row>
    <row r="9" spans="1:12" ht="54.75" customHeight="1" x14ac:dyDescent="0.3">
      <c r="A9" s="142">
        <v>2</v>
      </c>
      <c r="B9" s="113" t="s">
        <v>903</v>
      </c>
      <c r="C9" s="113" t="s">
        <v>905</v>
      </c>
      <c r="D9" s="113" t="s">
        <v>453</v>
      </c>
      <c r="E9" s="145"/>
      <c r="F9" s="146"/>
      <c r="G9" s="146"/>
      <c r="H9" s="146"/>
      <c r="I9" s="146"/>
      <c r="J9" s="146"/>
      <c r="K9" s="146"/>
      <c r="L9" s="146"/>
    </row>
    <row r="10" spans="1:12" ht="54.75" customHeight="1" x14ac:dyDescent="0.3">
      <c r="A10" s="142">
        <v>3</v>
      </c>
      <c r="B10" s="120" t="s">
        <v>903</v>
      </c>
      <c r="C10" s="120" t="s">
        <v>906</v>
      </c>
      <c r="D10" s="120" t="s">
        <v>453</v>
      </c>
      <c r="E10" s="147"/>
      <c r="F10" s="144"/>
      <c r="G10" s="144"/>
      <c r="H10" s="144"/>
      <c r="I10" s="144"/>
      <c r="J10" s="144"/>
      <c r="K10" s="144"/>
      <c r="L10" s="144"/>
    </row>
    <row r="11" spans="1:12" ht="54.75" customHeight="1" x14ac:dyDescent="0.3">
      <c r="A11" s="142">
        <v>4</v>
      </c>
      <c r="B11" s="113" t="s">
        <v>903</v>
      </c>
      <c r="C11" s="113" t="s">
        <v>907</v>
      </c>
      <c r="D11" s="113" t="s">
        <v>453</v>
      </c>
      <c r="E11" s="145"/>
      <c r="F11" s="146"/>
      <c r="G11" s="146"/>
      <c r="H11" s="146"/>
      <c r="I11" s="146"/>
      <c r="J11" s="146"/>
      <c r="K11" s="146"/>
      <c r="L11" s="146"/>
    </row>
    <row r="12" spans="1:12" ht="54.75" customHeight="1" x14ac:dyDescent="0.3">
      <c r="A12" s="142">
        <v>5</v>
      </c>
      <c r="B12" s="120" t="s">
        <v>908</v>
      </c>
      <c r="C12" s="120" t="s">
        <v>909</v>
      </c>
      <c r="D12" s="120" t="s">
        <v>453</v>
      </c>
      <c r="E12" s="147"/>
      <c r="F12" s="144"/>
      <c r="G12" s="144"/>
      <c r="H12" s="144"/>
      <c r="I12" s="144"/>
      <c r="J12" s="144"/>
      <c r="K12" s="144"/>
      <c r="L12" s="144"/>
    </row>
    <row r="13" spans="1:12" ht="54.75" customHeight="1" x14ac:dyDescent="0.3">
      <c r="A13" s="142">
        <v>6</v>
      </c>
      <c r="B13" s="113" t="s">
        <v>908</v>
      </c>
      <c r="C13" s="113" t="s">
        <v>910</v>
      </c>
      <c r="D13" s="113" t="s">
        <v>453</v>
      </c>
      <c r="E13" s="145"/>
      <c r="F13" s="146"/>
      <c r="G13" s="146"/>
      <c r="H13" s="146"/>
      <c r="I13" s="146"/>
      <c r="J13" s="146"/>
      <c r="K13" s="146"/>
      <c r="L13" s="146"/>
    </row>
    <row r="14" spans="1:12" ht="54.75" customHeight="1" x14ac:dyDescent="0.3">
      <c r="A14" s="142">
        <v>7</v>
      </c>
      <c r="B14" s="92" t="s">
        <v>911</v>
      </c>
      <c r="C14" s="92" t="s">
        <v>912</v>
      </c>
      <c r="D14" s="92" t="s">
        <v>453</v>
      </c>
      <c r="E14" s="143" t="s">
        <v>422</v>
      </c>
      <c r="F14" s="144"/>
      <c r="G14" s="144"/>
      <c r="H14" s="144"/>
      <c r="I14" s="144"/>
      <c r="J14" s="144"/>
      <c r="K14" s="144"/>
      <c r="L14" s="144"/>
    </row>
    <row r="15" spans="1:12" ht="54.75" customHeight="1" x14ac:dyDescent="0.3">
      <c r="A15" s="142">
        <v>8</v>
      </c>
      <c r="B15" s="113" t="s">
        <v>911</v>
      </c>
      <c r="C15" s="113" t="s">
        <v>913</v>
      </c>
      <c r="D15" s="113" t="s">
        <v>453</v>
      </c>
      <c r="E15" s="145"/>
      <c r="F15" s="146"/>
      <c r="G15" s="146"/>
      <c r="H15" s="146"/>
      <c r="I15" s="146"/>
      <c r="J15" s="146"/>
      <c r="K15" s="146"/>
      <c r="L15" s="146"/>
    </row>
    <row r="16" spans="1:12" ht="54.75" customHeight="1" x14ac:dyDescent="0.3">
      <c r="A16" s="142">
        <v>9</v>
      </c>
      <c r="B16" s="120" t="s">
        <v>911</v>
      </c>
      <c r="C16" s="120" t="s">
        <v>914</v>
      </c>
      <c r="D16" s="120" t="s">
        <v>453</v>
      </c>
      <c r="E16" s="147"/>
      <c r="F16" s="144"/>
      <c r="G16" s="144"/>
      <c r="H16" s="144"/>
      <c r="I16" s="144"/>
      <c r="J16" s="144"/>
      <c r="K16" s="144"/>
      <c r="L16" s="144"/>
    </row>
    <row r="17" spans="1:12" ht="54.75" customHeight="1" x14ac:dyDescent="0.3">
      <c r="A17" s="142">
        <v>10</v>
      </c>
      <c r="B17" s="92" t="s">
        <v>915</v>
      </c>
      <c r="C17" s="92" t="s">
        <v>466</v>
      </c>
      <c r="D17" s="92" t="s">
        <v>453</v>
      </c>
      <c r="E17" s="143" t="s">
        <v>422</v>
      </c>
      <c r="F17" s="146"/>
      <c r="G17" s="146"/>
      <c r="H17" s="146"/>
      <c r="I17" s="146"/>
      <c r="J17" s="146"/>
      <c r="K17" s="146"/>
      <c r="L17" s="146"/>
    </row>
    <row r="18" spans="1:12" ht="54.75" customHeight="1" x14ac:dyDescent="0.3">
      <c r="A18" s="142">
        <v>11</v>
      </c>
      <c r="B18" s="120" t="s">
        <v>915</v>
      </c>
      <c r="C18" s="120" t="s">
        <v>916</v>
      </c>
      <c r="D18" s="120" t="s">
        <v>453</v>
      </c>
      <c r="E18" s="147"/>
      <c r="F18" s="144"/>
      <c r="G18" s="144"/>
      <c r="H18" s="144"/>
      <c r="I18" s="144"/>
      <c r="J18" s="144"/>
      <c r="K18" s="144"/>
      <c r="L18" s="144"/>
    </row>
    <row r="19" spans="1:12" ht="54.75" customHeight="1" x14ac:dyDescent="0.3">
      <c r="A19" s="142">
        <v>12</v>
      </c>
      <c r="B19" s="92" t="s">
        <v>915</v>
      </c>
      <c r="C19" s="92" t="s">
        <v>917</v>
      </c>
      <c r="D19" s="92" t="s">
        <v>433</v>
      </c>
      <c r="E19" s="143" t="s">
        <v>422</v>
      </c>
      <c r="F19" s="146"/>
      <c r="G19" s="146"/>
      <c r="H19" s="146"/>
      <c r="I19" s="146"/>
      <c r="J19" s="146"/>
      <c r="K19" s="146"/>
      <c r="L19" s="146"/>
    </row>
    <row r="20" spans="1:12" ht="54.75" customHeight="1" x14ac:dyDescent="0.3">
      <c r="A20" s="142">
        <v>13</v>
      </c>
      <c r="B20" s="92" t="s">
        <v>915</v>
      </c>
      <c r="C20" s="92" t="s">
        <v>918</v>
      </c>
      <c r="D20" s="92" t="s">
        <v>433</v>
      </c>
      <c r="E20" s="143" t="s">
        <v>422</v>
      </c>
      <c r="F20" s="144"/>
      <c r="G20" s="144"/>
      <c r="H20" s="144"/>
      <c r="I20" s="144"/>
      <c r="J20" s="144"/>
      <c r="K20" s="144"/>
      <c r="L20" s="144"/>
    </row>
    <row r="21" spans="1:12" ht="54.75" customHeight="1" x14ac:dyDescent="0.3">
      <c r="A21" s="142">
        <v>14</v>
      </c>
      <c r="B21" s="92" t="s">
        <v>915</v>
      </c>
      <c r="C21" s="92" t="s">
        <v>919</v>
      </c>
      <c r="D21" s="92" t="s">
        <v>433</v>
      </c>
      <c r="E21" s="143" t="s">
        <v>422</v>
      </c>
      <c r="F21" s="146"/>
      <c r="G21" s="146"/>
      <c r="H21" s="146"/>
      <c r="I21" s="146"/>
      <c r="J21" s="146"/>
      <c r="K21" s="146"/>
      <c r="L21" s="146"/>
    </row>
    <row r="22" spans="1:12" ht="54.75" customHeight="1" x14ac:dyDescent="0.3">
      <c r="A22" s="142">
        <v>15</v>
      </c>
      <c r="B22" s="120" t="s">
        <v>920</v>
      </c>
      <c r="C22" s="120" t="s">
        <v>827</v>
      </c>
      <c r="D22" s="120" t="s">
        <v>433</v>
      </c>
      <c r="E22" s="147"/>
      <c r="F22" s="144"/>
      <c r="G22" s="144"/>
      <c r="H22" s="144"/>
      <c r="I22" s="144"/>
      <c r="J22" s="144"/>
      <c r="K22" s="144"/>
      <c r="L22" s="144"/>
    </row>
    <row r="23" spans="1:12" ht="54.75" customHeight="1" x14ac:dyDescent="0.3">
      <c r="A23" s="142">
        <v>16</v>
      </c>
      <c r="B23" s="113" t="s">
        <v>920</v>
      </c>
      <c r="C23" s="113" t="s">
        <v>828</v>
      </c>
      <c r="D23" s="113" t="s">
        <v>433</v>
      </c>
      <c r="E23" s="145"/>
      <c r="F23" s="146"/>
      <c r="G23" s="146"/>
      <c r="H23" s="146"/>
      <c r="I23" s="146"/>
      <c r="J23" s="146"/>
      <c r="K23" s="146"/>
      <c r="L23" s="146"/>
    </row>
    <row r="24" spans="1:12" ht="54.75" customHeight="1" x14ac:dyDescent="0.3">
      <c r="A24" s="142">
        <v>17</v>
      </c>
      <c r="B24" s="120" t="s">
        <v>920</v>
      </c>
      <c r="C24" s="120" t="s">
        <v>829</v>
      </c>
      <c r="D24" s="120" t="s">
        <v>433</v>
      </c>
      <c r="E24" s="147"/>
      <c r="F24" s="144"/>
      <c r="G24" s="144"/>
      <c r="H24" s="144"/>
      <c r="I24" s="144"/>
      <c r="J24" s="144"/>
      <c r="K24" s="144"/>
      <c r="L24" s="144"/>
    </row>
    <row r="25" spans="1:12" ht="54.75" customHeight="1" x14ac:dyDescent="0.3">
      <c r="A25" s="142">
        <v>18</v>
      </c>
      <c r="B25" s="92" t="s">
        <v>920</v>
      </c>
      <c r="C25" s="92" t="s">
        <v>830</v>
      </c>
      <c r="D25" s="92" t="s">
        <v>433</v>
      </c>
      <c r="E25" s="143" t="s">
        <v>422</v>
      </c>
      <c r="F25" s="146"/>
      <c r="G25" s="146"/>
      <c r="H25" s="146"/>
      <c r="I25" s="146"/>
      <c r="J25" s="146"/>
      <c r="K25" s="146"/>
      <c r="L25" s="146"/>
    </row>
    <row r="26" spans="1:12" ht="54.75" customHeight="1" x14ac:dyDescent="0.3">
      <c r="A26" s="142">
        <v>19</v>
      </c>
      <c r="B26" s="120" t="s">
        <v>920</v>
      </c>
      <c r="C26" s="120" t="s">
        <v>831</v>
      </c>
      <c r="D26" s="120" t="s">
        <v>433</v>
      </c>
      <c r="E26" s="147"/>
      <c r="F26" s="144"/>
      <c r="G26" s="144"/>
      <c r="H26" s="144"/>
      <c r="I26" s="144"/>
      <c r="J26" s="144"/>
      <c r="K26" s="144"/>
      <c r="L26" s="144"/>
    </row>
    <row r="27" spans="1:12" ht="54.75" customHeight="1" x14ac:dyDescent="0.3">
      <c r="A27" s="142">
        <v>20</v>
      </c>
      <c r="B27" s="113" t="s">
        <v>920</v>
      </c>
      <c r="C27" s="113" t="s">
        <v>832</v>
      </c>
      <c r="D27" s="113" t="s">
        <v>433</v>
      </c>
      <c r="E27" s="145"/>
      <c r="F27" s="146"/>
      <c r="G27" s="146"/>
      <c r="H27" s="146"/>
      <c r="I27" s="146"/>
      <c r="J27" s="146"/>
      <c r="K27" s="146"/>
      <c r="L27" s="146"/>
    </row>
    <row r="28" spans="1:12" ht="54.75" customHeight="1" x14ac:dyDescent="0.3">
      <c r="A28" s="142">
        <v>21</v>
      </c>
      <c r="B28" s="120" t="s">
        <v>920</v>
      </c>
      <c r="C28" s="120" t="s">
        <v>835</v>
      </c>
      <c r="D28" s="120" t="s">
        <v>834</v>
      </c>
      <c r="E28" s="147"/>
      <c r="F28" s="144"/>
      <c r="G28" s="144"/>
      <c r="H28" s="144"/>
      <c r="I28" s="144"/>
      <c r="J28" s="144"/>
      <c r="K28" s="144"/>
      <c r="L28" s="144"/>
    </row>
    <row r="29" spans="1:12" ht="54.75" customHeight="1" x14ac:dyDescent="0.3">
      <c r="A29" s="142">
        <v>22</v>
      </c>
      <c r="B29" s="92" t="s">
        <v>921</v>
      </c>
      <c r="C29" s="92" t="s">
        <v>472</v>
      </c>
      <c r="D29" s="92" t="s">
        <v>453</v>
      </c>
      <c r="E29" s="143" t="s">
        <v>422</v>
      </c>
      <c r="F29" s="146"/>
      <c r="G29" s="146"/>
      <c r="H29" s="146"/>
      <c r="I29" s="146"/>
      <c r="J29" s="146"/>
      <c r="K29" s="146"/>
      <c r="L29" s="146"/>
    </row>
    <row r="30" spans="1:12" ht="54.75" customHeight="1" x14ac:dyDescent="0.3">
      <c r="A30" s="142">
        <v>23</v>
      </c>
      <c r="B30" s="92" t="s">
        <v>921</v>
      </c>
      <c r="C30" s="92" t="s">
        <v>922</v>
      </c>
      <c r="D30" s="92" t="s">
        <v>453</v>
      </c>
      <c r="E30" s="143" t="s">
        <v>422</v>
      </c>
      <c r="F30" s="144"/>
      <c r="G30" s="144"/>
      <c r="H30" s="144"/>
      <c r="I30" s="144"/>
      <c r="J30" s="144"/>
      <c r="K30" s="144"/>
      <c r="L30" s="144"/>
    </row>
    <row r="31" spans="1:12" ht="54.75" customHeight="1" x14ac:dyDescent="0.3">
      <c r="A31" s="142">
        <v>24</v>
      </c>
      <c r="B31" s="113" t="s">
        <v>921</v>
      </c>
      <c r="C31" s="113" t="s">
        <v>923</v>
      </c>
      <c r="D31" s="113" t="s">
        <v>453</v>
      </c>
      <c r="E31" s="145"/>
      <c r="F31" s="146"/>
      <c r="G31" s="146"/>
      <c r="H31" s="146"/>
      <c r="I31" s="146"/>
      <c r="J31" s="146"/>
      <c r="K31" s="146"/>
      <c r="L31" s="146"/>
    </row>
    <row r="32" spans="1:12" ht="54.75" customHeight="1" x14ac:dyDescent="0.3">
      <c r="A32" s="142">
        <v>25</v>
      </c>
      <c r="B32" s="92" t="s">
        <v>921</v>
      </c>
      <c r="C32" s="92" t="s">
        <v>924</v>
      </c>
      <c r="D32" s="92" t="s">
        <v>453</v>
      </c>
      <c r="E32" s="143" t="s">
        <v>422</v>
      </c>
      <c r="F32" s="144"/>
      <c r="G32" s="144"/>
      <c r="H32" s="144"/>
      <c r="I32" s="144"/>
      <c r="J32" s="144"/>
      <c r="K32" s="144"/>
      <c r="L32" s="144"/>
    </row>
    <row r="33" spans="1:12" ht="54.75" customHeight="1" x14ac:dyDescent="0.3">
      <c r="A33" s="142">
        <v>26</v>
      </c>
      <c r="B33" s="113" t="s">
        <v>921</v>
      </c>
      <c r="C33" s="113" t="s">
        <v>925</v>
      </c>
      <c r="D33" s="113" t="s">
        <v>453</v>
      </c>
      <c r="E33" s="145"/>
      <c r="F33" s="146"/>
      <c r="G33" s="146"/>
      <c r="H33" s="146"/>
      <c r="I33" s="146"/>
      <c r="J33" s="146"/>
      <c r="K33" s="146"/>
      <c r="L33" s="146"/>
    </row>
    <row r="34" spans="1:12" ht="54.75" customHeight="1" x14ac:dyDescent="0.3">
      <c r="A34" s="142">
        <v>27</v>
      </c>
      <c r="B34" s="92" t="s">
        <v>926</v>
      </c>
      <c r="C34" s="92" t="s">
        <v>927</v>
      </c>
      <c r="D34" s="92" t="s">
        <v>453</v>
      </c>
      <c r="E34" s="143" t="s">
        <v>422</v>
      </c>
      <c r="F34" s="144"/>
      <c r="G34" s="144"/>
      <c r="H34" s="144"/>
      <c r="I34" s="144"/>
      <c r="J34" s="144"/>
      <c r="K34" s="144"/>
      <c r="L34" s="144"/>
    </row>
    <row r="35" spans="1:12" ht="54.75" customHeight="1" x14ac:dyDescent="0.3">
      <c r="A35" s="142">
        <v>28</v>
      </c>
      <c r="B35" s="92" t="s">
        <v>926</v>
      </c>
      <c r="C35" s="92" t="s">
        <v>928</v>
      </c>
      <c r="D35" s="92" t="s">
        <v>453</v>
      </c>
      <c r="E35" s="143" t="s">
        <v>422</v>
      </c>
      <c r="F35" s="146"/>
      <c r="G35" s="146"/>
      <c r="H35" s="146"/>
      <c r="I35" s="146"/>
      <c r="J35" s="146"/>
      <c r="K35" s="146"/>
      <c r="L35" s="146"/>
    </row>
    <row r="36" spans="1:12" ht="54.75" customHeight="1" x14ac:dyDescent="0.3">
      <c r="A36" s="142">
        <v>29</v>
      </c>
      <c r="B36" s="92" t="s">
        <v>926</v>
      </c>
      <c r="C36" s="92" t="s">
        <v>929</v>
      </c>
      <c r="D36" s="92" t="s">
        <v>453</v>
      </c>
      <c r="E36" s="143" t="s">
        <v>422</v>
      </c>
      <c r="F36" s="144"/>
      <c r="G36" s="144"/>
      <c r="H36" s="144"/>
      <c r="I36" s="144"/>
      <c r="J36" s="144"/>
      <c r="K36" s="144"/>
      <c r="L36" s="144"/>
    </row>
    <row r="37" spans="1:12" ht="54.75" customHeight="1" x14ac:dyDescent="0.3">
      <c r="A37" s="142">
        <v>30</v>
      </c>
      <c r="B37" s="113" t="s">
        <v>926</v>
      </c>
      <c r="C37" s="113" t="s">
        <v>930</v>
      </c>
      <c r="D37" s="113" t="s">
        <v>453</v>
      </c>
      <c r="E37" s="145"/>
      <c r="F37" s="146"/>
      <c r="G37" s="146"/>
      <c r="H37" s="146"/>
      <c r="I37" s="146"/>
      <c r="J37" s="146"/>
      <c r="K37" s="146"/>
      <c r="L37" s="146"/>
    </row>
    <row r="38" spans="1:12" ht="54.75" customHeight="1" x14ac:dyDescent="0.3">
      <c r="A38" s="142">
        <v>31</v>
      </c>
      <c r="B38" s="120" t="s">
        <v>926</v>
      </c>
      <c r="C38" s="120" t="s">
        <v>931</v>
      </c>
      <c r="D38" s="120" t="s">
        <v>453</v>
      </c>
      <c r="E38" s="147"/>
      <c r="F38" s="144"/>
      <c r="G38" s="144"/>
      <c r="H38" s="144"/>
      <c r="I38" s="144"/>
      <c r="J38" s="144"/>
      <c r="K38" s="144"/>
      <c r="L38" s="144"/>
    </row>
    <row r="39" spans="1:12" ht="54.75" customHeight="1" x14ac:dyDescent="0.3">
      <c r="A39" s="142">
        <v>32</v>
      </c>
      <c r="B39" s="113" t="s">
        <v>926</v>
      </c>
      <c r="C39" s="113" t="s">
        <v>932</v>
      </c>
      <c r="D39" s="113" t="s">
        <v>453</v>
      </c>
      <c r="E39" s="145"/>
      <c r="F39" s="146"/>
      <c r="G39" s="146"/>
      <c r="H39" s="146"/>
      <c r="I39" s="146"/>
      <c r="J39" s="146"/>
      <c r="K39" s="146"/>
      <c r="L39" s="146"/>
    </row>
    <row r="40" spans="1:12" ht="54.75" customHeight="1" x14ac:dyDescent="0.3">
      <c r="A40" s="142">
        <v>33</v>
      </c>
      <c r="B40" s="120" t="s">
        <v>926</v>
      </c>
      <c r="C40" s="120" t="s">
        <v>933</v>
      </c>
      <c r="D40" s="120" t="s">
        <v>453</v>
      </c>
      <c r="E40" s="147"/>
      <c r="F40" s="144"/>
      <c r="G40" s="144"/>
      <c r="H40" s="144"/>
      <c r="I40" s="144"/>
      <c r="J40" s="144"/>
      <c r="K40" s="144"/>
      <c r="L40" s="144"/>
    </row>
    <row r="41" spans="1:12" ht="54.75" customHeight="1" x14ac:dyDescent="0.3">
      <c r="A41" s="142">
        <v>34</v>
      </c>
      <c r="B41" s="113" t="s">
        <v>926</v>
      </c>
      <c r="C41" s="113" t="s">
        <v>934</v>
      </c>
      <c r="D41" s="113" t="s">
        <v>453</v>
      </c>
      <c r="E41" s="145"/>
      <c r="F41" s="146"/>
      <c r="G41" s="146"/>
      <c r="H41" s="146"/>
      <c r="I41" s="146"/>
      <c r="J41" s="146"/>
      <c r="K41" s="146"/>
      <c r="L41" s="146"/>
    </row>
    <row r="42" spans="1:12" ht="54.75" customHeight="1" x14ac:dyDescent="0.3">
      <c r="A42" s="142">
        <v>35</v>
      </c>
      <c r="B42" s="120" t="s">
        <v>926</v>
      </c>
      <c r="C42" s="120" t="s">
        <v>935</v>
      </c>
      <c r="D42" s="120" t="s">
        <v>453</v>
      </c>
      <c r="E42" s="147"/>
      <c r="F42" s="144"/>
      <c r="G42" s="144"/>
      <c r="H42" s="144"/>
      <c r="I42" s="144"/>
      <c r="J42" s="144"/>
      <c r="K42" s="144"/>
      <c r="L42" s="144"/>
    </row>
    <row r="43" spans="1:12" ht="54.75" customHeight="1" x14ac:dyDescent="0.3">
      <c r="A43" s="142">
        <v>36</v>
      </c>
      <c r="B43" s="113" t="s">
        <v>926</v>
      </c>
      <c r="C43" s="113" t="s">
        <v>936</v>
      </c>
      <c r="D43" s="113" t="s">
        <v>453</v>
      </c>
      <c r="E43" s="145"/>
      <c r="F43" s="146"/>
      <c r="G43" s="146"/>
      <c r="H43" s="146"/>
      <c r="I43" s="146"/>
      <c r="J43" s="146"/>
      <c r="K43" s="146"/>
      <c r="L43" s="146"/>
    </row>
    <row r="44" spans="1:12" ht="54.75" customHeight="1" x14ac:dyDescent="0.3">
      <c r="A44" s="142">
        <v>37</v>
      </c>
      <c r="B44" s="120" t="s">
        <v>937</v>
      </c>
      <c r="C44" s="120" t="s">
        <v>938</v>
      </c>
      <c r="D44" s="120" t="s">
        <v>453</v>
      </c>
      <c r="E44" s="147"/>
      <c r="F44" s="144"/>
      <c r="G44" s="144"/>
      <c r="H44" s="144"/>
      <c r="I44" s="144"/>
      <c r="J44" s="144"/>
      <c r="K44" s="144"/>
      <c r="L44" s="144"/>
    </row>
    <row r="45" spans="1:12" ht="54.75" customHeight="1" x14ac:dyDescent="0.3">
      <c r="A45" s="142">
        <v>38</v>
      </c>
      <c r="B45" s="113" t="s">
        <v>937</v>
      </c>
      <c r="C45" s="113" t="s">
        <v>939</v>
      </c>
      <c r="D45" s="113" t="s">
        <v>453</v>
      </c>
      <c r="E45" s="145"/>
      <c r="F45" s="146"/>
      <c r="G45" s="146"/>
      <c r="H45" s="146"/>
      <c r="I45" s="146"/>
      <c r="J45" s="146"/>
      <c r="K45" s="146"/>
      <c r="L45" s="146"/>
    </row>
    <row r="46" spans="1:12" ht="54.75" customHeight="1" x14ac:dyDescent="0.3">
      <c r="A46" s="142">
        <v>39</v>
      </c>
      <c r="B46" s="92" t="s">
        <v>940</v>
      </c>
      <c r="C46" s="92" t="s">
        <v>941</v>
      </c>
      <c r="D46" s="92" t="s">
        <v>453</v>
      </c>
      <c r="E46" s="143" t="s">
        <v>422</v>
      </c>
      <c r="F46" s="144"/>
      <c r="G46" s="144"/>
      <c r="H46" s="144"/>
      <c r="I46" s="144"/>
      <c r="J46" s="144"/>
      <c r="K46" s="144"/>
      <c r="L46" s="144"/>
    </row>
    <row r="47" spans="1:12" ht="54.75" customHeight="1" x14ac:dyDescent="0.3">
      <c r="A47" s="142">
        <v>40</v>
      </c>
      <c r="B47" s="92" t="s">
        <v>940</v>
      </c>
      <c r="C47" s="92" t="s">
        <v>942</v>
      </c>
      <c r="D47" s="92" t="s">
        <v>453</v>
      </c>
      <c r="E47" s="143" t="s">
        <v>422</v>
      </c>
      <c r="F47" s="146"/>
      <c r="G47" s="146"/>
      <c r="H47" s="146"/>
      <c r="I47" s="146"/>
      <c r="J47" s="146"/>
      <c r="K47" s="146"/>
      <c r="L47" s="146"/>
    </row>
    <row r="48" spans="1:12" ht="54.75" customHeight="1" x14ac:dyDescent="0.3">
      <c r="A48" s="142">
        <v>41</v>
      </c>
      <c r="B48" s="92" t="s">
        <v>940</v>
      </c>
      <c r="C48" s="92" t="s">
        <v>943</v>
      </c>
      <c r="D48" s="92" t="s">
        <v>453</v>
      </c>
      <c r="E48" s="143" t="s">
        <v>422</v>
      </c>
      <c r="F48" s="144"/>
      <c r="G48" s="144"/>
      <c r="H48" s="144"/>
      <c r="I48" s="144"/>
      <c r="J48" s="144"/>
      <c r="K48" s="144"/>
      <c r="L48" s="144"/>
    </row>
    <row r="49" spans="1:12" ht="54.75" customHeight="1" x14ac:dyDescent="0.3">
      <c r="A49" s="142">
        <v>42</v>
      </c>
      <c r="B49" s="113" t="s">
        <v>940</v>
      </c>
      <c r="C49" s="113" t="s">
        <v>944</v>
      </c>
      <c r="D49" s="113" t="s">
        <v>453</v>
      </c>
      <c r="E49" s="145"/>
      <c r="F49" s="146"/>
      <c r="G49" s="146"/>
      <c r="H49" s="146"/>
      <c r="I49" s="146"/>
      <c r="J49" s="146"/>
      <c r="K49" s="146"/>
      <c r="L49" s="146"/>
    </row>
    <row r="50" spans="1:12" ht="54.75" customHeight="1" x14ac:dyDescent="0.3">
      <c r="A50" s="142">
        <v>43</v>
      </c>
      <c r="B50" s="120" t="s">
        <v>940</v>
      </c>
      <c r="C50" s="120" t="s">
        <v>945</v>
      </c>
      <c r="D50" s="120" t="s">
        <v>453</v>
      </c>
      <c r="E50" s="147"/>
      <c r="F50" s="144"/>
      <c r="G50" s="144"/>
      <c r="H50" s="144"/>
      <c r="I50" s="144"/>
      <c r="J50" s="144"/>
      <c r="K50" s="144"/>
      <c r="L50" s="144"/>
    </row>
    <row r="51" spans="1:12" ht="54.75" customHeight="1" x14ac:dyDescent="0.3">
      <c r="A51" s="142">
        <v>44</v>
      </c>
      <c r="B51" s="113" t="s">
        <v>946</v>
      </c>
      <c r="C51" s="113" t="s">
        <v>947</v>
      </c>
      <c r="D51" s="113" t="s">
        <v>453</v>
      </c>
      <c r="E51" s="145"/>
      <c r="F51" s="146"/>
      <c r="G51" s="146"/>
      <c r="H51" s="146"/>
      <c r="I51" s="146"/>
      <c r="J51" s="146"/>
      <c r="K51" s="146"/>
      <c r="L51" s="146"/>
    </row>
    <row r="52" spans="1:12" ht="54.75" customHeight="1" x14ac:dyDescent="0.3">
      <c r="A52" s="142">
        <v>45</v>
      </c>
      <c r="B52" s="120" t="s">
        <v>946</v>
      </c>
      <c r="C52" s="120" t="s">
        <v>948</v>
      </c>
      <c r="D52" s="120" t="s">
        <v>453</v>
      </c>
      <c r="E52" s="147"/>
      <c r="F52" s="144"/>
      <c r="G52" s="144"/>
      <c r="H52" s="144"/>
      <c r="I52" s="144"/>
      <c r="J52" s="144"/>
      <c r="K52" s="144"/>
      <c r="L52" s="144"/>
    </row>
    <row r="53" spans="1:12" ht="54.75" customHeight="1" x14ac:dyDescent="0.3">
      <c r="A53" s="142">
        <v>46</v>
      </c>
      <c r="B53" s="113" t="s">
        <v>949</v>
      </c>
      <c r="C53" s="113" t="s">
        <v>950</v>
      </c>
      <c r="D53" s="113" t="s">
        <v>453</v>
      </c>
      <c r="E53" s="145"/>
      <c r="F53" s="146"/>
      <c r="G53" s="146"/>
      <c r="H53" s="146"/>
      <c r="I53" s="146"/>
      <c r="J53" s="146"/>
      <c r="K53" s="146"/>
      <c r="L53" s="146"/>
    </row>
    <row r="54" spans="1:12" ht="54.75" customHeight="1" x14ac:dyDescent="0.3">
      <c r="A54" s="142">
        <v>47</v>
      </c>
      <c r="B54" s="120" t="s">
        <v>951</v>
      </c>
      <c r="C54" s="120" t="s">
        <v>952</v>
      </c>
      <c r="D54" s="120" t="s">
        <v>453</v>
      </c>
      <c r="E54" s="147"/>
      <c r="F54" s="144"/>
      <c r="G54" s="144"/>
      <c r="H54" s="144"/>
      <c r="I54" s="144"/>
      <c r="J54" s="144"/>
      <c r="K54" s="144"/>
      <c r="L54" s="144"/>
    </row>
    <row r="55" spans="1:12" ht="54.75" customHeight="1" x14ac:dyDescent="0.3">
      <c r="A55" s="142">
        <v>48</v>
      </c>
      <c r="B55" s="113" t="s">
        <v>951</v>
      </c>
      <c r="C55" s="113" t="s">
        <v>953</v>
      </c>
      <c r="D55" s="113" t="s">
        <v>453</v>
      </c>
      <c r="E55" s="145"/>
      <c r="F55" s="146"/>
      <c r="G55" s="146"/>
      <c r="H55" s="146"/>
      <c r="I55" s="146"/>
      <c r="J55" s="146"/>
      <c r="K55" s="146"/>
      <c r="L55" s="146"/>
    </row>
    <row r="56" spans="1:12" ht="54.75" customHeight="1" x14ac:dyDescent="0.3">
      <c r="A56" s="142">
        <v>49</v>
      </c>
      <c r="B56" s="120" t="s">
        <v>954</v>
      </c>
      <c r="C56" s="120" t="s">
        <v>955</v>
      </c>
      <c r="D56" s="120" t="s">
        <v>592</v>
      </c>
      <c r="E56" s="147"/>
      <c r="F56" s="144"/>
      <c r="G56" s="144"/>
      <c r="H56" s="144"/>
      <c r="I56" s="144"/>
      <c r="J56" s="144"/>
      <c r="K56" s="144"/>
      <c r="L56" s="144"/>
    </row>
    <row r="57" spans="1:12" ht="54.75" customHeight="1" x14ac:dyDescent="0.3">
      <c r="A57" s="142">
        <v>50</v>
      </c>
      <c r="B57" s="92" t="s">
        <v>954</v>
      </c>
      <c r="C57" s="92" t="s">
        <v>956</v>
      </c>
      <c r="D57" s="92" t="s">
        <v>592</v>
      </c>
      <c r="E57" s="143" t="s">
        <v>422</v>
      </c>
      <c r="F57" s="146"/>
      <c r="G57" s="146"/>
      <c r="H57" s="146"/>
      <c r="I57" s="146"/>
      <c r="J57" s="146"/>
      <c r="K57" s="146"/>
      <c r="L57" s="146"/>
    </row>
    <row r="58" spans="1:12" ht="54.75" customHeight="1" x14ac:dyDescent="0.3">
      <c r="A58" s="142">
        <v>51</v>
      </c>
      <c r="B58" s="120" t="s">
        <v>954</v>
      </c>
      <c r="C58" s="120" t="s">
        <v>957</v>
      </c>
      <c r="D58" s="120" t="s">
        <v>453</v>
      </c>
      <c r="E58" s="147"/>
      <c r="F58" s="144"/>
      <c r="G58" s="144"/>
      <c r="H58" s="144"/>
      <c r="I58" s="144"/>
      <c r="J58" s="144"/>
      <c r="K58" s="144"/>
      <c r="L58" s="144"/>
    </row>
    <row r="59" spans="1:12" ht="54.75" customHeight="1" x14ac:dyDescent="0.3">
      <c r="A59" s="142">
        <v>52</v>
      </c>
      <c r="B59" s="113" t="s">
        <v>954</v>
      </c>
      <c r="C59" s="113" t="s">
        <v>958</v>
      </c>
      <c r="D59" s="113" t="s">
        <v>453</v>
      </c>
      <c r="E59" s="145"/>
      <c r="F59" s="146"/>
      <c r="G59" s="146"/>
      <c r="H59" s="146"/>
      <c r="I59" s="146"/>
      <c r="J59" s="146"/>
      <c r="K59" s="146"/>
      <c r="L59" s="146"/>
    </row>
    <row r="60" spans="1:12" ht="54.75" customHeight="1" x14ac:dyDescent="0.3">
      <c r="A60" s="142">
        <v>53</v>
      </c>
      <c r="B60" s="120" t="s">
        <v>959</v>
      </c>
      <c r="C60" s="120" t="s">
        <v>960</v>
      </c>
      <c r="D60" s="120" t="s">
        <v>453</v>
      </c>
      <c r="E60" s="147"/>
      <c r="F60" s="144"/>
      <c r="G60" s="144"/>
      <c r="H60" s="144"/>
      <c r="I60" s="144"/>
      <c r="J60" s="144"/>
      <c r="K60" s="144"/>
      <c r="L60" s="144"/>
    </row>
    <row r="61" spans="1:12" ht="54.75" customHeight="1" x14ac:dyDescent="0.3">
      <c r="A61" s="142">
        <v>54</v>
      </c>
      <c r="B61" s="113" t="s">
        <v>959</v>
      </c>
      <c r="C61" s="113" t="s">
        <v>961</v>
      </c>
      <c r="D61" s="113" t="s">
        <v>592</v>
      </c>
      <c r="E61" s="145"/>
      <c r="F61" s="146"/>
      <c r="G61" s="146"/>
      <c r="H61" s="146"/>
      <c r="I61" s="146"/>
      <c r="J61" s="146"/>
      <c r="K61" s="146"/>
      <c r="L61" s="146"/>
    </row>
    <row r="62" spans="1:12" ht="54.75" customHeight="1" x14ac:dyDescent="0.3">
      <c r="A62" s="142">
        <v>55</v>
      </c>
      <c r="B62" s="92" t="s">
        <v>959</v>
      </c>
      <c r="C62" s="92" t="s">
        <v>962</v>
      </c>
      <c r="D62" s="92" t="s">
        <v>592</v>
      </c>
      <c r="E62" s="143" t="s">
        <v>422</v>
      </c>
      <c r="F62" s="144"/>
      <c r="G62" s="144"/>
      <c r="H62" s="144"/>
      <c r="I62" s="144"/>
      <c r="J62" s="144"/>
      <c r="K62" s="144"/>
      <c r="L62" s="144"/>
    </row>
  </sheetData>
  <mergeCells count="10">
    <mergeCell ref="A5:L5"/>
    <mergeCell ref="A6:L6"/>
    <mergeCell ref="A1:L1"/>
    <mergeCell ref="A2:L2"/>
    <mergeCell ref="A3:C3"/>
    <mergeCell ref="D3:L3"/>
    <mergeCell ref="A4:B4"/>
    <mergeCell ref="C4:E4"/>
    <mergeCell ref="F4:H4"/>
    <mergeCell ref="I4:L4"/>
  </mergeCells>
  <conditionalFormatting sqref="A8:L62">
    <cfRule type="expression" dxfId="14" priority="2">
      <formula>$F8="X"</formula>
    </cfRule>
    <cfRule type="expression" dxfId="13" priority="3">
      <formula>$G8="X"</formula>
    </cfRule>
    <cfRule type="expression" dxfId="12" priority="4">
      <formula>$H8="X"</formula>
    </cfRule>
  </conditionalFormatting>
  <dataValidations count="1">
    <dataValidation type="list" allowBlank="1" sqref="F8:H62" xr:uid="{00000000-0002-0000-0700-000000000000}">
      <formula1>"X,"</formula1>
      <formula2>0</formula2>
    </dataValidation>
  </dataValidations>
  <pageMargins left="0.3" right="0.3" top="0.5" bottom="0.5"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618D"/>
    <pageSetUpPr fitToPage="1"/>
  </sheetPr>
  <dimension ref="A1:L203"/>
  <sheetViews>
    <sheetView showGridLines="0" zoomScaleNormal="100" workbookViewId="0">
      <pane ySplit="7" topLeftCell="A15" activePane="bottomLeft" state="frozen"/>
      <selection pane="bottomLeft" activeCell="C16" sqref="C16"/>
    </sheetView>
  </sheetViews>
  <sheetFormatPr baseColWidth="10" defaultColWidth="8.6640625" defaultRowHeight="14.4" x14ac:dyDescent="0.3"/>
  <cols>
    <col min="1" max="1" width="5" customWidth="1"/>
    <col min="2" max="2" width="22" customWidth="1"/>
    <col min="3" max="3" width="52" customWidth="1"/>
    <col min="4" max="4" width="24" customWidth="1"/>
    <col min="5" max="8" width="5" customWidth="1"/>
    <col min="9" max="10" width="38" customWidth="1"/>
    <col min="11" max="11" width="22" customWidth="1"/>
    <col min="12" max="12" width="16" customWidth="1"/>
  </cols>
  <sheetData>
    <row r="1" spans="1:12" ht="30" customHeight="1" x14ac:dyDescent="0.3">
      <c r="A1" s="164" t="s">
        <v>963</v>
      </c>
      <c r="B1" s="164"/>
      <c r="C1" s="164"/>
      <c r="D1" s="164"/>
      <c r="E1" s="164"/>
      <c r="F1" s="164"/>
      <c r="G1" s="164"/>
      <c r="H1" s="164"/>
      <c r="I1" s="164"/>
      <c r="J1" s="164"/>
      <c r="K1" s="164"/>
      <c r="L1" s="164"/>
    </row>
    <row r="2" spans="1:12" ht="19.5" customHeight="1" x14ac:dyDescent="0.3">
      <c r="A2" s="165" t="s">
        <v>964</v>
      </c>
      <c r="B2" s="165"/>
      <c r="C2" s="165"/>
      <c r="D2" s="165"/>
      <c r="E2" s="165"/>
      <c r="F2" s="165"/>
      <c r="G2" s="165"/>
      <c r="H2" s="165"/>
      <c r="I2" s="165"/>
      <c r="J2" s="165"/>
      <c r="K2" s="165"/>
      <c r="L2" s="165"/>
    </row>
    <row r="3" spans="1:12" ht="15" customHeight="1" x14ac:dyDescent="0.3">
      <c r="A3" s="206" t="s">
        <v>361</v>
      </c>
      <c r="B3" s="206"/>
      <c r="C3" s="206"/>
      <c r="D3" s="207"/>
      <c r="E3" s="207"/>
      <c r="F3" s="207"/>
      <c r="G3" s="207"/>
      <c r="H3" s="207"/>
      <c r="I3" s="207"/>
      <c r="J3" s="207"/>
      <c r="K3" s="207"/>
      <c r="L3" s="207"/>
    </row>
    <row r="4" spans="1:12" ht="15" customHeight="1" x14ac:dyDescent="0.3">
      <c r="A4" s="206" t="s">
        <v>362</v>
      </c>
      <c r="B4" s="206"/>
      <c r="C4" s="206"/>
      <c r="D4" s="206" t="s">
        <v>363</v>
      </c>
      <c r="E4" s="206"/>
      <c r="F4" s="206"/>
      <c r="H4" s="206" t="s">
        <v>364</v>
      </c>
      <c r="I4" s="206"/>
      <c r="J4" s="206"/>
      <c r="K4" s="206" t="s">
        <v>814</v>
      </c>
      <c r="L4" s="206"/>
    </row>
    <row r="5" spans="1:12" ht="19.5" customHeight="1" x14ac:dyDescent="0.3">
      <c r="A5" s="161" t="s">
        <v>965</v>
      </c>
      <c r="B5" s="161"/>
      <c r="C5" s="161"/>
      <c r="D5" s="161"/>
      <c r="E5" s="161"/>
      <c r="F5" s="161"/>
      <c r="G5" s="161"/>
      <c r="H5" s="161"/>
      <c r="I5" s="161"/>
      <c r="J5" s="161"/>
      <c r="K5" s="161"/>
      <c r="L5" s="161"/>
    </row>
    <row r="6" spans="1:12" ht="15.75" customHeight="1" x14ac:dyDescent="0.3">
      <c r="A6" s="210" t="s">
        <v>966</v>
      </c>
      <c r="B6" s="210"/>
      <c r="C6" s="210"/>
      <c r="D6" s="210"/>
      <c r="E6" s="210"/>
      <c r="F6" s="210"/>
      <c r="G6" s="210"/>
      <c r="H6" s="210"/>
      <c r="I6" s="210"/>
      <c r="J6" s="210"/>
      <c r="K6" s="210"/>
      <c r="L6" s="210"/>
    </row>
    <row r="7" spans="1:12" ht="30" customHeight="1" x14ac:dyDescent="0.3">
      <c r="A7" s="82" t="s">
        <v>417</v>
      </c>
      <c r="B7" s="82" t="s">
        <v>419</v>
      </c>
      <c r="C7" s="82" t="s">
        <v>816</v>
      </c>
      <c r="D7" s="82" t="s">
        <v>817</v>
      </c>
      <c r="E7" s="82" t="s">
        <v>422</v>
      </c>
      <c r="F7" s="83" t="s">
        <v>423</v>
      </c>
      <c r="G7" s="84" t="s">
        <v>424</v>
      </c>
      <c r="H7" s="85" t="s">
        <v>425</v>
      </c>
      <c r="I7" s="82" t="s">
        <v>426</v>
      </c>
      <c r="J7" s="82" t="s">
        <v>427</v>
      </c>
      <c r="K7" s="82" t="s">
        <v>428</v>
      </c>
      <c r="L7" s="82" t="s">
        <v>429</v>
      </c>
    </row>
    <row r="8" spans="1:12" ht="24.75" customHeight="1" x14ac:dyDescent="0.3">
      <c r="A8" s="217" t="s">
        <v>967</v>
      </c>
      <c r="B8" s="217"/>
      <c r="C8" s="217"/>
      <c r="D8" s="217"/>
      <c r="E8" s="217"/>
      <c r="F8" s="217"/>
      <c r="G8" s="217"/>
      <c r="H8" s="217"/>
      <c r="I8" s="217"/>
      <c r="J8" s="217"/>
      <c r="K8" s="217"/>
      <c r="L8" s="217"/>
    </row>
    <row r="9" spans="1:12" ht="21.75" customHeight="1" x14ac:dyDescent="0.3">
      <c r="A9" s="218" t="s">
        <v>968</v>
      </c>
      <c r="B9" s="218"/>
      <c r="C9" s="218"/>
      <c r="D9" s="218"/>
      <c r="E9" s="218"/>
      <c r="F9" s="218"/>
      <c r="G9" s="218"/>
      <c r="H9" s="218"/>
      <c r="I9" s="218"/>
      <c r="J9" s="218"/>
      <c r="K9" s="218"/>
      <c r="L9" s="218"/>
    </row>
    <row r="10" spans="1:12" ht="18" customHeight="1" x14ac:dyDescent="0.3">
      <c r="A10" s="214" t="s">
        <v>969</v>
      </c>
      <c r="B10" s="214"/>
      <c r="C10" s="214"/>
      <c r="D10" s="214"/>
      <c r="E10" s="214"/>
      <c r="F10" s="214"/>
      <c r="G10" s="214"/>
      <c r="H10" s="214"/>
      <c r="I10" s="214"/>
      <c r="J10" s="214"/>
      <c r="K10" s="214"/>
      <c r="L10" s="214"/>
    </row>
    <row r="11" spans="1:12" ht="48" customHeight="1" x14ac:dyDescent="0.3">
      <c r="A11" s="150">
        <v>1</v>
      </c>
      <c r="B11" s="92" t="s">
        <v>431</v>
      </c>
      <c r="C11" s="92" t="s">
        <v>970</v>
      </c>
      <c r="D11" s="92" t="s">
        <v>433</v>
      </c>
      <c r="E11" s="90" t="s">
        <v>422</v>
      </c>
      <c r="F11" s="91"/>
      <c r="G11" s="91"/>
      <c r="H11" s="91"/>
      <c r="I11" s="92"/>
      <c r="J11" s="92"/>
      <c r="K11" s="92"/>
      <c r="L11" s="92"/>
    </row>
    <row r="12" spans="1:12" ht="48" customHeight="1" x14ac:dyDescent="0.3">
      <c r="A12" s="150">
        <v>2</v>
      </c>
      <c r="B12" s="92" t="s">
        <v>431</v>
      </c>
      <c r="C12" s="92" t="s">
        <v>971</v>
      </c>
      <c r="D12" s="92" t="s">
        <v>433</v>
      </c>
      <c r="E12" s="90" t="s">
        <v>422</v>
      </c>
      <c r="F12" s="91"/>
      <c r="G12" s="91"/>
      <c r="H12" s="91"/>
      <c r="I12" s="92"/>
      <c r="J12" s="92"/>
      <c r="K12" s="92"/>
      <c r="L12" s="92"/>
    </row>
    <row r="13" spans="1:12" ht="48" customHeight="1" x14ac:dyDescent="0.3">
      <c r="A13" s="150">
        <v>3</v>
      </c>
      <c r="B13" s="92" t="s">
        <v>431</v>
      </c>
      <c r="C13" s="92" t="s">
        <v>972</v>
      </c>
      <c r="D13" s="92" t="s">
        <v>433</v>
      </c>
      <c r="E13" s="90" t="s">
        <v>422</v>
      </c>
      <c r="F13" s="91"/>
      <c r="G13" s="91"/>
      <c r="H13" s="91"/>
      <c r="I13" s="92"/>
      <c r="J13" s="92"/>
      <c r="K13" s="92"/>
      <c r="L13" s="92"/>
    </row>
    <row r="14" spans="1:12" ht="48" customHeight="1" x14ac:dyDescent="0.3">
      <c r="A14" s="151">
        <v>4</v>
      </c>
      <c r="B14" s="120" t="s">
        <v>431</v>
      </c>
      <c r="C14" s="120" t="s">
        <v>973</v>
      </c>
      <c r="D14" s="120" t="s">
        <v>433</v>
      </c>
      <c r="E14" s="118"/>
      <c r="F14" s="119"/>
      <c r="G14" s="119"/>
      <c r="H14" s="119"/>
      <c r="I14" s="120"/>
      <c r="J14" s="120"/>
      <c r="K14" s="120"/>
      <c r="L14" s="120"/>
    </row>
    <row r="15" spans="1:12" ht="48" customHeight="1" x14ac:dyDescent="0.3">
      <c r="A15" s="152">
        <v>5</v>
      </c>
      <c r="B15" s="113" t="s">
        <v>431</v>
      </c>
      <c r="C15" s="113" t="s">
        <v>974</v>
      </c>
      <c r="D15" s="113" t="s">
        <v>433</v>
      </c>
      <c r="E15" s="111"/>
      <c r="F15" s="112"/>
      <c r="G15" s="112"/>
      <c r="H15" s="112"/>
      <c r="I15" s="113"/>
      <c r="J15" s="113"/>
      <c r="K15" s="113"/>
      <c r="L15" s="113"/>
    </row>
    <row r="16" spans="1:12" ht="48" customHeight="1" x14ac:dyDescent="0.3">
      <c r="A16" s="151">
        <v>6</v>
      </c>
      <c r="B16" s="120" t="s">
        <v>431</v>
      </c>
      <c r="C16" s="120" t="s">
        <v>975</v>
      </c>
      <c r="D16" s="120" t="s">
        <v>433</v>
      </c>
      <c r="E16" s="118"/>
      <c r="F16" s="119"/>
      <c r="G16" s="119"/>
      <c r="H16" s="119"/>
      <c r="I16" s="120"/>
      <c r="J16" s="120"/>
      <c r="K16" s="120"/>
      <c r="L16" s="120"/>
    </row>
    <row r="17" spans="1:12" ht="18" customHeight="1" x14ac:dyDescent="0.3">
      <c r="A17" s="214" t="s">
        <v>976</v>
      </c>
      <c r="B17" s="214"/>
      <c r="C17" s="214"/>
      <c r="D17" s="214"/>
      <c r="E17" s="214"/>
      <c r="F17" s="214"/>
      <c r="G17" s="214"/>
      <c r="H17" s="214"/>
      <c r="I17" s="214"/>
      <c r="J17" s="214"/>
      <c r="K17" s="214"/>
      <c r="L17" s="214"/>
    </row>
    <row r="18" spans="1:12" ht="48" customHeight="1" x14ac:dyDescent="0.3">
      <c r="A18" s="150">
        <v>7</v>
      </c>
      <c r="B18" s="92" t="s">
        <v>977</v>
      </c>
      <c r="C18" s="92" t="s">
        <v>978</v>
      </c>
      <c r="D18" s="92" t="s">
        <v>433</v>
      </c>
      <c r="E18" s="90" t="s">
        <v>422</v>
      </c>
      <c r="F18" s="91"/>
      <c r="G18" s="91"/>
      <c r="H18" s="91"/>
      <c r="I18" s="92"/>
      <c r="J18" s="92"/>
      <c r="K18" s="92"/>
      <c r="L18" s="92"/>
    </row>
    <row r="19" spans="1:12" ht="18" customHeight="1" x14ac:dyDescent="0.3">
      <c r="A19" s="214" t="s">
        <v>979</v>
      </c>
      <c r="B19" s="214"/>
      <c r="C19" s="214"/>
      <c r="D19" s="214"/>
      <c r="E19" s="214"/>
      <c r="F19" s="214"/>
      <c r="G19" s="214"/>
      <c r="H19" s="214"/>
      <c r="I19" s="214"/>
      <c r="J19" s="214"/>
      <c r="K19" s="214"/>
      <c r="L19" s="214"/>
    </row>
    <row r="20" spans="1:12" ht="48" customHeight="1" x14ac:dyDescent="0.3">
      <c r="A20" s="151">
        <v>8</v>
      </c>
      <c r="B20" s="120" t="s">
        <v>980</v>
      </c>
      <c r="C20" s="120" t="s">
        <v>981</v>
      </c>
      <c r="D20" s="120" t="s">
        <v>433</v>
      </c>
      <c r="E20" s="118"/>
      <c r="F20" s="119"/>
      <c r="G20" s="119"/>
      <c r="H20" s="119"/>
      <c r="I20" s="120"/>
      <c r="J20" s="120"/>
      <c r="K20" s="120"/>
      <c r="L20" s="120"/>
    </row>
    <row r="21" spans="1:12" ht="48" customHeight="1" x14ac:dyDescent="0.3">
      <c r="A21" s="152">
        <v>9</v>
      </c>
      <c r="B21" s="113" t="s">
        <v>980</v>
      </c>
      <c r="C21" s="113" t="s">
        <v>982</v>
      </c>
      <c r="D21" s="113" t="s">
        <v>433</v>
      </c>
      <c r="E21" s="111"/>
      <c r="F21" s="112"/>
      <c r="G21" s="112"/>
      <c r="H21" s="112"/>
      <c r="I21" s="113"/>
      <c r="J21" s="113"/>
      <c r="K21" s="113"/>
      <c r="L21" s="113"/>
    </row>
    <row r="22" spans="1:12" ht="18" customHeight="1" x14ac:dyDescent="0.3">
      <c r="A22" s="214" t="s">
        <v>983</v>
      </c>
      <c r="B22" s="214"/>
      <c r="C22" s="214"/>
      <c r="D22" s="214"/>
      <c r="E22" s="214"/>
      <c r="F22" s="214"/>
      <c r="G22" s="214"/>
      <c r="H22" s="214"/>
      <c r="I22" s="214"/>
      <c r="J22" s="214"/>
      <c r="K22" s="214"/>
      <c r="L22" s="214"/>
    </row>
    <row r="23" spans="1:12" ht="48" customHeight="1" x14ac:dyDescent="0.3">
      <c r="A23" s="151">
        <v>10</v>
      </c>
      <c r="B23" s="120" t="s">
        <v>984</v>
      </c>
      <c r="C23" s="120" t="s">
        <v>985</v>
      </c>
      <c r="D23" s="120" t="s">
        <v>433</v>
      </c>
      <c r="E23" s="118"/>
      <c r="F23" s="119"/>
      <c r="G23" s="119"/>
      <c r="H23" s="119"/>
      <c r="I23" s="120"/>
      <c r="J23" s="120"/>
      <c r="K23" s="120"/>
      <c r="L23" s="120"/>
    </row>
    <row r="24" spans="1:12" ht="18" customHeight="1" x14ac:dyDescent="0.3">
      <c r="A24" s="214" t="s">
        <v>986</v>
      </c>
      <c r="B24" s="214"/>
      <c r="C24" s="214"/>
      <c r="D24" s="214"/>
      <c r="E24" s="214"/>
      <c r="F24" s="214"/>
      <c r="G24" s="214"/>
      <c r="H24" s="214"/>
      <c r="I24" s="214"/>
      <c r="J24" s="214"/>
      <c r="K24" s="214"/>
      <c r="L24" s="214"/>
    </row>
    <row r="25" spans="1:12" ht="48" customHeight="1" x14ac:dyDescent="0.3">
      <c r="A25" s="152">
        <v>11</v>
      </c>
      <c r="B25" s="113" t="s">
        <v>987</v>
      </c>
      <c r="C25" s="113" t="s">
        <v>988</v>
      </c>
      <c r="D25" s="113" t="s">
        <v>433</v>
      </c>
      <c r="E25" s="111"/>
      <c r="F25" s="112"/>
      <c r="G25" s="112"/>
      <c r="H25" s="112"/>
      <c r="I25" s="113"/>
      <c r="J25" s="113"/>
      <c r="K25" s="113"/>
      <c r="L25" s="113"/>
    </row>
    <row r="26" spans="1:12" ht="21.75" customHeight="1" x14ac:dyDescent="0.3">
      <c r="A26" s="218" t="s">
        <v>989</v>
      </c>
      <c r="B26" s="218"/>
      <c r="C26" s="218"/>
      <c r="D26" s="218"/>
      <c r="E26" s="218"/>
      <c r="F26" s="218"/>
      <c r="G26" s="218"/>
      <c r="H26" s="218"/>
      <c r="I26" s="218"/>
      <c r="J26" s="218"/>
      <c r="K26" s="218"/>
      <c r="L26" s="218"/>
    </row>
    <row r="27" spans="1:12" ht="18" customHeight="1" x14ac:dyDescent="0.3">
      <c r="A27" s="214" t="s">
        <v>969</v>
      </c>
      <c r="B27" s="214"/>
      <c r="C27" s="214"/>
      <c r="D27" s="214"/>
      <c r="E27" s="214"/>
      <c r="F27" s="214"/>
      <c r="G27" s="214"/>
      <c r="H27" s="214"/>
      <c r="I27" s="214"/>
      <c r="J27" s="214"/>
      <c r="K27" s="214"/>
      <c r="L27" s="214"/>
    </row>
    <row r="28" spans="1:12" ht="48" customHeight="1" x14ac:dyDescent="0.3">
      <c r="A28" s="151">
        <v>12</v>
      </c>
      <c r="B28" s="120" t="s">
        <v>756</v>
      </c>
      <c r="C28" s="120" t="s">
        <v>990</v>
      </c>
      <c r="D28" s="120" t="s">
        <v>592</v>
      </c>
      <c r="E28" s="118"/>
      <c r="F28" s="119"/>
      <c r="G28" s="119"/>
      <c r="H28" s="119"/>
      <c r="I28" s="120"/>
      <c r="J28" s="120"/>
      <c r="K28" s="120"/>
      <c r="L28" s="120"/>
    </row>
    <row r="29" spans="1:12" ht="48" customHeight="1" x14ac:dyDescent="0.3">
      <c r="A29" s="150">
        <v>13</v>
      </c>
      <c r="B29" s="92" t="s">
        <v>756</v>
      </c>
      <c r="C29" s="92" t="s">
        <v>991</v>
      </c>
      <c r="D29" s="92" t="s">
        <v>453</v>
      </c>
      <c r="E29" s="90" t="s">
        <v>422</v>
      </c>
      <c r="F29" s="91"/>
      <c r="G29" s="91"/>
      <c r="H29" s="91"/>
      <c r="I29" s="92"/>
      <c r="J29" s="92"/>
      <c r="K29" s="92"/>
      <c r="L29" s="92"/>
    </row>
    <row r="30" spans="1:12" ht="48" customHeight="1" x14ac:dyDescent="0.3">
      <c r="A30" s="150">
        <v>14</v>
      </c>
      <c r="B30" s="92" t="s">
        <v>756</v>
      </c>
      <c r="C30" s="92" t="s">
        <v>992</v>
      </c>
      <c r="D30" s="92" t="s">
        <v>453</v>
      </c>
      <c r="E30" s="90" t="s">
        <v>422</v>
      </c>
      <c r="F30" s="91"/>
      <c r="G30" s="91"/>
      <c r="H30" s="91"/>
      <c r="I30" s="92"/>
      <c r="J30" s="92"/>
      <c r="K30" s="92"/>
      <c r="L30" s="92"/>
    </row>
    <row r="31" spans="1:12" ht="48" customHeight="1" x14ac:dyDescent="0.3">
      <c r="A31" s="150">
        <v>15</v>
      </c>
      <c r="B31" s="92" t="s">
        <v>756</v>
      </c>
      <c r="C31" s="92" t="s">
        <v>993</v>
      </c>
      <c r="D31" s="92" t="s">
        <v>453</v>
      </c>
      <c r="E31" s="90" t="s">
        <v>422</v>
      </c>
      <c r="F31" s="91"/>
      <c r="G31" s="91"/>
      <c r="H31" s="91"/>
      <c r="I31" s="92"/>
      <c r="J31" s="92"/>
      <c r="K31" s="92"/>
      <c r="L31" s="92"/>
    </row>
    <row r="32" spans="1:12" ht="48" customHeight="1" x14ac:dyDescent="0.3">
      <c r="A32" s="151">
        <v>16</v>
      </c>
      <c r="B32" s="120" t="s">
        <v>756</v>
      </c>
      <c r="C32" s="120" t="s">
        <v>994</v>
      </c>
      <c r="D32" s="120" t="s">
        <v>453</v>
      </c>
      <c r="E32" s="118"/>
      <c r="F32" s="119"/>
      <c r="G32" s="119"/>
      <c r="H32" s="119"/>
      <c r="I32" s="120"/>
      <c r="J32" s="120"/>
      <c r="K32" s="120"/>
      <c r="L32" s="120"/>
    </row>
    <row r="33" spans="1:12" ht="48" customHeight="1" x14ac:dyDescent="0.3">
      <c r="A33" s="152">
        <v>17</v>
      </c>
      <c r="B33" s="113" t="s">
        <v>756</v>
      </c>
      <c r="C33" s="113" t="s">
        <v>995</v>
      </c>
      <c r="D33" s="113" t="s">
        <v>453</v>
      </c>
      <c r="E33" s="111"/>
      <c r="F33" s="112"/>
      <c r="G33" s="112"/>
      <c r="H33" s="112"/>
      <c r="I33" s="113"/>
      <c r="J33" s="113"/>
      <c r="K33" s="113"/>
      <c r="L33" s="113"/>
    </row>
    <row r="34" spans="1:12" ht="48" customHeight="1" x14ac:dyDescent="0.3">
      <c r="A34" s="151">
        <v>18</v>
      </c>
      <c r="B34" s="120" t="s">
        <v>756</v>
      </c>
      <c r="C34" s="120" t="s">
        <v>996</v>
      </c>
      <c r="D34" s="120" t="s">
        <v>453</v>
      </c>
      <c r="E34" s="118"/>
      <c r="F34" s="119"/>
      <c r="G34" s="119"/>
      <c r="H34" s="119"/>
      <c r="I34" s="120"/>
      <c r="J34" s="120"/>
      <c r="K34" s="120"/>
      <c r="L34" s="120"/>
    </row>
    <row r="35" spans="1:12" ht="48" customHeight="1" x14ac:dyDescent="0.3">
      <c r="A35" s="152">
        <v>19</v>
      </c>
      <c r="B35" s="113" t="s">
        <v>756</v>
      </c>
      <c r="C35" s="113" t="s">
        <v>997</v>
      </c>
      <c r="D35" s="113" t="s">
        <v>453</v>
      </c>
      <c r="E35" s="111"/>
      <c r="F35" s="112"/>
      <c r="G35" s="112"/>
      <c r="H35" s="112"/>
      <c r="I35" s="113"/>
      <c r="J35" s="113"/>
      <c r="K35" s="113"/>
      <c r="L35" s="113"/>
    </row>
    <row r="36" spans="1:12" ht="48" customHeight="1" x14ac:dyDescent="0.3">
      <c r="A36" s="151">
        <v>20</v>
      </c>
      <c r="B36" s="120" t="s">
        <v>756</v>
      </c>
      <c r="C36" s="120" t="s">
        <v>998</v>
      </c>
      <c r="D36" s="120" t="s">
        <v>453</v>
      </c>
      <c r="E36" s="118"/>
      <c r="F36" s="119"/>
      <c r="G36" s="119"/>
      <c r="H36" s="119"/>
      <c r="I36" s="120"/>
      <c r="J36" s="120"/>
      <c r="K36" s="120"/>
      <c r="L36" s="120"/>
    </row>
    <row r="37" spans="1:12" ht="48" customHeight="1" x14ac:dyDescent="0.3">
      <c r="A37" s="152">
        <v>21</v>
      </c>
      <c r="B37" s="113" t="s">
        <v>756</v>
      </c>
      <c r="C37" s="113" t="s">
        <v>999</v>
      </c>
      <c r="D37" s="113" t="s">
        <v>453</v>
      </c>
      <c r="E37" s="111"/>
      <c r="F37" s="112"/>
      <c r="G37" s="112"/>
      <c r="H37" s="112"/>
      <c r="I37" s="113"/>
      <c r="J37" s="113"/>
      <c r="K37" s="113"/>
      <c r="L37" s="113"/>
    </row>
    <row r="38" spans="1:12" ht="48" customHeight="1" x14ac:dyDescent="0.3">
      <c r="A38" s="151">
        <v>22</v>
      </c>
      <c r="B38" s="120" t="s">
        <v>756</v>
      </c>
      <c r="C38" s="120" t="s">
        <v>1000</v>
      </c>
      <c r="D38" s="120" t="s">
        <v>453</v>
      </c>
      <c r="E38" s="118"/>
      <c r="F38" s="119"/>
      <c r="G38" s="119"/>
      <c r="H38" s="119"/>
      <c r="I38" s="120"/>
      <c r="J38" s="120"/>
      <c r="K38" s="120"/>
      <c r="L38" s="120"/>
    </row>
    <row r="39" spans="1:12" ht="48" customHeight="1" x14ac:dyDescent="0.3">
      <c r="A39" s="152">
        <v>23</v>
      </c>
      <c r="B39" s="113" t="s">
        <v>756</v>
      </c>
      <c r="C39" s="113" t="s">
        <v>1001</v>
      </c>
      <c r="D39" s="113" t="s">
        <v>453</v>
      </c>
      <c r="E39" s="111"/>
      <c r="F39" s="112"/>
      <c r="G39" s="112"/>
      <c r="H39" s="112"/>
      <c r="I39" s="113"/>
      <c r="J39" s="113"/>
      <c r="K39" s="113"/>
      <c r="L39" s="113"/>
    </row>
    <row r="40" spans="1:12" ht="48" customHeight="1" x14ac:dyDescent="0.3">
      <c r="A40" s="151">
        <v>24</v>
      </c>
      <c r="B40" s="120" t="s">
        <v>756</v>
      </c>
      <c r="C40" s="120" t="s">
        <v>1002</v>
      </c>
      <c r="D40" s="120" t="s">
        <v>453</v>
      </c>
      <c r="E40" s="118"/>
      <c r="F40" s="119"/>
      <c r="G40" s="119"/>
      <c r="H40" s="119"/>
      <c r="I40" s="120"/>
      <c r="J40" s="120"/>
      <c r="K40" s="120"/>
      <c r="L40" s="120"/>
    </row>
    <row r="41" spans="1:12" ht="18" customHeight="1" x14ac:dyDescent="0.3">
      <c r="A41" s="214" t="s">
        <v>1003</v>
      </c>
      <c r="B41" s="214"/>
      <c r="C41" s="214"/>
      <c r="D41" s="214"/>
      <c r="E41" s="214"/>
      <c r="F41" s="214"/>
      <c r="G41" s="214"/>
      <c r="H41" s="214"/>
      <c r="I41" s="214"/>
      <c r="J41" s="214"/>
      <c r="K41" s="214"/>
      <c r="L41" s="214"/>
    </row>
    <row r="42" spans="1:12" ht="48" customHeight="1" x14ac:dyDescent="0.3">
      <c r="A42" s="152">
        <v>25</v>
      </c>
      <c r="B42" s="113" t="s">
        <v>1004</v>
      </c>
      <c r="C42" s="113" t="s">
        <v>1005</v>
      </c>
      <c r="D42" s="113" t="s">
        <v>453</v>
      </c>
      <c r="E42" s="111"/>
      <c r="F42" s="112"/>
      <c r="G42" s="112"/>
      <c r="H42" s="112"/>
      <c r="I42" s="113"/>
      <c r="J42" s="113"/>
      <c r="K42" s="113"/>
      <c r="L42" s="113"/>
    </row>
    <row r="43" spans="1:12" ht="18" customHeight="1" x14ac:dyDescent="0.3">
      <c r="A43" s="214" t="s">
        <v>976</v>
      </c>
      <c r="B43" s="214"/>
      <c r="C43" s="214"/>
      <c r="D43" s="214"/>
      <c r="E43" s="214"/>
      <c r="F43" s="214"/>
      <c r="G43" s="214"/>
      <c r="H43" s="214"/>
      <c r="I43" s="214"/>
      <c r="J43" s="214"/>
      <c r="K43" s="214"/>
      <c r="L43" s="214"/>
    </row>
    <row r="44" spans="1:12" ht="48" customHeight="1" x14ac:dyDescent="0.3">
      <c r="A44" s="151">
        <v>26</v>
      </c>
      <c r="B44" s="120" t="s">
        <v>1006</v>
      </c>
      <c r="C44" s="120" t="s">
        <v>1007</v>
      </c>
      <c r="D44" s="120" t="s">
        <v>592</v>
      </c>
      <c r="E44" s="118"/>
      <c r="F44" s="119"/>
      <c r="G44" s="119"/>
      <c r="H44" s="119"/>
      <c r="I44" s="120"/>
      <c r="J44" s="120"/>
      <c r="K44" s="120"/>
      <c r="L44" s="120"/>
    </row>
    <row r="45" spans="1:12" ht="18" customHeight="1" x14ac:dyDescent="0.3">
      <c r="A45" s="214" t="s">
        <v>979</v>
      </c>
      <c r="B45" s="214"/>
      <c r="C45" s="214"/>
      <c r="D45" s="214"/>
      <c r="E45" s="214"/>
      <c r="F45" s="214"/>
      <c r="G45" s="214"/>
      <c r="H45" s="214"/>
      <c r="I45" s="214"/>
      <c r="J45" s="214"/>
      <c r="K45" s="214"/>
      <c r="L45" s="214"/>
    </row>
    <row r="46" spans="1:12" ht="48" customHeight="1" x14ac:dyDescent="0.3">
      <c r="A46" s="152">
        <v>27</v>
      </c>
      <c r="B46" s="113" t="s">
        <v>1008</v>
      </c>
      <c r="C46" s="113" t="s">
        <v>1009</v>
      </c>
      <c r="D46" s="113" t="s">
        <v>592</v>
      </c>
      <c r="E46" s="111"/>
      <c r="F46" s="112"/>
      <c r="G46" s="112"/>
      <c r="H46" s="112"/>
      <c r="I46" s="113"/>
      <c r="J46" s="113"/>
      <c r="K46" s="113"/>
      <c r="L46" s="113"/>
    </row>
    <row r="47" spans="1:12" ht="18" customHeight="1" x14ac:dyDescent="0.3">
      <c r="A47" s="214" t="s">
        <v>983</v>
      </c>
      <c r="B47" s="214"/>
      <c r="C47" s="214"/>
      <c r="D47" s="214"/>
      <c r="E47" s="214"/>
      <c r="F47" s="214"/>
      <c r="G47" s="214"/>
      <c r="H47" s="214"/>
      <c r="I47" s="214"/>
      <c r="J47" s="214"/>
      <c r="K47" s="214"/>
      <c r="L47" s="214"/>
    </row>
    <row r="48" spans="1:12" ht="48" customHeight="1" x14ac:dyDescent="0.3">
      <c r="A48" s="151">
        <v>28</v>
      </c>
      <c r="B48" s="120" t="s">
        <v>1010</v>
      </c>
      <c r="C48" s="120" t="s">
        <v>1007</v>
      </c>
      <c r="D48" s="120" t="s">
        <v>453</v>
      </c>
      <c r="E48" s="118"/>
      <c r="F48" s="119"/>
      <c r="G48" s="119"/>
      <c r="H48" s="119"/>
      <c r="I48" s="120"/>
      <c r="J48" s="120"/>
      <c r="K48" s="120"/>
      <c r="L48" s="120"/>
    </row>
    <row r="49" spans="1:12" ht="18" customHeight="1" x14ac:dyDescent="0.3">
      <c r="A49" s="214" t="s">
        <v>986</v>
      </c>
      <c r="B49" s="214"/>
      <c r="C49" s="214"/>
      <c r="D49" s="214"/>
      <c r="E49" s="214"/>
      <c r="F49" s="214"/>
      <c r="G49" s="214"/>
      <c r="H49" s="214"/>
      <c r="I49" s="214"/>
      <c r="J49" s="214"/>
      <c r="K49" s="214"/>
      <c r="L49" s="214"/>
    </row>
    <row r="50" spans="1:12" ht="48" customHeight="1" x14ac:dyDescent="0.3">
      <c r="A50" s="152">
        <v>29</v>
      </c>
      <c r="B50" s="113" t="s">
        <v>1011</v>
      </c>
      <c r="C50" s="113" t="s">
        <v>1007</v>
      </c>
      <c r="D50" s="113" t="s">
        <v>453</v>
      </c>
      <c r="E50" s="111"/>
      <c r="F50" s="112"/>
      <c r="G50" s="112"/>
      <c r="H50" s="112"/>
      <c r="I50" s="113"/>
      <c r="J50" s="113"/>
      <c r="K50" s="113"/>
      <c r="L50" s="113"/>
    </row>
    <row r="51" spans="1:12" ht="21.75" customHeight="1" x14ac:dyDescent="0.3">
      <c r="A51" s="218" t="s">
        <v>1012</v>
      </c>
      <c r="B51" s="218"/>
      <c r="C51" s="218"/>
      <c r="D51" s="218"/>
      <c r="E51" s="218"/>
      <c r="F51" s="218"/>
      <c r="G51" s="218"/>
      <c r="H51" s="218"/>
      <c r="I51" s="218"/>
      <c r="J51" s="218"/>
      <c r="K51" s="218"/>
      <c r="L51" s="218"/>
    </row>
    <row r="52" spans="1:12" ht="18" customHeight="1" x14ac:dyDescent="0.3">
      <c r="A52" s="214" t="s">
        <v>1013</v>
      </c>
      <c r="B52" s="214"/>
      <c r="C52" s="214"/>
      <c r="D52" s="214"/>
      <c r="E52" s="214"/>
      <c r="F52" s="214"/>
      <c r="G52" s="214"/>
      <c r="H52" s="214"/>
      <c r="I52" s="214"/>
      <c r="J52" s="214"/>
      <c r="K52" s="214"/>
      <c r="L52" s="214"/>
    </row>
    <row r="53" spans="1:12" ht="48" customHeight="1" x14ac:dyDescent="0.3">
      <c r="A53" s="150">
        <v>30</v>
      </c>
      <c r="B53" s="92" t="s">
        <v>1014</v>
      </c>
      <c r="C53" s="92" t="s">
        <v>1015</v>
      </c>
      <c r="D53" s="92" t="s">
        <v>453</v>
      </c>
      <c r="E53" s="90" t="s">
        <v>422</v>
      </c>
      <c r="F53" s="91"/>
      <c r="G53" s="91"/>
      <c r="H53" s="91"/>
      <c r="I53" s="92"/>
      <c r="J53" s="92"/>
      <c r="K53" s="92"/>
      <c r="L53" s="92"/>
    </row>
    <row r="54" spans="1:12" ht="48" customHeight="1" x14ac:dyDescent="0.3">
      <c r="A54" s="152">
        <v>31</v>
      </c>
      <c r="B54" s="113" t="s">
        <v>1014</v>
      </c>
      <c r="C54" s="113" t="s">
        <v>1016</v>
      </c>
      <c r="D54" s="113" t="s">
        <v>453</v>
      </c>
      <c r="E54" s="111"/>
      <c r="F54" s="112"/>
      <c r="G54" s="112"/>
      <c r="H54" s="112"/>
      <c r="I54" s="113"/>
      <c r="J54" s="113"/>
      <c r="K54" s="113"/>
      <c r="L54" s="113"/>
    </row>
    <row r="55" spans="1:12" ht="48" customHeight="1" x14ac:dyDescent="0.3">
      <c r="A55" s="150">
        <v>32</v>
      </c>
      <c r="B55" s="92" t="s">
        <v>1014</v>
      </c>
      <c r="C55" s="92" t="s">
        <v>1017</v>
      </c>
      <c r="D55" s="92" t="s">
        <v>453</v>
      </c>
      <c r="E55" s="90" t="s">
        <v>422</v>
      </c>
      <c r="F55" s="91"/>
      <c r="G55" s="91"/>
      <c r="H55" s="91"/>
      <c r="I55" s="92"/>
      <c r="J55" s="92"/>
      <c r="K55" s="92"/>
      <c r="L55" s="92"/>
    </row>
    <row r="56" spans="1:12" ht="48" customHeight="1" x14ac:dyDescent="0.3">
      <c r="A56" s="150">
        <v>33</v>
      </c>
      <c r="B56" s="92" t="s">
        <v>1014</v>
      </c>
      <c r="C56" s="92" t="s">
        <v>1018</v>
      </c>
      <c r="D56" s="92" t="s">
        <v>453</v>
      </c>
      <c r="E56" s="90" t="s">
        <v>422</v>
      </c>
      <c r="F56" s="91"/>
      <c r="G56" s="91"/>
      <c r="H56" s="91"/>
      <c r="I56" s="92"/>
      <c r="J56" s="92"/>
      <c r="K56" s="92"/>
      <c r="L56" s="92"/>
    </row>
    <row r="57" spans="1:12" ht="48" customHeight="1" x14ac:dyDescent="0.3">
      <c r="A57" s="151">
        <v>34</v>
      </c>
      <c r="B57" s="120" t="s">
        <v>1014</v>
      </c>
      <c r="C57" s="120" t="s">
        <v>261</v>
      </c>
      <c r="D57" s="120" t="s">
        <v>453</v>
      </c>
      <c r="E57" s="118"/>
      <c r="F57" s="119"/>
      <c r="G57" s="119"/>
      <c r="H57" s="119"/>
      <c r="I57" s="120"/>
      <c r="J57" s="120"/>
      <c r="K57" s="120"/>
      <c r="L57" s="120"/>
    </row>
    <row r="58" spans="1:12" ht="48" customHeight="1" x14ac:dyDescent="0.3">
      <c r="A58" s="152">
        <v>35</v>
      </c>
      <c r="B58" s="113" t="s">
        <v>1014</v>
      </c>
      <c r="C58" s="113" t="s">
        <v>1019</v>
      </c>
      <c r="D58" s="113" t="s">
        <v>453</v>
      </c>
      <c r="E58" s="111"/>
      <c r="F58" s="112"/>
      <c r="G58" s="112"/>
      <c r="H58" s="112"/>
      <c r="I58" s="113"/>
      <c r="J58" s="113"/>
      <c r="K58" s="113"/>
      <c r="L58" s="113"/>
    </row>
    <row r="59" spans="1:12" ht="48" customHeight="1" x14ac:dyDescent="0.3">
      <c r="A59" s="151">
        <v>36</v>
      </c>
      <c r="B59" s="120" t="s">
        <v>1014</v>
      </c>
      <c r="C59" s="120" t="s">
        <v>1020</v>
      </c>
      <c r="D59" s="120" t="s">
        <v>453</v>
      </c>
      <c r="E59" s="118"/>
      <c r="F59" s="119"/>
      <c r="G59" s="119"/>
      <c r="H59" s="119"/>
      <c r="I59" s="120"/>
      <c r="J59" s="120"/>
      <c r="K59" s="120"/>
      <c r="L59" s="120"/>
    </row>
    <row r="60" spans="1:12" ht="48" customHeight="1" x14ac:dyDescent="0.3">
      <c r="A60" s="152">
        <v>37</v>
      </c>
      <c r="B60" s="113" t="s">
        <v>1014</v>
      </c>
      <c r="C60" s="113" t="s">
        <v>1021</v>
      </c>
      <c r="D60" s="113" t="s">
        <v>453</v>
      </c>
      <c r="E60" s="111"/>
      <c r="F60" s="112"/>
      <c r="G60" s="112"/>
      <c r="H60" s="112"/>
      <c r="I60" s="113"/>
      <c r="J60" s="113"/>
      <c r="K60" s="113"/>
      <c r="L60" s="113"/>
    </row>
    <row r="61" spans="1:12" ht="48" customHeight="1" x14ac:dyDescent="0.3">
      <c r="A61" s="151">
        <v>38</v>
      </c>
      <c r="B61" s="120" t="s">
        <v>1014</v>
      </c>
      <c r="C61" s="120" t="s">
        <v>1022</v>
      </c>
      <c r="D61" s="120" t="s">
        <v>453</v>
      </c>
      <c r="E61" s="118"/>
      <c r="F61" s="119"/>
      <c r="G61" s="119"/>
      <c r="H61" s="119"/>
      <c r="I61" s="120"/>
      <c r="J61" s="120"/>
      <c r="K61" s="120"/>
      <c r="L61" s="120"/>
    </row>
    <row r="62" spans="1:12" ht="48" customHeight="1" x14ac:dyDescent="0.3">
      <c r="A62" s="152">
        <v>39</v>
      </c>
      <c r="B62" s="113" t="s">
        <v>1014</v>
      </c>
      <c r="C62" s="113" t="s">
        <v>1023</v>
      </c>
      <c r="D62" s="113" t="s">
        <v>453</v>
      </c>
      <c r="E62" s="111"/>
      <c r="F62" s="112"/>
      <c r="G62" s="112"/>
      <c r="H62" s="112"/>
      <c r="I62" s="113"/>
      <c r="J62" s="113"/>
      <c r="K62" s="113"/>
      <c r="L62" s="113"/>
    </row>
    <row r="63" spans="1:12" ht="48" customHeight="1" x14ac:dyDescent="0.3">
      <c r="A63" s="151">
        <v>40</v>
      </c>
      <c r="B63" s="120" t="s">
        <v>1014</v>
      </c>
      <c r="C63" s="120" t="s">
        <v>1024</v>
      </c>
      <c r="D63" s="120" t="s">
        <v>453</v>
      </c>
      <c r="E63" s="118"/>
      <c r="F63" s="119"/>
      <c r="G63" s="119"/>
      <c r="H63" s="119"/>
      <c r="I63" s="120"/>
      <c r="J63" s="120"/>
      <c r="K63" s="120"/>
      <c r="L63" s="120"/>
    </row>
    <row r="64" spans="1:12" ht="48" customHeight="1" x14ac:dyDescent="0.3">
      <c r="A64" s="152">
        <v>41</v>
      </c>
      <c r="B64" s="113" t="s">
        <v>1014</v>
      </c>
      <c r="C64" s="113" t="s">
        <v>1025</v>
      </c>
      <c r="D64" s="113" t="s">
        <v>453</v>
      </c>
      <c r="E64" s="111"/>
      <c r="F64" s="112"/>
      <c r="G64" s="112"/>
      <c r="H64" s="112"/>
      <c r="I64" s="113"/>
      <c r="J64" s="113"/>
      <c r="K64" s="113"/>
      <c r="L64" s="113"/>
    </row>
    <row r="65" spans="1:12" ht="48" customHeight="1" x14ac:dyDescent="0.3">
      <c r="A65" s="151">
        <v>42</v>
      </c>
      <c r="B65" s="120" t="s">
        <v>1014</v>
      </c>
      <c r="C65" s="120" t="s">
        <v>1026</v>
      </c>
      <c r="D65" s="120" t="s">
        <v>453</v>
      </c>
      <c r="E65" s="118"/>
      <c r="F65" s="119"/>
      <c r="G65" s="119"/>
      <c r="H65" s="119"/>
      <c r="I65" s="120"/>
      <c r="J65" s="120"/>
      <c r="K65" s="120"/>
      <c r="L65" s="120"/>
    </row>
    <row r="66" spans="1:12" ht="48" customHeight="1" x14ac:dyDescent="0.3">
      <c r="A66" s="152">
        <v>43</v>
      </c>
      <c r="B66" s="113" t="s">
        <v>1014</v>
      </c>
      <c r="C66" s="113" t="s">
        <v>1027</v>
      </c>
      <c r="D66" s="113" t="s">
        <v>453</v>
      </c>
      <c r="E66" s="111"/>
      <c r="F66" s="112"/>
      <c r="G66" s="112"/>
      <c r="H66" s="112"/>
      <c r="I66" s="113"/>
      <c r="J66" s="113"/>
      <c r="K66" s="113"/>
      <c r="L66" s="113"/>
    </row>
    <row r="67" spans="1:12" ht="48" customHeight="1" x14ac:dyDescent="0.3">
      <c r="A67" s="150">
        <v>44</v>
      </c>
      <c r="B67" s="92" t="s">
        <v>1028</v>
      </c>
      <c r="C67" s="92" t="s">
        <v>1029</v>
      </c>
      <c r="D67" s="92" t="s">
        <v>453</v>
      </c>
      <c r="E67" s="90" t="s">
        <v>422</v>
      </c>
      <c r="F67" s="91"/>
      <c r="G67" s="91"/>
      <c r="H67" s="91"/>
      <c r="I67" s="92"/>
      <c r="J67" s="92"/>
      <c r="K67" s="92"/>
      <c r="L67" s="92"/>
    </row>
    <row r="68" spans="1:12" ht="48" customHeight="1" x14ac:dyDescent="0.3">
      <c r="A68" s="152">
        <v>45</v>
      </c>
      <c r="B68" s="113" t="s">
        <v>1028</v>
      </c>
      <c r="C68" s="113" t="s">
        <v>1030</v>
      </c>
      <c r="D68" s="113" t="s">
        <v>453</v>
      </c>
      <c r="E68" s="111"/>
      <c r="F68" s="112"/>
      <c r="G68" s="112"/>
      <c r="H68" s="112"/>
      <c r="I68" s="113"/>
      <c r="J68" s="113"/>
      <c r="K68" s="113"/>
      <c r="L68" s="113"/>
    </row>
    <row r="69" spans="1:12" ht="48" customHeight="1" x14ac:dyDescent="0.3">
      <c r="A69" s="151">
        <v>46</v>
      </c>
      <c r="B69" s="120" t="s">
        <v>1028</v>
      </c>
      <c r="C69" s="120" t="s">
        <v>1031</v>
      </c>
      <c r="D69" s="120" t="s">
        <v>453</v>
      </c>
      <c r="E69" s="118"/>
      <c r="F69" s="119"/>
      <c r="G69" s="119"/>
      <c r="H69" s="119"/>
      <c r="I69" s="120"/>
      <c r="J69" s="120"/>
      <c r="K69" s="120"/>
      <c r="L69" s="120"/>
    </row>
    <row r="70" spans="1:12" ht="48" customHeight="1" x14ac:dyDescent="0.3">
      <c r="A70" s="152">
        <v>47</v>
      </c>
      <c r="B70" s="113" t="s">
        <v>1028</v>
      </c>
      <c r="C70" s="113" t="s">
        <v>1032</v>
      </c>
      <c r="D70" s="113" t="s">
        <v>453</v>
      </c>
      <c r="E70" s="111"/>
      <c r="F70" s="112"/>
      <c r="G70" s="112"/>
      <c r="H70" s="112"/>
      <c r="I70" s="113"/>
      <c r="J70" s="113"/>
      <c r="K70" s="113"/>
      <c r="L70" s="113"/>
    </row>
    <row r="71" spans="1:12" ht="48" customHeight="1" x14ac:dyDescent="0.3">
      <c r="A71" s="151">
        <v>48</v>
      </c>
      <c r="B71" s="120" t="s">
        <v>1028</v>
      </c>
      <c r="C71" s="120" t="s">
        <v>1033</v>
      </c>
      <c r="D71" s="120" t="s">
        <v>453</v>
      </c>
      <c r="E71" s="118"/>
      <c r="F71" s="119"/>
      <c r="G71" s="119"/>
      <c r="H71" s="119"/>
      <c r="I71" s="120"/>
      <c r="J71" s="120"/>
      <c r="K71" s="120"/>
      <c r="L71" s="120"/>
    </row>
    <row r="72" spans="1:12" ht="48" customHeight="1" x14ac:dyDescent="0.3">
      <c r="A72" s="152">
        <v>49</v>
      </c>
      <c r="B72" s="113" t="s">
        <v>1028</v>
      </c>
      <c r="C72" s="113" t="s">
        <v>1034</v>
      </c>
      <c r="D72" s="113" t="s">
        <v>453</v>
      </c>
      <c r="E72" s="111"/>
      <c r="F72" s="112"/>
      <c r="G72" s="112"/>
      <c r="H72" s="112"/>
      <c r="I72" s="113"/>
      <c r="J72" s="113"/>
      <c r="K72" s="113"/>
      <c r="L72" s="113"/>
    </row>
    <row r="73" spans="1:12" ht="48" customHeight="1" x14ac:dyDescent="0.3">
      <c r="A73" s="151">
        <v>50</v>
      </c>
      <c r="B73" s="120" t="s">
        <v>1028</v>
      </c>
      <c r="C73" s="120" t="s">
        <v>1035</v>
      </c>
      <c r="D73" s="120" t="s">
        <v>453</v>
      </c>
      <c r="E73" s="118"/>
      <c r="F73" s="119"/>
      <c r="G73" s="119"/>
      <c r="H73" s="119"/>
      <c r="I73" s="120"/>
      <c r="J73" s="120"/>
      <c r="K73" s="120"/>
      <c r="L73" s="120"/>
    </row>
    <row r="74" spans="1:12" ht="18" customHeight="1" x14ac:dyDescent="0.3">
      <c r="A74" s="214" t="s">
        <v>1003</v>
      </c>
      <c r="B74" s="214"/>
      <c r="C74" s="214"/>
      <c r="D74" s="214"/>
      <c r="E74" s="214"/>
      <c r="F74" s="214"/>
      <c r="G74" s="214"/>
      <c r="H74" s="214"/>
      <c r="I74" s="214"/>
      <c r="J74" s="214"/>
      <c r="K74" s="214"/>
      <c r="L74" s="214"/>
    </row>
    <row r="75" spans="1:12" ht="48" customHeight="1" x14ac:dyDescent="0.3">
      <c r="A75" s="150">
        <v>51</v>
      </c>
      <c r="B75" s="92" t="s">
        <v>1036</v>
      </c>
      <c r="C75" s="92" t="s">
        <v>1037</v>
      </c>
      <c r="D75" s="92" t="s">
        <v>453</v>
      </c>
      <c r="E75" s="90" t="s">
        <v>422</v>
      </c>
      <c r="F75" s="91"/>
      <c r="G75" s="91"/>
      <c r="H75" s="91"/>
      <c r="I75" s="92"/>
      <c r="J75" s="92"/>
      <c r="K75" s="92"/>
      <c r="L75" s="92"/>
    </row>
    <row r="76" spans="1:12" ht="48" customHeight="1" x14ac:dyDescent="0.3">
      <c r="A76" s="150">
        <v>52</v>
      </c>
      <c r="B76" s="92" t="s">
        <v>1036</v>
      </c>
      <c r="C76" s="92" t="s">
        <v>1038</v>
      </c>
      <c r="D76" s="92" t="s">
        <v>453</v>
      </c>
      <c r="E76" s="90" t="s">
        <v>422</v>
      </c>
      <c r="F76" s="91"/>
      <c r="G76" s="91"/>
      <c r="H76" s="91"/>
      <c r="I76" s="92"/>
      <c r="J76" s="92"/>
      <c r="K76" s="92"/>
      <c r="L76" s="92"/>
    </row>
    <row r="77" spans="1:12" ht="48" customHeight="1" x14ac:dyDescent="0.3">
      <c r="A77" s="152">
        <v>53</v>
      </c>
      <c r="B77" s="113" t="s">
        <v>1036</v>
      </c>
      <c r="C77" s="113" t="s">
        <v>1039</v>
      </c>
      <c r="D77" s="113" t="s">
        <v>453</v>
      </c>
      <c r="E77" s="111"/>
      <c r="F77" s="112"/>
      <c r="G77" s="112"/>
      <c r="H77" s="112"/>
      <c r="I77" s="113"/>
      <c r="J77" s="113"/>
      <c r="K77" s="113"/>
      <c r="L77" s="113"/>
    </row>
    <row r="78" spans="1:12" ht="48" customHeight="1" x14ac:dyDescent="0.3">
      <c r="A78" s="151">
        <v>54</v>
      </c>
      <c r="B78" s="120" t="s">
        <v>1036</v>
      </c>
      <c r="C78" s="120" t="s">
        <v>1040</v>
      </c>
      <c r="D78" s="120" t="s">
        <v>453</v>
      </c>
      <c r="E78" s="118"/>
      <c r="F78" s="119"/>
      <c r="G78" s="119"/>
      <c r="H78" s="119"/>
      <c r="I78" s="120"/>
      <c r="J78" s="120"/>
      <c r="K78" s="120"/>
      <c r="L78" s="120"/>
    </row>
    <row r="79" spans="1:12" ht="48" customHeight="1" x14ac:dyDescent="0.3">
      <c r="A79" s="152">
        <v>55</v>
      </c>
      <c r="B79" s="113" t="s">
        <v>1036</v>
      </c>
      <c r="C79" s="113" t="s">
        <v>1041</v>
      </c>
      <c r="D79" s="113" t="s">
        <v>453</v>
      </c>
      <c r="E79" s="111"/>
      <c r="F79" s="112"/>
      <c r="G79" s="112"/>
      <c r="H79" s="112"/>
      <c r="I79" s="113"/>
      <c r="J79" s="113"/>
      <c r="K79" s="113"/>
      <c r="L79" s="113"/>
    </row>
    <row r="80" spans="1:12" ht="48" customHeight="1" x14ac:dyDescent="0.3">
      <c r="A80" s="151">
        <v>56</v>
      </c>
      <c r="B80" s="120" t="s">
        <v>1036</v>
      </c>
      <c r="C80" s="120" t="s">
        <v>1042</v>
      </c>
      <c r="D80" s="120" t="s">
        <v>453</v>
      </c>
      <c r="E80" s="118"/>
      <c r="F80" s="119"/>
      <c r="G80" s="119"/>
      <c r="H80" s="119"/>
      <c r="I80" s="120"/>
      <c r="J80" s="120"/>
      <c r="K80" s="120"/>
      <c r="L80" s="120"/>
    </row>
    <row r="81" spans="1:12" ht="48" customHeight="1" x14ac:dyDescent="0.3">
      <c r="A81" s="152">
        <v>57</v>
      </c>
      <c r="B81" s="113" t="s">
        <v>1036</v>
      </c>
      <c r="C81" s="113" t="s">
        <v>1043</v>
      </c>
      <c r="D81" s="113" t="s">
        <v>453</v>
      </c>
      <c r="E81" s="111"/>
      <c r="F81" s="112"/>
      <c r="G81" s="112"/>
      <c r="H81" s="112"/>
      <c r="I81" s="113"/>
      <c r="J81" s="113"/>
      <c r="K81" s="113"/>
      <c r="L81" s="113"/>
    </row>
    <row r="82" spans="1:12" ht="48" customHeight="1" x14ac:dyDescent="0.3">
      <c r="A82" s="151">
        <v>58</v>
      </c>
      <c r="B82" s="120" t="s">
        <v>1036</v>
      </c>
      <c r="C82" s="120" t="s">
        <v>1044</v>
      </c>
      <c r="D82" s="120" t="s">
        <v>453</v>
      </c>
      <c r="E82" s="118"/>
      <c r="F82" s="119"/>
      <c r="G82" s="119"/>
      <c r="H82" s="119"/>
      <c r="I82" s="120"/>
      <c r="J82" s="120"/>
      <c r="K82" s="120"/>
      <c r="L82" s="120"/>
    </row>
    <row r="83" spans="1:12" ht="48" customHeight="1" x14ac:dyDescent="0.3">
      <c r="A83" s="152">
        <v>59</v>
      </c>
      <c r="B83" s="113" t="s">
        <v>1036</v>
      </c>
      <c r="C83" s="113" t="s">
        <v>1045</v>
      </c>
      <c r="D83" s="113" t="s">
        <v>453</v>
      </c>
      <c r="E83" s="111"/>
      <c r="F83" s="112"/>
      <c r="G83" s="112"/>
      <c r="H83" s="112"/>
      <c r="I83" s="113"/>
      <c r="J83" s="113"/>
      <c r="K83" s="113"/>
      <c r="L83" s="113"/>
    </row>
    <row r="84" spans="1:12" ht="48" customHeight="1" x14ac:dyDescent="0.3">
      <c r="A84" s="151">
        <v>60</v>
      </c>
      <c r="B84" s="120" t="s">
        <v>1036</v>
      </c>
      <c r="C84" s="120" t="s">
        <v>1046</v>
      </c>
      <c r="D84" s="120" t="s">
        <v>453</v>
      </c>
      <c r="E84" s="118"/>
      <c r="F84" s="119"/>
      <c r="G84" s="119"/>
      <c r="H84" s="119"/>
      <c r="I84" s="120"/>
      <c r="J84" s="120"/>
      <c r="K84" s="120"/>
      <c r="L84" s="120"/>
    </row>
    <row r="85" spans="1:12" ht="48" customHeight="1" x14ac:dyDescent="0.3">
      <c r="A85" s="150">
        <v>61</v>
      </c>
      <c r="B85" s="92" t="s">
        <v>1047</v>
      </c>
      <c r="C85" s="92" t="s">
        <v>1048</v>
      </c>
      <c r="D85" s="92" t="s">
        <v>453</v>
      </c>
      <c r="E85" s="90" t="s">
        <v>422</v>
      </c>
      <c r="F85" s="91"/>
      <c r="G85" s="91"/>
      <c r="H85" s="91"/>
      <c r="I85" s="92"/>
      <c r="J85" s="92"/>
      <c r="K85" s="92"/>
      <c r="L85" s="92"/>
    </row>
    <row r="86" spans="1:12" ht="48" customHeight="1" x14ac:dyDescent="0.3">
      <c r="A86" s="151">
        <v>62</v>
      </c>
      <c r="B86" s="120" t="s">
        <v>1047</v>
      </c>
      <c r="C86" s="120" t="s">
        <v>1049</v>
      </c>
      <c r="D86" s="120" t="s">
        <v>453</v>
      </c>
      <c r="E86" s="118"/>
      <c r="F86" s="119"/>
      <c r="G86" s="119"/>
      <c r="H86" s="119"/>
      <c r="I86" s="120"/>
      <c r="J86" s="120"/>
      <c r="K86" s="120"/>
      <c r="L86" s="120"/>
    </row>
    <row r="87" spans="1:12" ht="48" customHeight="1" x14ac:dyDescent="0.3">
      <c r="A87" s="152">
        <v>63</v>
      </c>
      <c r="B87" s="113" t="s">
        <v>1047</v>
      </c>
      <c r="C87" s="113" t="s">
        <v>1050</v>
      </c>
      <c r="D87" s="113" t="s">
        <v>453</v>
      </c>
      <c r="E87" s="111"/>
      <c r="F87" s="112"/>
      <c r="G87" s="112"/>
      <c r="H87" s="112"/>
      <c r="I87" s="113"/>
      <c r="J87" s="113"/>
      <c r="K87" s="113"/>
      <c r="L87" s="113"/>
    </row>
    <row r="88" spans="1:12" ht="48" customHeight="1" x14ac:dyDescent="0.3">
      <c r="A88" s="151">
        <v>64</v>
      </c>
      <c r="B88" s="120" t="s">
        <v>1047</v>
      </c>
      <c r="C88" s="120" t="s">
        <v>1051</v>
      </c>
      <c r="D88" s="120" t="s">
        <v>453</v>
      </c>
      <c r="E88" s="118"/>
      <c r="F88" s="119"/>
      <c r="G88" s="119"/>
      <c r="H88" s="119"/>
      <c r="I88" s="120"/>
      <c r="J88" s="120"/>
      <c r="K88" s="120"/>
      <c r="L88" s="120"/>
    </row>
    <row r="89" spans="1:12" ht="48" customHeight="1" x14ac:dyDescent="0.3">
      <c r="A89" s="152">
        <v>65</v>
      </c>
      <c r="B89" s="113" t="s">
        <v>1047</v>
      </c>
      <c r="C89" s="113" t="s">
        <v>1052</v>
      </c>
      <c r="D89" s="113" t="s">
        <v>453</v>
      </c>
      <c r="E89" s="111"/>
      <c r="F89" s="112"/>
      <c r="G89" s="112"/>
      <c r="H89" s="112"/>
      <c r="I89" s="113"/>
      <c r="J89" s="113"/>
      <c r="K89" s="113"/>
      <c r="L89" s="113"/>
    </row>
    <row r="90" spans="1:12" ht="48" customHeight="1" x14ac:dyDescent="0.3">
      <c r="A90" s="151">
        <v>66</v>
      </c>
      <c r="B90" s="120" t="s">
        <v>1047</v>
      </c>
      <c r="C90" s="120" t="s">
        <v>1053</v>
      </c>
      <c r="D90" s="120" t="s">
        <v>453</v>
      </c>
      <c r="E90" s="118"/>
      <c r="F90" s="119"/>
      <c r="G90" s="119"/>
      <c r="H90" s="119"/>
      <c r="I90" s="120"/>
      <c r="J90" s="120"/>
      <c r="K90" s="120"/>
      <c r="L90" s="120"/>
    </row>
    <row r="91" spans="1:12" ht="48" customHeight="1" x14ac:dyDescent="0.3">
      <c r="A91" s="152">
        <v>67</v>
      </c>
      <c r="B91" s="113" t="s">
        <v>1054</v>
      </c>
      <c r="C91" s="113" t="s">
        <v>1007</v>
      </c>
      <c r="D91" s="113" t="s">
        <v>453</v>
      </c>
      <c r="E91" s="111"/>
      <c r="F91" s="112"/>
      <c r="G91" s="112"/>
      <c r="H91" s="112"/>
      <c r="I91" s="113"/>
      <c r="J91" s="113"/>
      <c r="K91" s="113"/>
      <c r="L91" s="113"/>
    </row>
    <row r="92" spans="1:12" ht="18" customHeight="1" x14ac:dyDescent="0.3">
      <c r="A92" s="214" t="s">
        <v>976</v>
      </c>
      <c r="B92" s="214"/>
      <c r="C92" s="214"/>
      <c r="D92" s="214"/>
      <c r="E92" s="214"/>
      <c r="F92" s="214"/>
      <c r="G92" s="214"/>
      <c r="H92" s="214"/>
      <c r="I92" s="214"/>
      <c r="J92" s="214"/>
      <c r="K92" s="214"/>
      <c r="L92" s="214"/>
    </row>
    <row r="93" spans="1:12" ht="48" customHeight="1" x14ac:dyDescent="0.3">
      <c r="A93" s="151">
        <v>68</v>
      </c>
      <c r="B93" s="120" t="s">
        <v>1055</v>
      </c>
      <c r="C93" s="120" t="s">
        <v>1007</v>
      </c>
      <c r="D93" s="120" t="s">
        <v>453</v>
      </c>
      <c r="E93" s="118"/>
      <c r="F93" s="119"/>
      <c r="G93" s="119"/>
      <c r="H93" s="119"/>
      <c r="I93" s="120"/>
      <c r="J93" s="120"/>
      <c r="K93" s="120"/>
      <c r="L93" s="120"/>
    </row>
    <row r="94" spans="1:12" ht="18" customHeight="1" x14ac:dyDescent="0.3">
      <c r="A94" s="214" t="s">
        <v>979</v>
      </c>
      <c r="B94" s="214"/>
      <c r="C94" s="214"/>
      <c r="D94" s="214"/>
      <c r="E94" s="214"/>
      <c r="F94" s="214"/>
      <c r="G94" s="214"/>
      <c r="H94" s="214"/>
      <c r="I94" s="214"/>
      <c r="J94" s="214"/>
      <c r="K94" s="214"/>
      <c r="L94" s="214"/>
    </row>
    <row r="95" spans="1:12" ht="48" customHeight="1" x14ac:dyDescent="0.3">
      <c r="A95" s="152">
        <v>69</v>
      </c>
      <c r="B95" s="113" t="s">
        <v>1056</v>
      </c>
      <c r="C95" s="113" t="s">
        <v>1057</v>
      </c>
      <c r="D95" s="113" t="s">
        <v>453</v>
      </c>
      <c r="E95" s="111"/>
      <c r="F95" s="112"/>
      <c r="G95" s="112"/>
      <c r="H95" s="112"/>
      <c r="I95" s="113"/>
      <c r="J95" s="113"/>
      <c r="K95" s="113"/>
      <c r="L95" s="113"/>
    </row>
    <row r="96" spans="1:12" ht="18" customHeight="1" x14ac:dyDescent="0.3">
      <c r="A96" s="214" t="s">
        <v>983</v>
      </c>
      <c r="B96" s="214"/>
      <c r="C96" s="214"/>
      <c r="D96" s="214"/>
      <c r="E96" s="214"/>
      <c r="F96" s="214"/>
      <c r="G96" s="214"/>
      <c r="H96" s="214"/>
      <c r="I96" s="214"/>
      <c r="J96" s="214"/>
      <c r="K96" s="214"/>
      <c r="L96" s="214"/>
    </row>
    <row r="97" spans="1:12" ht="48" customHeight="1" x14ac:dyDescent="0.3">
      <c r="A97" s="151">
        <v>70</v>
      </c>
      <c r="B97" s="120" t="s">
        <v>1058</v>
      </c>
      <c r="C97" s="120" t="s">
        <v>1007</v>
      </c>
      <c r="D97" s="120" t="s">
        <v>453</v>
      </c>
      <c r="E97" s="118"/>
      <c r="F97" s="119"/>
      <c r="G97" s="119"/>
      <c r="H97" s="119"/>
      <c r="I97" s="120"/>
      <c r="J97" s="120"/>
      <c r="K97" s="120"/>
      <c r="L97" s="120"/>
    </row>
    <row r="98" spans="1:12" ht="18" customHeight="1" x14ac:dyDescent="0.3">
      <c r="A98" s="214" t="s">
        <v>986</v>
      </c>
      <c r="B98" s="214"/>
      <c r="C98" s="214"/>
      <c r="D98" s="214"/>
      <c r="E98" s="214"/>
      <c r="F98" s="214"/>
      <c r="G98" s="214"/>
      <c r="H98" s="214"/>
      <c r="I98" s="214"/>
      <c r="J98" s="214"/>
      <c r="K98" s="214"/>
      <c r="L98" s="214"/>
    </row>
    <row r="99" spans="1:12" ht="48" customHeight="1" x14ac:dyDescent="0.3">
      <c r="A99" s="152">
        <v>71</v>
      </c>
      <c r="B99" s="113" t="s">
        <v>1059</v>
      </c>
      <c r="C99" s="113" t="s">
        <v>1007</v>
      </c>
      <c r="D99" s="113" t="s">
        <v>453</v>
      </c>
      <c r="E99" s="111"/>
      <c r="F99" s="112"/>
      <c r="G99" s="112"/>
      <c r="H99" s="112"/>
      <c r="I99" s="113"/>
      <c r="J99" s="113"/>
      <c r="K99" s="113"/>
      <c r="L99" s="113"/>
    </row>
    <row r="100" spans="1:12" ht="21.75" customHeight="1" x14ac:dyDescent="0.3">
      <c r="A100" s="218" t="s">
        <v>1060</v>
      </c>
      <c r="B100" s="218"/>
      <c r="C100" s="218"/>
      <c r="D100" s="218"/>
      <c r="E100" s="218"/>
      <c r="F100" s="218"/>
      <c r="G100" s="218"/>
      <c r="H100" s="218"/>
      <c r="I100" s="218"/>
      <c r="J100" s="218"/>
      <c r="K100" s="218"/>
      <c r="L100" s="218"/>
    </row>
    <row r="101" spans="1:12" ht="18" customHeight="1" x14ac:dyDescent="0.3">
      <c r="A101" s="214" t="s">
        <v>969</v>
      </c>
      <c r="B101" s="214"/>
      <c r="C101" s="214"/>
      <c r="D101" s="214"/>
      <c r="E101" s="214"/>
      <c r="F101" s="214"/>
      <c r="G101" s="214"/>
      <c r="H101" s="214"/>
      <c r="I101" s="214"/>
      <c r="J101" s="214"/>
      <c r="K101" s="214"/>
      <c r="L101" s="214"/>
    </row>
    <row r="102" spans="1:12" ht="48" customHeight="1" x14ac:dyDescent="0.3">
      <c r="A102" s="151">
        <v>72</v>
      </c>
      <c r="B102" s="120" t="s">
        <v>1061</v>
      </c>
      <c r="C102" s="120" t="s">
        <v>1007</v>
      </c>
      <c r="D102" s="120" t="s">
        <v>433</v>
      </c>
      <c r="E102" s="118"/>
      <c r="F102" s="119"/>
      <c r="G102" s="119"/>
      <c r="H102" s="119"/>
      <c r="I102" s="120"/>
      <c r="J102" s="120"/>
      <c r="K102" s="120"/>
      <c r="L102" s="120"/>
    </row>
    <row r="103" spans="1:12" ht="48" customHeight="1" x14ac:dyDescent="0.3">
      <c r="A103" s="152">
        <v>73</v>
      </c>
      <c r="B103" s="113" t="s">
        <v>1061</v>
      </c>
      <c r="C103" s="113" t="s">
        <v>1062</v>
      </c>
      <c r="D103" s="113" t="s">
        <v>453</v>
      </c>
      <c r="E103" s="111"/>
      <c r="F103" s="112"/>
      <c r="G103" s="112"/>
      <c r="H103" s="112"/>
      <c r="I103" s="113"/>
      <c r="J103" s="113"/>
      <c r="K103" s="113"/>
      <c r="L103" s="113"/>
    </row>
    <row r="104" spans="1:12" ht="18" customHeight="1" x14ac:dyDescent="0.3">
      <c r="A104" s="214" t="s">
        <v>1063</v>
      </c>
      <c r="B104" s="214"/>
      <c r="C104" s="214"/>
      <c r="D104" s="214"/>
      <c r="E104" s="214"/>
      <c r="F104" s="214"/>
      <c r="G104" s="214"/>
      <c r="H104" s="214"/>
      <c r="I104" s="214"/>
      <c r="J104" s="214"/>
      <c r="K104" s="214"/>
      <c r="L104" s="214"/>
    </row>
    <row r="105" spans="1:12" ht="48" customHeight="1" x14ac:dyDescent="0.3">
      <c r="A105" s="151">
        <v>74</v>
      </c>
      <c r="B105" s="120" t="s">
        <v>1064</v>
      </c>
      <c r="C105" s="120" t="s">
        <v>1065</v>
      </c>
      <c r="D105" s="120" t="s">
        <v>433</v>
      </c>
      <c r="E105" s="118"/>
      <c r="F105" s="119"/>
      <c r="G105" s="119"/>
      <c r="H105" s="119"/>
      <c r="I105" s="120"/>
      <c r="J105" s="120"/>
      <c r="K105" s="120"/>
      <c r="L105" s="120"/>
    </row>
    <row r="106" spans="1:12" ht="21.75" customHeight="1" x14ac:dyDescent="0.3">
      <c r="A106" s="218" t="s">
        <v>1066</v>
      </c>
      <c r="B106" s="218"/>
      <c r="C106" s="218"/>
      <c r="D106" s="218"/>
      <c r="E106" s="218"/>
      <c r="F106" s="218"/>
      <c r="G106" s="218"/>
      <c r="H106" s="218"/>
      <c r="I106" s="218"/>
      <c r="J106" s="218"/>
      <c r="K106" s="218"/>
      <c r="L106" s="218"/>
    </row>
    <row r="107" spans="1:12" ht="18" customHeight="1" x14ac:dyDescent="0.3">
      <c r="A107" s="214" t="s">
        <v>969</v>
      </c>
      <c r="B107" s="214"/>
      <c r="C107" s="214"/>
      <c r="D107" s="214"/>
      <c r="E107" s="214"/>
      <c r="F107" s="214"/>
      <c r="G107" s="214"/>
      <c r="H107" s="214"/>
      <c r="I107" s="214"/>
      <c r="J107" s="214"/>
      <c r="K107" s="214"/>
      <c r="L107" s="214"/>
    </row>
    <row r="108" spans="1:12" ht="48" customHeight="1" x14ac:dyDescent="0.3">
      <c r="A108" s="152">
        <v>75</v>
      </c>
      <c r="B108" s="113" t="s">
        <v>610</v>
      </c>
      <c r="C108" s="113" t="s">
        <v>1007</v>
      </c>
      <c r="D108" s="113" t="s">
        <v>433</v>
      </c>
      <c r="E108" s="111"/>
      <c r="F108" s="112"/>
      <c r="G108" s="112"/>
      <c r="H108" s="112"/>
      <c r="I108" s="113"/>
      <c r="J108" s="113"/>
      <c r="K108" s="113"/>
      <c r="L108" s="113"/>
    </row>
    <row r="109" spans="1:12" ht="48" customHeight="1" x14ac:dyDescent="0.3">
      <c r="A109" s="150">
        <v>76</v>
      </c>
      <c r="B109" s="92" t="s">
        <v>610</v>
      </c>
      <c r="C109" s="92" t="s">
        <v>1067</v>
      </c>
      <c r="D109" s="92" t="s">
        <v>433</v>
      </c>
      <c r="E109" s="90" t="s">
        <v>422</v>
      </c>
      <c r="F109" s="91"/>
      <c r="G109" s="91"/>
      <c r="H109" s="91"/>
      <c r="I109" s="92"/>
      <c r="J109" s="92"/>
      <c r="K109" s="92"/>
      <c r="L109" s="92"/>
    </row>
    <row r="110" spans="1:12" ht="48" customHeight="1" x14ac:dyDescent="0.3">
      <c r="A110" s="152">
        <v>77</v>
      </c>
      <c r="B110" s="113" t="s">
        <v>610</v>
      </c>
      <c r="C110" s="113" t="s">
        <v>1068</v>
      </c>
      <c r="D110" s="113" t="s">
        <v>433</v>
      </c>
      <c r="E110" s="111"/>
      <c r="F110" s="112"/>
      <c r="G110" s="112"/>
      <c r="H110" s="112"/>
      <c r="I110" s="113"/>
      <c r="J110" s="113"/>
      <c r="K110" s="113"/>
      <c r="L110" s="113"/>
    </row>
    <row r="111" spans="1:12" ht="48" customHeight="1" x14ac:dyDescent="0.3">
      <c r="A111" s="151">
        <v>78</v>
      </c>
      <c r="B111" s="120" t="s">
        <v>1069</v>
      </c>
      <c r="C111" s="120" t="s">
        <v>1070</v>
      </c>
      <c r="D111" s="120" t="s">
        <v>433</v>
      </c>
      <c r="E111" s="118"/>
      <c r="F111" s="119"/>
      <c r="G111" s="119"/>
      <c r="H111" s="119"/>
      <c r="I111" s="120"/>
      <c r="J111" s="120"/>
      <c r="K111" s="120"/>
      <c r="L111" s="120"/>
    </row>
    <row r="112" spans="1:12" ht="48" customHeight="1" x14ac:dyDescent="0.3">
      <c r="A112" s="152">
        <v>79</v>
      </c>
      <c r="B112" s="113" t="s">
        <v>1069</v>
      </c>
      <c r="C112" s="113" t="s">
        <v>1071</v>
      </c>
      <c r="D112" s="113" t="s">
        <v>433</v>
      </c>
      <c r="E112" s="111"/>
      <c r="F112" s="112"/>
      <c r="G112" s="112"/>
      <c r="H112" s="112"/>
      <c r="I112" s="113"/>
      <c r="J112" s="113"/>
      <c r="K112" s="113"/>
      <c r="L112" s="113"/>
    </row>
    <row r="113" spans="1:12" ht="48" customHeight="1" x14ac:dyDescent="0.3">
      <c r="A113" s="151">
        <v>80</v>
      </c>
      <c r="B113" s="120" t="s">
        <v>1069</v>
      </c>
      <c r="C113" s="120" t="s">
        <v>1072</v>
      </c>
      <c r="D113" s="120" t="s">
        <v>433</v>
      </c>
      <c r="E113" s="118"/>
      <c r="F113" s="119"/>
      <c r="G113" s="119"/>
      <c r="H113" s="119"/>
      <c r="I113" s="120"/>
      <c r="J113" s="120"/>
      <c r="K113" s="120"/>
      <c r="L113" s="120"/>
    </row>
    <row r="114" spans="1:12" ht="18" customHeight="1" x14ac:dyDescent="0.3">
      <c r="A114" s="214" t="s">
        <v>976</v>
      </c>
      <c r="B114" s="214"/>
      <c r="C114" s="214"/>
      <c r="D114" s="214"/>
      <c r="E114" s="214"/>
      <c r="F114" s="214"/>
      <c r="G114" s="214"/>
      <c r="H114" s="214"/>
      <c r="I114" s="214"/>
      <c r="J114" s="214"/>
      <c r="K114" s="214"/>
      <c r="L114" s="214"/>
    </row>
    <row r="115" spans="1:12" ht="48" customHeight="1" x14ac:dyDescent="0.3">
      <c r="A115" s="152">
        <v>81</v>
      </c>
      <c r="B115" s="113" t="s">
        <v>1073</v>
      </c>
      <c r="C115" s="113" t="s">
        <v>1007</v>
      </c>
      <c r="D115" s="113" t="s">
        <v>433</v>
      </c>
      <c r="E115" s="111"/>
      <c r="F115" s="112"/>
      <c r="G115" s="112"/>
      <c r="H115" s="112"/>
      <c r="I115" s="113"/>
      <c r="J115" s="113"/>
      <c r="K115" s="113"/>
      <c r="L115" s="113"/>
    </row>
    <row r="116" spans="1:12" ht="18" customHeight="1" x14ac:dyDescent="0.3">
      <c r="A116" s="214" t="s">
        <v>979</v>
      </c>
      <c r="B116" s="214"/>
      <c r="C116" s="214"/>
      <c r="D116" s="214"/>
      <c r="E116" s="214"/>
      <c r="F116" s="214"/>
      <c r="G116" s="214"/>
      <c r="H116" s="214"/>
      <c r="I116" s="214"/>
      <c r="J116" s="214"/>
      <c r="K116" s="214"/>
      <c r="L116" s="214"/>
    </row>
    <row r="117" spans="1:12" ht="48" customHeight="1" x14ac:dyDescent="0.3">
      <c r="A117" s="151">
        <v>82</v>
      </c>
      <c r="B117" s="120" t="s">
        <v>1074</v>
      </c>
      <c r="C117" s="120" t="s">
        <v>1057</v>
      </c>
      <c r="D117" s="120" t="s">
        <v>433</v>
      </c>
      <c r="E117" s="118"/>
      <c r="F117" s="119"/>
      <c r="G117" s="119"/>
      <c r="H117" s="119"/>
      <c r="I117" s="120"/>
      <c r="J117" s="120"/>
      <c r="K117" s="120"/>
      <c r="L117" s="120"/>
    </row>
    <row r="118" spans="1:12" ht="18" customHeight="1" x14ac:dyDescent="0.3">
      <c r="A118" s="214" t="s">
        <v>983</v>
      </c>
      <c r="B118" s="214"/>
      <c r="C118" s="214"/>
      <c r="D118" s="214"/>
      <c r="E118" s="214"/>
      <c r="F118" s="214"/>
      <c r="G118" s="214"/>
      <c r="H118" s="214"/>
      <c r="I118" s="214"/>
      <c r="J118" s="214"/>
      <c r="K118" s="214"/>
      <c r="L118" s="214"/>
    </row>
    <row r="119" spans="1:12" ht="48" customHeight="1" x14ac:dyDescent="0.3">
      <c r="A119" s="152">
        <v>83</v>
      </c>
      <c r="B119" s="113" t="s">
        <v>1075</v>
      </c>
      <c r="C119" s="113" t="s">
        <v>1007</v>
      </c>
      <c r="D119" s="113" t="s">
        <v>433</v>
      </c>
      <c r="E119" s="111"/>
      <c r="F119" s="112"/>
      <c r="G119" s="112"/>
      <c r="H119" s="112"/>
      <c r="I119" s="113"/>
      <c r="J119" s="113"/>
      <c r="K119" s="113"/>
      <c r="L119" s="113"/>
    </row>
    <row r="120" spans="1:12" ht="18" customHeight="1" x14ac:dyDescent="0.3">
      <c r="A120" s="214" t="s">
        <v>986</v>
      </c>
      <c r="B120" s="214"/>
      <c r="C120" s="214"/>
      <c r="D120" s="214"/>
      <c r="E120" s="214"/>
      <c r="F120" s="214"/>
      <c r="G120" s="214"/>
      <c r="H120" s="214"/>
      <c r="I120" s="214"/>
      <c r="J120" s="214"/>
      <c r="K120" s="214"/>
      <c r="L120" s="214"/>
    </row>
    <row r="121" spans="1:12" ht="48" customHeight="1" x14ac:dyDescent="0.3">
      <c r="A121" s="151">
        <v>84</v>
      </c>
      <c r="B121" s="120" t="s">
        <v>1076</v>
      </c>
      <c r="C121" s="120" t="s">
        <v>1007</v>
      </c>
      <c r="D121" s="120" t="s">
        <v>433</v>
      </c>
      <c r="E121" s="118"/>
      <c r="F121" s="119"/>
      <c r="G121" s="119"/>
      <c r="H121" s="119"/>
      <c r="I121" s="120"/>
      <c r="J121" s="120"/>
      <c r="K121" s="120"/>
      <c r="L121" s="120"/>
    </row>
    <row r="122" spans="1:12" ht="21.75" customHeight="1" x14ac:dyDescent="0.3">
      <c r="A122" s="218" t="s">
        <v>1077</v>
      </c>
      <c r="B122" s="218"/>
      <c r="C122" s="218"/>
      <c r="D122" s="218"/>
      <c r="E122" s="218"/>
      <c r="F122" s="218"/>
      <c r="G122" s="218"/>
      <c r="H122" s="218"/>
      <c r="I122" s="218"/>
      <c r="J122" s="218"/>
      <c r="K122" s="218"/>
      <c r="L122" s="218"/>
    </row>
    <row r="123" spans="1:12" ht="18" customHeight="1" x14ac:dyDescent="0.3">
      <c r="A123" s="214" t="s">
        <v>1078</v>
      </c>
      <c r="B123" s="214"/>
      <c r="C123" s="214"/>
      <c r="D123" s="214"/>
      <c r="E123" s="214"/>
      <c r="F123" s="214"/>
      <c r="G123" s="214"/>
      <c r="H123" s="214"/>
      <c r="I123" s="214"/>
      <c r="J123" s="214"/>
      <c r="K123" s="214"/>
      <c r="L123" s="214"/>
    </row>
    <row r="124" spans="1:12" ht="48" customHeight="1" x14ac:dyDescent="0.3">
      <c r="A124" s="152">
        <v>85</v>
      </c>
      <c r="B124" s="113" t="s">
        <v>890</v>
      </c>
      <c r="C124" s="113" t="s">
        <v>1007</v>
      </c>
      <c r="D124" s="113" t="s">
        <v>433</v>
      </c>
      <c r="E124" s="111"/>
      <c r="F124" s="112"/>
      <c r="G124" s="112"/>
      <c r="H124" s="112"/>
      <c r="I124" s="113"/>
      <c r="J124" s="113"/>
      <c r="K124" s="113"/>
      <c r="L124" s="113"/>
    </row>
    <row r="125" spans="1:12" ht="48" customHeight="1" x14ac:dyDescent="0.3">
      <c r="A125" s="151">
        <v>86</v>
      </c>
      <c r="B125" s="120" t="s">
        <v>890</v>
      </c>
      <c r="C125" s="120" t="s">
        <v>1079</v>
      </c>
      <c r="D125" s="120" t="s">
        <v>433</v>
      </c>
      <c r="E125" s="118"/>
      <c r="F125" s="119"/>
      <c r="G125" s="119"/>
      <c r="H125" s="119"/>
      <c r="I125" s="120"/>
      <c r="J125" s="120"/>
      <c r="K125" s="120"/>
      <c r="L125" s="120"/>
    </row>
    <row r="126" spans="1:12" ht="48" customHeight="1" x14ac:dyDescent="0.3">
      <c r="A126" s="150">
        <v>87</v>
      </c>
      <c r="B126" s="92" t="s">
        <v>890</v>
      </c>
      <c r="C126" s="92" t="s">
        <v>1080</v>
      </c>
      <c r="D126" s="92" t="s">
        <v>433</v>
      </c>
      <c r="E126" s="90" t="s">
        <v>422</v>
      </c>
      <c r="F126" s="91"/>
      <c r="G126" s="91"/>
      <c r="H126" s="91"/>
      <c r="I126" s="92"/>
      <c r="J126" s="92"/>
      <c r="K126" s="92"/>
      <c r="L126" s="92"/>
    </row>
    <row r="127" spans="1:12" ht="48" customHeight="1" x14ac:dyDescent="0.3">
      <c r="A127" s="150">
        <v>88</v>
      </c>
      <c r="B127" s="92" t="s">
        <v>890</v>
      </c>
      <c r="C127" s="92" t="s">
        <v>1081</v>
      </c>
      <c r="D127" s="92" t="s">
        <v>433</v>
      </c>
      <c r="E127" s="90" t="s">
        <v>422</v>
      </c>
      <c r="F127" s="91"/>
      <c r="G127" s="91"/>
      <c r="H127" s="91"/>
      <c r="I127" s="92"/>
      <c r="J127" s="92"/>
      <c r="K127" s="92"/>
      <c r="L127" s="92"/>
    </row>
    <row r="128" spans="1:12" ht="48" customHeight="1" x14ac:dyDescent="0.3">
      <c r="A128" s="152">
        <v>89</v>
      </c>
      <c r="B128" s="113" t="s">
        <v>890</v>
      </c>
      <c r="C128" s="113" t="s">
        <v>1082</v>
      </c>
      <c r="D128" s="113" t="s">
        <v>433</v>
      </c>
      <c r="E128" s="111"/>
      <c r="F128" s="112"/>
      <c r="G128" s="112"/>
      <c r="H128" s="112"/>
      <c r="I128" s="113"/>
      <c r="J128" s="113"/>
      <c r="K128" s="113"/>
      <c r="L128" s="113"/>
    </row>
    <row r="129" spans="1:12" ht="48" customHeight="1" x14ac:dyDescent="0.3">
      <c r="A129" s="150">
        <v>90</v>
      </c>
      <c r="B129" s="92" t="s">
        <v>890</v>
      </c>
      <c r="C129" s="92" t="s">
        <v>1083</v>
      </c>
      <c r="D129" s="92" t="s">
        <v>433</v>
      </c>
      <c r="E129" s="90" t="s">
        <v>422</v>
      </c>
      <c r="F129" s="91"/>
      <c r="G129" s="91"/>
      <c r="H129" s="91"/>
      <c r="I129" s="92"/>
      <c r="J129" s="92"/>
      <c r="K129" s="92"/>
      <c r="L129" s="92"/>
    </row>
    <row r="130" spans="1:12" ht="48" customHeight="1" x14ac:dyDescent="0.3">
      <c r="A130" s="152">
        <v>91</v>
      </c>
      <c r="B130" s="113" t="s">
        <v>890</v>
      </c>
      <c r="C130" s="113" t="s">
        <v>1084</v>
      </c>
      <c r="D130" s="113" t="s">
        <v>433</v>
      </c>
      <c r="E130" s="111"/>
      <c r="F130" s="112"/>
      <c r="G130" s="112"/>
      <c r="H130" s="112"/>
      <c r="I130" s="113"/>
      <c r="J130" s="113"/>
      <c r="K130" s="113"/>
      <c r="L130" s="113"/>
    </row>
    <row r="131" spans="1:12" ht="21.75" customHeight="1" x14ac:dyDescent="0.3">
      <c r="A131" s="218" t="s">
        <v>1085</v>
      </c>
      <c r="B131" s="218"/>
      <c r="C131" s="218"/>
      <c r="D131" s="218"/>
      <c r="E131" s="218"/>
      <c r="F131" s="218"/>
      <c r="G131" s="218"/>
      <c r="H131" s="218"/>
      <c r="I131" s="218"/>
      <c r="J131" s="218"/>
      <c r="K131" s="218"/>
      <c r="L131" s="218"/>
    </row>
    <row r="132" spans="1:12" ht="18" customHeight="1" x14ac:dyDescent="0.3">
      <c r="A132" s="214" t="s">
        <v>969</v>
      </c>
      <c r="B132" s="214"/>
      <c r="C132" s="214"/>
      <c r="D132" s="214"/>
      <c r="E132" s="214"/>
      <c r="F132" s="214"/>
      <c r="G132" s="214"/>
      <c r="H132" s="214"/>
      <c r="I132" s="214"/>
      <c r="J132" s="214"/>
      <c r="K132" s="214"/>
      <c r="L132" s="214"/>
    </row>
    <row r="133" spans="1:12" ht="48" customHeight="1" x14ac:dyDescent="0.3">
      <c r="A133" s="151">
        <v>92</v>
      </c>
      <c r="B133" s="120" t="s">
        <v>750</v>
      </c>
      <c r="C133" s="120" t="s">
        <v>1007</v>
      </c>
      <c r="D133" s="120" t="s">
        <v>433</v>
      </c>
      <c r="E133" s="118"/>
      <c r="F133" s="119"/>
      <c r="G133" s="119"/>
      <c r="H133" s="119"/>
      <c r="I133" s="120"/>
      <c r="J133" s="120"/>
      <c r="K133" s="120"/>
      <c r="L133" s="120"/>
    </row>
    <row r="134" spans="1:12" ht="18" customHeight="1" x14ac:dyDescent="0.3">
      <c r="A134" s="214" t="s">
        <v>1063</v>
      </c>
      <c r="B134" s="214"/>
      <c r="C134" s="214"/>
      <c r="D134" s="214"/>
      <c r="E134" s="214"/>
      <c r="F134" s="214"/>
      <c r="G134" s="214"/>
      <c r="H134" s="214"/>
      <c r="I134" s="214"/>
      <c r="J134" s="214"/>
      <c r="K134" s="214"/>
      <c r="L134" s="214"/>
    </row>
    <row r="135" spans="1:12" ht="48" customHeight="1" x14ac:dyDescent="0.3">
      <c r="A135" s="152">
        <v>93</v>
      </c>
      <c r="B135" s="113" t="s">
        <v>1086</v>
      </c>
      <c r="C135" s="113" t="s">
        <v>1087</v>
      </c>
      <c r="D135" s="113" t="s">
        <v>433</v>
      </c>
      <c r="E135" s="111"/>
      <c r="F135" s="112"/>
      <c r="G135" s="112"/>
      <c r="H135" s="112"/>
      <c r="I135" s="113"/>
      <c r="J135" s="113"/>
      <c r="K135" s="113"/>
      <c r="L135" s="113"/>
    </row>
    <row r="136" spans="1:12" ht="24.75" customHeight="1" x14ac:dyDescent="0.3">
      <c r="A136" s="219" t="s">
        <v>1088</v>
      </c>
      <c r="B136" s="219"/>
      <c r="C136" s="219"/>
      <c r="D136" s="219"/>
      <c r="E136" s="219"/>
      <c r="F136" s="219"/>
      <c r="G136" s="219"/>
      <c r="H136" s="219"/>
      <c r="I136" s="219"/>
      <c r="J136" s="219"/>
      <c r="K136" s="219"/>
      <c r="L136" s="219"/>
    </row>
    <row r="137" spans="1:12" ht="21.75" customHeight="1" x14ac:dyDescent="0.3">
      <c r="A137" s="218" t="s">
        <v>968</v>
      </c>
      <c r="B137" s="218"/>
      <c r="C137" s="218"/>
      <c r="D137" s="218"/>
      <c r="E137" s="218"/>
      <c r="F137" s="218"/>
      <c r="G137" s="218"/>
      <c r="H137" s="218"/>
      <c r="I137" s="218"/>
      <c r="J137" s="218"/>
      <c r="K137" s="218"/>
      <c r="L137" s="218"/>
    </row>
    <row r="138" spans="1:12" ht="18" customHeight="1" x14ac:dyDescent="0.3">
      <c r="A138" s="214" t="s">
        <v>969</v>
      </c>
      <c r="B138" s="214"/>
      <c r="C138" s="214"/>
      <c r="D138" s="214"/>
      <c r="E138" s="214"/>
      <c r="F138" s="214"/>
      <c r="G138" s="214"/>
      <c r="H138" s="214"/>
      <c r="I138" s="214"/>
      <c r="J138" s="214"/>
      <c r="K138" s="214"/>
      <c r="L138" s="214"/>
    </row>
    <row r="139" spans="1:12" ht="48" customHeight="1" x14ac:dyDescent="0.3">
      <c r="A139" s="150">
        <v>94</v>
      </c>
      <c r="B139" s="92" t="s">
        <v>1089</v>
      </c>
      <c r="C139" s="92" t="s">
        <v>1090</v>
      </c>
      <c r="D139" s="92" t="s">
        <v>433</v>
      </c>
      <c r="E139" s="90" t="s">
        <v>422</v>
      </c>
      <c r="F139" s="91"/>
      <c r="G139" s="91"/>
      <c r="H139" s="91"/>
      <c r="I139" s="92"/>
      <c r="J139" s="92"/>
      <c r="K139" s="92"/>
      <c r="L139" s="92"/>
    </row>
    <row r="140" spans="1:12" ht="48" customHeight="1" x14ac:dyDescent="0.3">
      <c r="A140" s="150">
        <v>95</v>
      </c>
      <c r="B140" s="92" t="s">
        <v>1089</v>
      </c>
      <c r="C140" s="92" t="s">
        <v>1091</v>
      </c>
      <c r="D140" s="92" t="s">
        <v>433</v>
      </c>
      <c r="E140" s="90" t="s">
        <v>422</v>
      </c>
      <c r="F140" s="91"/>
      <c r="G140" s="91"/>
      <c r="H140" s="91"/>
      <c r="I140" s="92"/>
      <c r="J140" s="92"/>
      <c r="K140" s="92"/>
      <c r="L140" s="92"/>
    </row>
    <row r="141" spans="1:12" ht="48" customHeight="1" x14ac:dyDescent="0.3">
      <c r="A141" s="150">
        <v>96</v>
      </c>
      <c r="B141" s="92" t="s">
        <v>1089</v>
      </c>
      <c r="C141" s="92" t="s">
        <v>1092</v>
      </c>
      <c r="D141" s="92" t="s">
        <v>433</v>
      </c>
      <c r="E141" s="90" t="s">
        <v>422</v>
      </c>
      <c r="F141" s="91"/>
      <c r="G141" s="91"/>
      <c r="H141" s="91"/>
      <c r="I141" s="92"/>
      <c r="J141" s="92"/>
      <c r="K141" s="92"/>
      <c r="L141" s="92"/>
    </row>
    <row r="142" spans="1:12" ht="18" customHeight="1" x14ac:dyDescent="0.3">
      <c r="A142" s="214" t="s">
        <v>976</v>
      </c>
      <c r="B142" s="214"/>
      <c r="C142" s="214"/>
      <c r="D142" s="214"/>
      <c r="E142" s="214"/>
      <c r="F142" s="214"/>
      <c r="G142" s="214"/>
      <c r="H142" s="214"/>
      <c r="I142" s="214"/>
      <c r="J142" s="214"/>
      <c r="K142" s="214"/>
      <c r="L142" s="214"/>
    </row>
    <row r="143" spans="1:12" ht="48" customHeight="1" x14ac:dyDescent="0.3">
      <c r="A143" s="150">
        <v>97</v>
      </c>
      <c r="B143" s="92" t="s">
        <v>1093</v>
      </c>
      <c r="C143" s="92" t="s">
        <v>1094</v>
      </c>
      <c r="D143" s="92" t="s">
        <v>433</v>
      </c>
      <c r="E143" s="90" t="s">
        <v>422</v>
      </c>
      <c r="F143" s="91"/>
      <c r="G143" s="91"/>
      <c r="H143" s="91"/>
      <c r="I143" s="92"/>
      <c r="J143" s="92"/>
      <c r="K143" s="92"/>
      <c r="L143" s="92"/>
    </row>
    <row r="144" spans="1:12" ht="18" customHeight="1" x14ac:dyDescent="0.3">
      <c r="A144" s="214" t="s">
        <v>979</v>
      </c>
      <c r="B144" s="214"/>
      <c r="C144" s="214"/>
      <c r="D144" s="214"/>
      <c r="E144" s="214"/>
      <c r="F144" s="214"/>
      <c r="G144" s="214"/>
      <c r="H144" s="214"/>
      <c r="I144" s="214"/>
      <c r="J144" s="214"/>
      <c r="K144" s="214"/>
      <c r="L144" s="214"/>
    </row>
    <row r="145" spans="1:12" ht="48" customHeight="1" x14ac:dyDescent="0.3">
      <c r="A145" s="151">
        <v>98</v>
      </c>
      <c r="B145" s="120" t="s">
        <v>1095</v>
      </c>
      <c r="C145" s="120" t="s">
        <v>1096</v>
      </c>
      <c r="D145" s="120" t="s">
        <v>433</v>
      </c>
      <c r="E145" s="118"/>
      <c r="F145" s="119"/>
      <c r="G145" s="119"/>
      <c r="H145" s="119"/>
      <c r="I145" s="120"/>
      <c r="J145" s="120"/>
      <c r="K145" s="120"/>
      <c r="L145" s="120"/>
    </row>
    <row r="146" spans="1:12" ht="48" customHeight="1" x14ac:dyDescent="0.3">
      <c r="A146" s="152">
        <v>99</v>
      </c>
      <c r="B146" s="113" t="s">
        <v>1095</v>
      </c>
      <c r="C146" s="113" t="s">
        <v>982</v>
      </c>
      <c r="D146" s="113" t="s">
        <v>433</v>
      </c>
      <c r="E146" s="111"/>
      <c r="F146" s="112"/>
      <c r="G146" s="112"/>
      <c r="H146" s="112"/>
      <c r="I146" s="113"/>
      <c r="J146" s="113"/>
      <c r="K146" s="113"/>
      <c r="L146" s="113"/>
    </row>
    <row r="147" spans="1:12" ht="18" customHeight="1" x14ac:dyDescent="0.3">
      <c r="A147" s="214" t="s">
        <v>983</v>
      </c>
      <c r="B147" s="214"/>
      <c r="C147" s="214"/>
      <c r="D147" s="214"/>
      <c r="E147" s="214"/>
      <c r="F147" s="214"/>
      <c r="G147" s="214"/>
      <c r="H147" s="214"/>
      <c r="I147" s="214"/>
      <c r="J147" s="214"/>
      <c r="K147" s="214"/>
      <c r="L147" s="214"/>
    </row>
    <row r="148" spans="1:12" ht="48" customHeight="1" x14ac:dyDescent="0.3">
      <c r="A148" s="151">
        <v>100</v>
      </c>
      <c r="B148" s="120" t="s">
        <v>1097</v>
      </c>
      <c r="C148" s="120" t="s">
        <v>1098</v>
      </c>
      <c r="D148" s="120" t="s">
        <v>433</v>
      </c>
      <c r="E148" s="118"/>
      <c r="F148" s="119"/>
      <c r="G148" s="119"/>
      <c r="H148" s="119"/>
      <c r="I148" s="120"/>
      <c r="J148" s="120"/>
      <c r="K148" s="120"/>
      <c r="L148" s="120"/>
    </row>
    <row r="149" spans="1:12" ht="18" customHeight="1" x14ac:dyDescent="0.3">
      <c r="A149" s="214" t="s">
        <v>986</v>
      </c>
      <c r="B149" s="214"/>
      <c r="C149" s="214"/>
      <c r="D149" s="214"/>
      <c r="E149" s="214"/>
      <c r="F149" s="214"/>
      <c r="G149" s="214"/>
      <c r="H149" s="214"/>
      <c r="I149" s="214"/>
      <c r="J149" s="214"/>
      <c r="K149" s="214"/>
      <c r="L149" s="214"/>
    </row>
    <row r="150" spans="1:12" ht="48" customHeight="1" x14ac:dyDescent="0.3">
      <c r="A150" s="152">
        <v>101</v>
      </c>
      <c r="B150" s="113" t="s">
        <v>1099</v>
      </c>
      <c r="C150" s="113" t="s">
        <v>1100</v>
      </c>
      <c r="D150" s="113" t="s">
        <v>433</v>
      </c>
      <c r="E150" s="111"/>
      <c r="F150" s="112"/>
      <c r="G150" s="112"/>
      <c r="H150" s="112"/>
      <c r="I150" s="113"/>
      <c r="J150" s="113"/>
      <c r="K150" s="113"/>
      <c r="L150" s="113"/>
    </row>
    <row r="151" spans="1:12" ht="21.75" customHeight="1" x14ac:dyDescent="0.3">
      <c r="A151" s="218" t="s">
        <v>989</v>
      </c>
      <c r="B151" s="218"/>
      <c r="C151" s="218"/>
      <c r="D151" s="218"/>
      <c r="E151" s="218"/>
      <c r="F151" s="218"/>
      <c r="G151" s="218"/>
      <c r="H151" s="218"/>
      <c r="I151" s="218"/>
      <c r="J151" s="218"/>
      <c r="K151" s="218"/>
      <c r="L151" s="218"/>
    </row>
    <row r="152" spans="1:12" ht="18" customHeight="1" x14ac:dyDescent="0.3">
      <c r="A152" s="214" t="s">
        <v>1101</v>
      </c>
      <c r="B152" s="214"/>
      <c r="C152" s="214"/>
      <c r="D152" s="214"/>
      <c r="E152" s="214"/>
      <c r="F152" s="214"/>
      <c r="G152" s="214"/>
      <c r="H152" s="214"/>
      <c r="I152" s="214"/>
      <c r="J152" s="214"/>
      <c r="K152" s="214"/>
      <c r="L152" s="214"/>
    </row>
    <row r="153" spans="1:12" ht="48" customHeight="1" x14ac:dyDescent="0.3">
      <c r="A153" s="150">
        <v>102</v>
      </c>
      <c r="B153" s="92" t="s">
        <v>1102</v>
      </c>
      <c r="C153" s="92" t="s">
        <v>1103</v>
      </c>
      <c r="D153" s="92" t="s">
        <v>453</v>
      </c>
      <c r="E153" s="90" t="s">
        <v>422</v>
      </c>
      <c r="F153" s="91"/>
      <c r="G153" s="91"/>
      <c r="H153" s="91"/>
      <c r="I153" s="92"/>
      <c r="J153" s="92"/>
      <c r="K153" s="92"/>
      <c r="L153" s="92"/>
    </row>
    <row r="154" spans="1:12" ht="48" customHeight="1" x14ac:dyDescent="0.3">
      <c r="A154" s="152">
        <v>103</v>
      </c>
      <c r="B154" s="113" t="s">
        <v>1102</v>
      </c>
      <c r="C154" s="113" t="s">
        <v>1104</v>
      </c>
      <c r="D154" s="113" t="s">
        <v>453</v>
      </c>
      <c r="E154" s="111"/>
      <c r="F154" s="112"/>
      <c r="G154" s="112"/>
      <c r="H154" s="112"/>
      <c r="I154" s="113"/>
      <c r="J154" s="113"/>
      <c r="K154" s="113"/>
      <c r="L154" s="113"/>
    </row>
    <row r="155" spans="1:12" ht="18" customHeight="1" x14ac:dyDescent="0.3">
      <c r="A155" s="214" t="s">
        <v>1105</v>
      </c>
      <c r="B155" s="214"/>
      <c r="C155" s="214"/>
      <c r="D155" s="214"/>
      <c r="E155" s="214"/>
      <c r="F155" s="214"/>
      <c r="G155" s="214"/>
      <c r="H155" s="214"/>
      <c r="I155" s="214"/>
      <c r="J155" s="214"/>
      <c r="K155" s="214"/>
      <c r="L155" s="214"/>
    </row>
    <row r="156" spans="1:12" ht="48" customHeight="1" x14ac:dyDescent="0.3">
      <c r="A156" s="151">
        <v>104</v>
      </c>
      <c r="B156" s="120" t="s">
        <v>1106</v>
      </c>
      <c r="C156" s="120" t="s">
        <v>1107</v>
      </c>
      <c r="D156" s="120" t="s">
        <v>453</v>
      </c>
      <c r="E156" s="118"/>
      <c r="F156" s="119"/>
      <c r="G156" s="119"/>
      <c r="H156" s="119"/>
      <c r="I156" s="120"/>
      <c r="J156" s="120"/>
      <c r="K156" s="120"/>
      <c r="L156" s="120"/>
    </row>
    <row r="157" spans="1:12" ht="21.75" customHeight="1" x14ac:dyDescent="0.3">
      <c r="A157" s="218" t="s">
        <v>1012</v>
      </c>
      <c r="B157" s="218"/>
      <c r="C157" s="218"/>
      <c r="D157" s="218"/>
      <c r="E157" s="218"/>
      <c r="F157" s="218"/>
      <c r="G157" s="218"/>
      <c r="H157" s="218"/>
      <c r="I157" s="218"/>
      <c r="J157" s="218"/>
      <c r="K157" s="218"/>
      <c r="L157" s="218"/>
    </row>
    <row r="158" spans="1:12" ht="18" customHeight="1" x14ac:dyDescent="0.3">
      <c r="A158" s="214" t="s">
        <v>969</v>
      </c>
      <c r="B158" s="214"/>
      <c r="C158" s="214"/>
      <c r="D158" s="214"/>
      <c r="E158" s="214"/>
      <c r="F158" s="214"/>
      <c r="G158" s="214"/>
      <c r="H158" s="214"/>
      <c r="I158" s="214"/>
      <c r="J158" s="214"/>
      <c r="K158" s="214"/>
      <c r="L158" s="214"/>
    </row>
    <row r="159" spans="1:12" ht="48" customHeight="1" x14ac:dyDescent="0.3">
      <c r="A159" s="150">
        <v>105</v>
      </c>
      <c r="B159" s="92" t="s">
        <v>1108</v>
      </c>
      <c r="C159" s="92" t="s">
        <v>1090</v>
      </c>
      <c r="D159" s="92" t="s">
        <v>453</v>
      </c>
      <c r="E159" s="90" t="s">
        <v>422</v>
      </c>
      <c r="F159" s="91"/>
      <c r="G159" s="91"/>
      <c r="H159" s="91"/>
      <c r="I159" s="92"/>
      <c r="J159" s="92"/>
      <c r="K159" s="92"/>
      <c r="L159" s="92"/>
    </row>
    <row r="160" spans="1:12" ht="48" customHeight="1" x14ac:dyDescent="0.3">
      <c r="A160" s="150">
        <v>106</v>
      </c>
      <c r="B160" s="92" t="s">
        <v>1108</v>
      </c>
      <c r="C160" s="92" t="s">
        <v>1109</v>
      </c>
      <c r="D160" s="92" t="s">
        <v>453</v>
      </c>
      <c r="E160" s="90" t="s">
        <v>422</v>
      </c>
      <c r="F160" s="91"/>
      <c r="G160" s="91"/>
      <c r="H160" s="91"/>
      <c r="I160" s="92"/>
      <c r="J160" s="92"/>
      <c r="K160" s="92"/>
      <c r="L160" s="92"/>
    </row>
    <row r="161" spans="1:12" ht="18" customHeight="1" x14ac:dyDescent="0.3">
      <c r="A161" s="214" t="s">
        <v>976</v>
      </c>
      <c r="B161" s="214"/>
      <c r="C161" s="214"/>
      <c r="D161" s="214"/>
      <c r="E161" s="214"/>
      <c r="F161" s="214"/>
      <c r="G161" s="214"/>
      <c r="H161" s="214"/>
      <c r="I161" s="214"/>
      <c r="J161" s="214"/>
      <c r="K161" s="214"/>
      <c r="L161" s="214"/>
    </row>
    <row r="162" spans="1:12" ht="48" customHeight="1" x14ac:dyDescent="0.3">
      <c r="A162" s="152">
        <v>107</v>
      </c>
      <c r="B162" s="113" t="s">
        <v>1110</v>
      </c>
      <c r="C162" s="113" t="s">
        <v>1007</v>
      </c>
      <c r="D162" s="113" t="s">
        <v>453</v>
      </c>
      <c r="E162" s="111"/>
      <c r="F162" s="112"/>
      <c r="G162" s="112"/>
      <c r="H162" s="112"/>
      <c r="I162" s="113"/>
      <c r="J162" s="113"/>
      <c r="K162" s="113"/>
      <c r="L162" s="113"/>
    </row>
    <row r="163" spans="1:12" ht="18" customHeight="1" x14ac:dyDescent="0.3">
      <c r="A163" s="214" t="s">
        <v>979</v>
      </c>
      <c r="B163" s="214"/>
      <c r="C163" s="214"/>
      <c r="D163" s="214"/>
      <c r="E163" s="214"/>
      <c r="F163" s="214"/>
      <c r="G163" s="214"/>
      <c r="H163" s="214"/>
      <c r="I163" s="214"/>
      <c r="J163" s="214"/>
      <c r="K163" s="214"/>
      <c r="L163" s="214"/>
    </row>
    <row r="164" spans="1:12" ht="48" customHeight="1" x14ac:dyDescent="0.3">
      <c r="A164" s="151">
        <v>108</v>
      </c>
      <c r="B164" s="120" t="s">
        <v>1111</v>
      </c>
      <c r="C164" s="120" t="s">
        <v>1112</v>
      </c>
      <c r="D164" s="120" t="s">
        <v>453</v>
      </c>
      <c r="E164" s="118"/>
      <c r="F164" s="119"/>
      <c r="G164" s="119"/>
      <c r="H164" s="119"/>
      <c r="I164" s="120"/>
      <c r="J164" s="120"/>
      <c r="K164" s="120"/>
      <c r="L164" s="120"/>
    </row>
    <row r="165" spans="1:12" ht="18" customHeight="1" x14ac:dyDescent="0.3">
      <c r="A165" s="214" t="s">
        <v>983</v>
      </c>
      <c r="B165" s="214"/>
      <c r="C165" s="214"/>
      <c r="D165" s="214"/>
      <c r="E165" s="214"/>
      <c r="F165" s="214"/>
      <c r="G165" s="214"/>
      <c r="H165" s="214"/>
      <c r="I165" s="214"/>
      <c r="J165" s="214"/>
      <c r="K165" s="214"/>
      <c r="L165" s="214"/>
    </row>
    <row r="166" spans="1:12" ht="48" customHeight="1" x14ac:dyDescent="0.3">
      <c r="A166" s="152">
        <v>109</v>
      </c>
      <c r="B166" s="113" t="s">
        <v>1113</v>
      </c>
      <c r="C166" s="113" t="s">
        <v>1007</v>
      </c>
      <c r="D166" s="113" t="s">
        <v>453</v>
      </c>
      <c r="E166" s="111"/>
      <c r="F166" s="112"/>
      <c r="G166" s="112"/>
      <c r="H166" s="112"/>
      <c r="I166" s="113"/>
      <c r="J166" s="113"/>
      <c r="K166" s="113"/>
      <c r="L166" s="113"/>
    </row>
    <row r="167" spans="1:12" ht="18" customHeight="1" x14ac:dyDescent="0.3">
      <c r="A167" s="214" t="s">
        <v>986</v>
      </c>
      <c r="B167" s="214"/>
      <c r="C167" s="214"/>
      <c r="D167" s="214"/>
      <c r="E167" s="214"/>
      <c r="F167" s="214"/>
      <c r="G167" s="214"/>
      <c r="H167" s="214"/>
      <c r="I167" s="214"/>
      <c r="J167" s="214"/>
      <c r="K167" s="214"/>
      <c r="L167" s="214"/>
    </row>
    <row r="168" spans="1:12" ht="48" customHeight="1" x14ac:dyDescent="0.3">
      <c r="A168" s="151">
        <v>110</v>
      </c>
      <c r="B168" s="120" t="s">
        <v>1114</v>
      </c>
      <c r="C168" s="120" t="s">
        <v>1007</v>
      </c>
      <c r="D168" s="120" t="s">
        <v>453</v>
      </c>
      <c r="E168" s="118"/>
      <c r="F168" s="119"/>
      <c r="G168" s="119"/>
      <c r="H168" s="119"/>
      <c r="I168" s="120"/>
      <c r="J168" s="120"/>
      <c r="K168" s="120"/>
      <c r="L168" s="120"/>
    </row>
    <row r="169" spans="1:12" ht="21.75" customHeight="1" x14ac:dyDescent="0.3">
      <c r="A169" s="218" t="s">
        <v>1060</v>
      </c>
      <c r="B169" s="218"/>
      <c r="C169" s="218"/>
      <c r="D169" s="218"/>
      <c r="E169" s="218"/>
      <c r="F169" s="218"/>
      <c r="G169" s="218"/>
      <c r="H169" s="218"/>
      <c r="I169" s="218"/>
      <c r="J169" s="218"/>
      <c r="K169" s="218"/>
      <c r="L169" s="218"/>
    </row>
    <row r="170" spans="1:12" ht="18" customHeight="1" x14ac:dyDescent="0.3">
      <c r="A170" s="214" t="s">
        <v>1078</v>
      </c>
      <c r="B170" s="214"/>
      <c r="C170" s="214"/>
      <c r="D170" s="214"/>
      <c r="E170" s="214"/>
      <c r="F170" s="214"/>
      <c r="G170" s="214"/>
      <c r="H170" s="214"/>
      <c r="I170" s="214"/>
      <c r="J170" s="214"/>
      <c r="K170" s="214"/>
      <c r="L170" s="214"/>
    </row>
    <row r="171" spans="1:12" ht="48" customHeight="1" x14ac:dyDescent="0.3">
      <c r="A171" s="152">
        <v>111</v>
      </c>
      <c r="B171" s="113" t="s">
        <v>1115</v>
      </c>
      <c r="C171" s="113" t="s">
        <v>1116</v>
      </c>
      <c r="D171" s="113" t="s">
        <v>433</v>
      </c>
      <c r="E171" s="111"/>
      <c r="F171" s="112"/>
      <c r="G171" s="112"/>
      <c r="H171" s="112"/>
      <c r="I171" s="113"/>
      <c r="J171" s="113"/>
      <c r="K171" s="113"/>
      <c r="L171" s="113"/>
    </row>
    <row r="172" spans="1:12" ht="21.75" customHeight="1" x14ac:dyDescent="0.3">
      <c r="A172" s="218" t="s">
        <v>1066</v>
      </c>
      <c r="B172" s="218"/>
      <c r="C172" s="218"/>
      <c r="D172" s="218"/>
      <c r="E172" s="218"/>
      <c r="F172" s="218"/>
      <c r="G172" s="218"/>
      <c r="H172" s="218"/>
      <c r="I172" s="218"/>
      <c r="J172" s="218"/>
      <c r="K172" s="218"/>
      <c r="L172" s="218"/>
    </row>
    <row r="173" spans="1:12" ht="18" customHeight="1" x14ac:dyDescent="0.3">
      <c r="A173" s="214" t="s">
        <v>969</v>
      </c>
      <c r="B173" s="214"/>
      <c r="C173" s="214"/>
      <c r="D173" s="214"/>
      <c r="E173" s="214"/>
      <c r="F173" s="214"/>
      <c r="G173" s="214"/>
      <c r="H173" s="214"/>
      <c r="I173" s="214"/>
      <c r="J173" s="214"/>
      <c r="K173" s="214"/>
      <c r="L173" s="214"/>
    </row>
    <row r="174" spans="1:12" ht="48" customHeight="1" x14ac:dyDescent="0.3">
      <c r="A174" s="150">
        <v>112</v>
      </c>
      <c r="B174" s="92" t="s">
        <v>1117</v>
      </c>
      <c r="C174" s="92" t="s">
        <v>1090</v>
      </c>
      <c r="D174" s="92" t="s">
        <v>433</v>
      </c>
      <c r="E174" s="90" t="s">
        <v>422</v>
      </c>
      <c r="F174" s="91"/>
      <c r="G174" s="91"/>
      <c r="H174" s="91"/>
      <c r="I174" s="92"/>
      <c r="J174" s="92"/>
      <c r="K174" s="92"/>
      <c r="L174" s="92"/>
    </row>
    <row r="175" spans="1:12" ht="48" customHeight="1" x14ac:dyDescent="0.3">
      <c r="A175" s="150">
        <v>113</v>
      </c>
      <c r="B175" s="92" t="s">
        <v>1118</v>
      </c>
      <c r="C175" s="92" t="s">
        <v>1119</v>
      </c>
      <c r="D175" s="92" t="s">
        <v>433</v>
      </c>
      <c r="E175" s="90" t="s">
        <v>422</v>
      </c>
      <c r="F175" s="91"/>
      <c r="G175" s="91"/>
      <c r="H175" s="91"/>
      <c r="I175" s="92"/>
      <c r="J175" s="92"/>
      <c r="K175" s="92"/>
      <c r="L175" s="92"/>
    </row>
    <row r="176" spans="1:12" ht="48" customHeight="1" x14ac:dyDescent="0.3">
      <c r="A176" s="151">
        <v>114</v>
      </c>
      <c r="B176" s="120" t="s">
        <v>1118</v>
      </c>
      <c r="C176" s="120" t="s">
        <v>1120</v>
      </c>
      <c r="D176" s="120" t="s">
        <v>433</v>
      </c>
      <c r="E176" s="118"/>
      <c r="F176" s="119"/>
      <c r="G176" s="119"/>
      <c r="H176" s="119"/>
      <c r="I176" s="120"/>
      <c r="J176" s="120"/>
      <c r="K176" s="120"/>
      <c r="L176" s="120"/>
    </row>
    <row r="177" spans="1:12" ht="18" customHeight="1" x14ac:dyDescent="0.3">
      <c r="A177" s="214" t="s">
        <v>976</v>
      </c>
      <c r="B177" s="214"/>
      <c r="C177" s="214"/>
      <c r="D177" s="214"/>
      <c r="E177" s="214"/>
      <c r="F177" s="214"/>
      <c r="G177" s="214"/>
      <c r="H177" s="214"/>
      <c r="I177" s="214"/>
      <c r="J177" s="214"/>
      <c r="K177" s="214"/>
      <c r="L177" s="214"/>
    </row>
    <row r="178" spans="1:12" ht="48" customHeight="1" x14ac:dyDescent="0.3">
      <c r="A178" s="152">
        <v>115</v>
      </c>
      <c r="B178" s="113" t="s">
        <v>1121</v>
      </c>
      <c r="C178" s="113" t="s">
        <v>1007</v>
      </c>
      <c r="D178" s="113" t="s">
        <v>433</v>
      </c>
      <c r="E178" s="111"/>
      <c r="F178" s="112"/>
      <c r="G178" s="112"/>
      <c r="H178" s="112"/>
      <c r="I178" s="113"/>
      <c r="J178" s="113"/>
      <c r="K178" s="113"/>
      <c r="L178" s="113"/>
    </row>
    <row r="179" spans="1:12" ht="18" customHeight="1" x14ac:dyDescent="0.3">
      <c r="A179" s="214" t="s">
        <v>979</v>
      </c>
      <c r="B179" s="214"/>
      <c r="C179" s="214"/>
      <c r="D179" s="214"/>
      <c r="E179" s="214"/>
      <c r="F179" s="214"/>
      <c r="G179" s="214"/>
      <c r="H179" s="214"/>
      <c r="I179" s="214"/>
      <c r="J179" s="214"/>
      <c r="K179" s="214"/>
      <c r="L179" s="214"/>
    </row>
    <row r="180" spans="1:12" ht="48" customHeight="1" x14ac:dyDescent="0.3">
      <c r="A180" s="151">
        <v>116</v>
      </c>
      <c r="B180" s="120" t="s">
        <v>1122</v>
      </c>
      <c r="C180" s="120" t="s">
        <v>1112</v>
      </c>
      <c r="D180" s="120" t="s">
        <v>433</v>
      </c>
      <c r="E180" s="118"/>
      <c r="F180" s="119"/>
      <c r="G180" s="119"/>
      <c r="H180" s="119"/>
      <c r="I180" s="120"/>
      <c r="J180" s="120"/>
      <c r="K180" s="120"/>
      <c r="L180" s="120"/>
    </row>
    <row r="181" spans="1:12" ht="18" customHeight="1" x14ac:dyDescent="0.3">
      <c r="A181" s="214" t="s">
        <v>1123</v>
      </c>
      <c r="B181" s="214"/>
      <c r="C181" s="214"/>
      <c r="D181" s="214"/>
      <c r="E181" s="214"/>
      <c r="F181" s="214"/>
      <c r="G181" s="214"/>
      <c r="H181" s="214"/>
      <c r="I181" s="214"/>
      <c r="J181" s="214"/>
      <c r="K181" s="214"/>
      <c r="L181" s="214"/>
    </row>
    <row r="182" spans="1:12" ht="48" customHeight="1" x14ac:dyDescent="0.3">
      <c r="A182" s="152">
        <v>117</v>
      </c>
      <c r="B182" s="113" t="s">
        <v>1124</v>
      </c>
      <c r="C182" s="113" t="s">
        <v>1125</v>
      </c>
      <c r="D182" s="113" t="s">
        <v>433</v>
      </c>
      <c r="E182" s="111"/>
      <c r="F182" s="112"/>
      <c r="G182" s="112"/>
      <c r="H182" s="112"/>
      <c r="I182" s="113"/>
      <c r="J182" s="113"/>
      <c r="K182" s="113"/>
      <c r="L182" s="113"/>
    </row>
    <row r="183" spans="1:12" ht="21.75" customHeight="1" x14ac:dyDescent="0.3">
      <c r="A183" s="218" t="s">
        <v>1077</v>
      </c>
      <c r="B183" s="218"/>
      <c r="C183" s="218"/>
      <c r="D183" s="218"/>
      <c r="E183" s="218"/>
      <c r="F183" s="218"/>
      <c r="G183" s="218"/>
      <c r="H183" s="218"/>
      <c r="I183" s="218"/>
      <c r="J183" s="218"/>
      <c r="K183" s="218"/>
      <c r="L183" s="218"/>
    </row>
    <row r="184" spans="1:12" ht="18" customHeight="1" x14ac:dyDescent="0.3">
      <c r="A184" s="214" t="s">
        <v>1078</v>
      </c>
      <c r="B184" s="214"/>
      <c r="C184" s="214"/>
      <c r="D184" s="214"/>
      <c r="E184" s="214"/>
      <c r="F184" s="214"/>
      <c r="G184" s="214"/>
      <c r="H184" s="214"/>
      <c r="I184" s="214"/>
      <c r="J184" s="214"/>
      <c r="K184" s="214"/>
      <c r="L184" s="214"/>
    </row>
    <row r="185" spans="1:12" ht="48" customHeight="1" x14ac:dyDescent="0.3">
      <c r="A185" s="151">
        <v>118</v>
      </c>
      <c r="B185" s="120" t="s">
        <v>1126</v>
      </c>
      <c r="C185" s="120" t="s">
        <v>1116</v>
      </c>
      <c r="D185" s="120" t="s">
        <v>433</v>
      </c>
      <c r="E185" s="118"/>
      <c r="F185" s="119"/>
      <c r="G185" s="119"/>
      <c r="H185" s="119"/>
      <c r="I185" s="120"/>
      <c r="J185" s="120"/>
      <c r="K185" s="120"/>
      <c r="L185" s="120"/>
    </row>
    <row r="186" spans="1:12" ht="21.75" customHeight="1" x14ac:dyDescent="0.3">
      <c r="A186" s="218" t="s">
        <v>1085</v>
      </c>
      <c r="B186" s="218"/>
      <c r="C186" s="218"/>
      <c r="D186" s="218"/>
      <c r="E186" s="218"/>
      <c r="F186" s="218"/>
      <c r="G186" s="218"/>
      <c r="H186" s="218"/>
      <c r="I186" s="218"/>
      <c r="J186" s="218"/>
      <c r="K186" s="218"/>
      <c r="L186" s="218"/>
    </row>
    <row r="187" spans="1:12" ht="18" customHeight="1" x14ac:dyDescent="0.3">
      <c r="A187" s="214" t="s">
        <v>1078</v>
      </c>
      <c r="B187" s="214"/>
      <c r="C187" s="214"/>
      <c r="D187" s="214"/>
      <c r="E187" s="214"/>
      <c r="F187" s="214"/>
      <c r="G187" s="214"/>
      <c r="H187" s="214"/>
      <c r="I187" s="214"/>
      <c r="J187" s="214"/>
      <c r="K187" s="214"/>
      <c r="L187" s="214"/>
    </row>
    <row r="188" spans="1:12" ht="48" customHeight="1" x14ac:dyDescent="0.3">
      <c r="A188" s="152">
        <v>119</v>
      </c>
      <c r="B188" s="113" t="s">
        <v>1127</v>
      </c>
      <c r="C188" s="113" t="s">
        <v>1128</v>
      </c>
      <c r="D188" s="113" t="s">
        <v>433</v>
      </c>
      <c r="E188" s="111"/>
      <c r="F188" s="112"/>
      <c r="G188" s="112"/>
      <c r="H188" s="112"/>
      <c r="I188" s="113"/>
      <c r="J188" s="113"/>
      <c r="K188" s="113"/>
      <c r="L188" s="113"/>
    </row>
    <row r="189" spans="1:12" ht="48" customHeight="1" x14ac:dyDescent="0.3">
      <c r="A189" s="151">
        <v>120</v>
      </c>
      <c r="B189" s="120" t="s">
        <v>1129</v>
      </c>
      <c r="C189" s="120" t="s">
        <v>1130</v>
      </c>
      <c r="D189" s="120" t="s">
        <v>433</v>
      </c>
      <c r="E189" s="118"/>
      <c r="F189" s="119"/>
      <c r="G189" s="119"/>
      <c r="H189" s="119"/>
      <c r="I189" s="120"/>
      <c r="J189" s="120"/>
      <c r="K189" s="120"/>
      <c r="L189" s="120"/>
    </row>
    <row r="190" spans="1:12" ht="48" customHeight="1" x14ac:dyDescent="0.3">
      <c r="A190" s="152">
        <v>121</v>
      </c>
      <c r="B190" s="113" t="s">
        <v>1129</v>
      </c>
      <c r="C190" s="113" t="s">
        <v>1131</v>
      </c>
      <c r="D190" s="113" t="s">
        <v>433</v>
      </c>
      <c r="E190" s="111"/>
      <c r="F190" s="112"/>
      <c r="G190" s="112"/>
      <c r="H190" s="112"/>
      <c r="I190" s="113"/>
      <c r="J190" s="113"/>
      <c r="K190" s="113"/>
      <c r="L190" s="113"/>
    </row>
    <row r="191" spans="1:12" ht="48" customHeight="1" x14ac:dyDescent="0.3">
      <c r="A191" s="151">
        <v>122</v>
      </c>
      <c r="B191" s="120" t="s">
        <v>1132</v>
      </c>
      <c r="C191" s="120" t="s">
        <v>1133</v>
      </c>
      <c r="D191" s="120" t="s">
        <v>433</v>
      </c>
      <c r="E191" s="118"/>
      <c r="F191" s="119"/>
      <c r="G191" s="119"/>
      <c r="H191" s="119"/>
      <c r="I191" s="120"/>
      <c r="J191" s="120"/>
      <c r="K191" s="120"/>
      <c r="L191" s="120"/>
    </row>
    <row r="194" spans="1:12" ht="15" customHeight="1" x14ac:dyDescent="0.3">
      <c r="A194" s="216" t="s">
        <v>1134</v>
      </c>
      <c r="B194" s="216"/>
      <c r="C194" s="216"/>
      <c r="D194" s="216"/>
      <c r="E194" s="216"/>
      <c r="F194" s="216"/>
      <c r="G194" s="216"/>
      <c r="H194" s="216"/>
      <c r="I194" s="216"/>
      <c r="J194" s="216"/>
      <c r="K194" s="216"/>
      <c r="L194" s="216"/>
    </row>
    <row r="195" spans="1:12" ht="53.25" customHeight="1" x14ac:dyDescent="0.3">
      <c r="A195" s="132" t="s">
        <v>419</v>
      </c>
      <c r="B195" s="132" t="s">
        <v>900</v>
      </c>
      <c r="C195" s="132" t="s">
        <v>370</v>
      </c>
      <c r="D195" s="132" t="s">
        <v>371</v>
      </c>
      <c r="E195" s="132" t="s">
        <v>372</v>
      </c>
      <c r="F195" s="132" t="s">
        <v>755</v>
      </c>
      <c r="G195" s="132" t="s">
        <v>301</v>
      </c>
    </row>
    <row r="196" spans="1:12" ht="42.75" customHeight="1" x14ac:dyDescent="0.3">
      <c r="A196" s="133" t="s">
        <v>431</v>
      </c>
      <c r="B196" s="119">
        <f>COUNTIF(B11:B191,"*TALENTO HUMANO*")</f>
        <v>19</v>
      </c>
      <c r="C196" s="119">
        <f>COUNTIFS(B11:B191,"*TALENTO HUMANO*",F11:F191,"X")</f>
        <v>0</v>
      </c>
      <c r="D196" s="119">
        <f>COUNTIFS(B11:B191,"*TALENTO HUMANO*",G11:G191,"X")</f>
        <v>0</v>
      </c>
      <c r="E196" s="119">
        <f>COUNTIFS(B11:B191,"*TALENTO HUMANO*",H11:H191,"X")</f>
        <v>0</v>
      </c>
      <c r="F196" s="134">
        <f t="shared" ref="F196:F202" si="0">IF((C196+D196)=0,0,C196/(C196+D196))</f>
        <v>0</v>
      </c>
      <c r="G196" s="119" t="str">
        <f t="shared" ref="G196:G203" si="1">IF(F196&gt;=0.9,"ALTO",IF(F196&gt;=0.7,"MEDIO",IF(F196&gt;0,"BAJO","SIN EVALUAR")))</f>
        <v>SIN EVALUAR</v>
      </c>
    </row>
    <row r="197" spans="1:12" ht="53.25" customHeight="1" x14ac:dyDescent="0.3">
      <c r="A197" s="135" t="s">
        <v>756</v>
      </c>
      <c r="B197" s="112">
        <f>COUNTIF(B11:B191,"*INFRAESTRUCTURA*")</f>
        <v>21</v>
      </c>
      <c r="C197" s="112">
        <f>COUNTIFS(B11:B191,"*INFRAESTRUCTURA*",F11:F191,"X")</f>
        <v>0</v>
      </c>
      <c r="D197" s="112">
        <f>COUNTIFS(B11:B191,"*INFRAESTRUCTURA*",G11:G191,"X")</f>
        <v>0</v>
      </c>
      <c r="E197" s="112">
        <f>COUNTIFS(B11:B191,"*INFRAESTRUCTURA*",H11:H191,"X")</f>
        <v>0</v>
      </c>
      <c r="F197" s="136">
        <f t="shared" si="0"/>
        <v>0</v>
      </c>
      <c r="G197" s="112" t="str">
        <f t="shared" si="1"/>
        <v>SIN EVALUAR</v>
      </c>
    </row>
    <row r="198" spans="1:12" ht="32.25" customHeight="1" x14ac:dyDescent="0.3">
      <c r="A198" s="133" t="s">
        <v>539</v>
      </c>
      <c r="B198" s="119">
        <f>COUNTIF(B11:B191,"*DOTACIÓN*")</f>
        <v>48</v>
      </c>
      <c r="C198" s="119">
        <f>COUNTIFS(B11:B191,"*DOTACIÓN*",F11:F191,"X")</f>
        <v>0</v>
      </c>
      <c r="D198" s="119">
        <f>COUNTIFS(B11:B191,"*DOTACIÓN*",G11:G191,"X")</f>
        <v>0</v>
      </c>
      <c r="E198" s="119">
        <f>COUNTIFS(B11:B191,"*DOTACIÓN*",H11:H191,"X")</f>
        <v>0</v>
      </c>
      <c r="F198" s="134">
        <f t="shared" si="0"/>
        <v>0</v>
      </c>
      <c r="G198" s="119" t="str">
        <f t="shared" si="1"/>
        <v>SIN EVALUAR</v>
      </c>
    </row>
    <row r="199" spans="1:12" ht="63.75" customHeight="1" x14ac:dyDescent="0.3">
      <c r="A199" s="135" t="s">
        <v>1061</v>
      </c>
      <c r="B199" s="112">
        <f>COUNTIF(B11:B191,"*MEDICAMENTOS E INSUMOS*")</f>
        <v>4</v>
      </c>
      <c r="C199" s="112">
        <f>COUNTIFS(B11:B191,"*MEDICAMENTOS E INSUMOS*",F11:F191,"X")</f>
        <v>0</v>
      </c>
      <c r="D199" s="112">
        <f>COUNTIFS(B11:B191,"*MEDICAMENTOS E INSUMOS*",G11:G191,"X")</f>
        <v>0</v>
      </c>
      <c r="E199" s="112">
        <f>COUNTIFS(B11:B191,"*MEDICAMENTOS E INSUMOS*",H11:H191,"X")</f>
        <v>0</v>
      </c>
      <c r="F199" s="136">
        <f t="shared" si="0"/>
        <v>0</v>
      </c>
      <c r="G199" s="112" t="str">
        <f t="shared" si="1"/>
        <v>SIN EVALUAR</v>
      </c>
    </row>
    <row r="200" spans="1:12" ht="63.75" customHeight="1" x14ac:dyDescent="0.3">
      <c r="A200" s="133" t="s">
        <v>610</v>
      </c>
      <c r="B200" s="119">
        <f>COUNTIF(B11:B191,"*PROCESOS PRIORITARIOS*")</f>
        <v>16</v>
      </c>
      <c r="C200" s="119">
        <f>COUNTIFS(B11:B191,"*PROCESOS PRIORITARIOS*",F11:F191,"X")</f>
        <v>0</v>
      </c>
      <c r="D200" s="119">
        <f>COUNTIFS(B11:B191,"*PROCESOS PRIORITARIOS*",G11:G191,"X")</f>
        <v>0</v>
      </c>
      <c r="E200" s="119">
        <f>COUNTIFS(B11:B191,"*PROCESOS PRIORITARIOS*",H11:H191,"X")</f>
        <v>0</v>
      </c>
      <c r="F200" s="134">
        <f t="shared" si="0"/>
        <v>0</v>
      </c>
      <c r="G200" s="119" t="str">
        <f t="shared" si="1"/>
        <v>SIN EVALUAR</v>
      </c>
    </row>
    <row r="201" spans="1:12" ht="42.75" customHeight="1" x14ac:dyDescent="0.3">
      <c r="A201" s="135" t="s">
        <v>890</v>
      </c>
      <c r="B201" s="112">
        <f>COUNTIF(B11:B191,"*HISTORIA CLÍNICA*")</f>
        <v>8</v>
      </c>
      <c r="C201" s="112">
        <f>COUNTIFS(B11:B191,"*HISTORIA CLÍNICA*",F11:F191,"X")</f>
        <v>0</v>
      </c>
      <c r="D201" s="112">
        <f>COUNTIFS(B11:B191,"*HISTORIA CLÍNICA*",G11:G191,"X")</f>
        <v>0</v>
      </c>
      <c r="E201" s="112">
        <f>COUNTIFS(B11:B191,"*HISTORIA CLÍNICA*",H11:H191,"X")</f>
        <v>0</v>
      </c>
      <c r="F201" s="136">
        <f t="shared" si="0"/>
        <v>0</v>
      </c>
      <c r="G201" s="112" t="str">
        <f t="shared" si="1"/>
        <v>SIN EVALUAR</v>
      </c>
    </row>
    <row r="202" spans="1:12" ht="53.25" customHeight="1" x14ac:dyDescent="0.3">
      <c r="A202" s="133" t="s">
        <v>750</v>
      </c>
      <c r="B202" s="119">
        <f>COUNTIF(B11:B191,"*INTERDEPENDENCIA*")</f>
        <v>6</v>
      </c>
      <c r="C202" s="119">
        <f>COUNTIFS(B11:B191,"*INTERDEPENDENCIA*",F11:F191,"X")</f>
        <v>0</v>
      </c>
      <c r="D202" s="119">
        <f>COUNTIFS(B11:B191,"*INTERDEPENDENCIA*",G11:G191,"X")</f>
        <v>0</v>
      </c>
      <c r="E202" s="119">
        <f>COUNTIFS(B11:B191,"*INTERDEPENDENCIA*",H11:H191,"X")</f>
        <v>0</v>
      </c>
      <c r="F202" s="134">
        <f t="shared" si="0"/>
        <v>0</v>
      </c>
      <c r="G202" s="119" t="str">
        <f t="shared" si="1"/>
        <v>SIN EVALUAR</v>
      </c>
    </row>
    <row r="203" spans="1:12" ht="53.25" customHeight="1" x14ac:dyDescent="0.3">
      <c r="A203" s="82" t="s">
        <v>379</v>
      </c>
      <c r="B203" s="82">
        <f>SUM(B196:B202)</f>
        <v>122</v>
      </c>
      <c r="C203" s="82">
        <f>SUM(C196:C202)</f>
        <v>0</v>
      </c>
      <c r="D203" s="82">
        <f>SUM(D196:D202)</f>
        <v>0</v>
      </c>
      <c r="E203" s="82">
        <f>SUM(E196:E202)</f>
        <v>0</v>
      </c>
      <c r="F203" s="137">
        <f>SUM(F196:F202)</f>
        <v>0</v>
      </c>
      <c r="G203" s="82" t="str">
        <f t="shared" si="1"/>
        <v>SIN EVALUAR</v>
      </c>
    </row>
  </sheetData>
  <mergeCells count="73">
    <mergeCell ref="A183:L183"/>
    <mergeCell ref="A184:L184"/>
    <mergeCell ref="A186:L186"/>
    <mergeCell ref="A187:L187"/>
    <mergeCell ref="A194:L194"/>
    <mergeCell ref="A172:L172"/>
    <mergeCell ref="A173:L173"/>
    <mergeCell ref="A177:L177"/>
    <mergeCell ref="A179:L179"/>
    <mergeCell ref="A181:L181"/>
    <mergeCell ref="A163:L163"/>
    <mergeCell ref="A165:L165"/>
    <mergeCell ref="A167:L167"/>
    <mergeCell ref="A169:L169"/>
    <mergeCell ref="A170:L170"/>
    <mergeCell ref="A152:L152"/>
    <mergeCell ref="A155:L155"/>
    <mergeCell ref="A157:L157"/>
    <mergeCell ref="A158:L158"/>
    <mergeCell ref="A161:L161"/>
    <mergeCell ref="A142:L142"/>
    <mergeCell ref="A144:L144"/>
    <mergeCell ref="A147:L147"/>
    <mergeCell ref="A149:L149"/>
    <mergeCell ref="A151:L151"/>
    <mergeCell ref="A132:L132"/>
    <mergeCell ref="A134:L134"/>
    <mergeCell ref="A136:L136"/>
    <mergeCell ref="A137:L137"/>
    <mergeCell ref="A138:L138"/>
    <mergeCell ref="A118:L118"/>
    <mergeCell ref="A120:L120"/>
    <mergeCell ref="A122:L122"/>
    <mergeCell ref="A123:L123"/>
    <mergeCell ref="A131:L131"/>
    <mergeCell ref="A104:L104"/>
    <mergeCell ref="A106:L106"/>
    <mergeCell ref="A107:L107"/>
    <mergeCell ref="A114:L114"/>
    <mergeCell ref="A116:L116"/>
    <mergeCell ref="A94:L94"/>
    <mergeCell ref="A96:L96"/>
    <mergeCell ref="A98:L98"/>
    <mergeCell ref="A100:L100"/>
    <mergeCell ref="A101:L101"/>
    <mergeCell ref="A49:L49"/>
    <mergeCell ref="A51:L51"/>
    <mergeCell ref="A52:L52"/>
    <mergeCell ref="A74:L74"/>
    <mergeCell ref="A92:L92"/>
    <mergeCell ref="A27:L27"/>
    <mergeCell ref="A41:L41"/>
    <mergeCell ref="A43:L43"/>
    <mergeCell ref="A45:L45"/>
    <mergeCell ref="A47:L47"/>
    <mergeCell ref="A17:L17"/>
    <mergeCell ref="A19:L19"/>
    <mergeCell ref="A22:L22"/>
    <mergeCell ref="A24:L24"/>
    <mergeCell ref="A26:L26"/>
    <mergeCell ref="A5:L5"/>
    <mergeCell ref="A6:L6"/>
    <mergeCell ref="A8:L8"/>
    <mergeCell ref="A9:L9"/>
    <mergeCell ref="A10:L10"/>
    <mergeCell ref="A1:L1"/>
    <mergeCell ref="A2:L2"/>
    <mergeCell ref="A3:C3"/>
    <mergeCell ref="D3:L3"/>
    <mergeCell ref="A4:C4"/>
    <mergeCell ref="D4:F4"/>
    <mergeCell ref="H4:J4"/>
    <mergeCell ref="K4:L4"/>
  </mergeCells>
  <conditionalFormatting sqref="A11:L191">
    <cfRule type="expression" dxfId="11" priority="2">
      <formula>$F11="X"</formula>
    </cfRule>
    <cfRule type="expression" dxfId="10" priority="3">
      <formula>$G11="X"</formula>
    </cfRule>
    <cfRule type="expression" dxfId="9" priority="4">
      <formula>$H11="X"</formula>
    </cfRule>
  </conditionalFormatting>
  <dataValidations count="1">
    <dataValidation type="list" allowBlank="1" sqref="F11:H191" xr:uid="{00000000-0002-0000-0800-000000000000}">
      <formula1>"X,"</formula1>
      <formula2>0</formula2>
    </dataValidation>
  </dataValidations>
  <pageMargins left="0.3" right="0.3" top="0.5" bottom="0.5"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7950B"/>
    <pageSetUpPr fitToPage="1"/>
  </sheetPr>
  <dimension ref="A1:L55"/>
  <sheetViews>
    <sheetView showGridLines="0" zoomScaleNormal="100" workbookViewId="0">
      <pane ySplit="7" topLeftCell="A8" activePane="bottomLeft" state="frozen"/>
      <selection pane="bottomLeft" sqref="A1:L1"/>
    </sheetView>
  </sheetViews>
  <sheetFormatPr baseColWidth="10" defaultColWidth="8.6640625" defaultRowHeight="14.4" x14ac:dyDescent="0.3"/>
  <cols>
    <col min="1" max="1" width="5" customWidth="1"/>
    <col min="2" max="2" width="20" customWidth="1"/>
    <col min="3" max="3" width="48" customWidth="1"/>
    <col min="4" max="4" width="22" customWidth="1"/>
    <col min="5" max="8" width="5" customWidth="1"/>
    <col min="9" max="10" width="38" customWidth="1"/>
    <col min="11" max="11" width="22" customWidth="1"/>
    <col min="12" max="12" width="16" customWidth="1"/>
  </cols>
  <sheetData>
    <row r="1" spans="1:12" ht="30" customHeight="1" x14ac:dyDescent="0.3">
      <c r="A1" s="164" t="s">
        <v>1135</v>
      </c>
      <c r="B1" s="164"/>
      <c r="C1" s="164"/>
      <c r="D1" s="164"/>
      <c r="E1" s="164"/>
      <c r="F1" s="164"/>
      <c r="G1" s="164"/>
      <c r="H1" s="164"/>
      <c r="I1" s="164"/>
      <c r="J1" s="164"/>
      <c r="K1" s="164"/>
      <c r="L1" s="164"/>
    </row>
    <row r="2" spans="1:12" ht="19.5" customHeight="1" x14ac:dyDescent="0.3">
      <c r="A2" s="165" t="s">
        <v>1136</v>
      </c>
      <c r="B2" s="165"/>
      <c r="C2" s="165"/>
      <c r="D2" s="165"/>
      <c r="E2" s="165"/>
      <c r="F2" s="165"/>
      <c r="G2" s="165"/>
      <c r="H2" s="165"/>
      <c r="I2" s="165"/>
      <c r="J2" s="165"/>
      <c r="K2" s="165"/>
      <c r="L2" s="165"/>
    </row>
    <row r="3" spans="1:12" ht="15" customHeight="1" x14ac:dyDescent="0.3">
      <c r="A3" s="166" t="s">
        <v>361</v>
      </c>
      <c r="B3" s="166"/>
      <c r="C3" s="166"/>
      <c r="D3" s="167"/>
      <c r="E3" s="167"/>
      <c r="F3" s="167"/>
      <c r="G3" s="167"/>
      <c r="H3" s="167"/>
      <c r="I3" s="167"/>
      <c r="J3" s="167"/>
      <c r="K3" s="167"/>
      <c r="L3" s="167"/>
    </row>
    <row r="4" spans="1:12" ht="15" customHeight="1" x14ac:dyDescent="0.3">
      <c r="A4" s="166" t="s">
        <v>362</v>
      </c>
      <c r="B4" s="166"/>
      <c r="C4" s="166" t="s">
        <v>363</v>
      </c>
      <c r="D4" s="166"/>
      <c r="E4" s="166"/>
      <c r="F4" s="166" t="s">
        <v>364</v>
      </c>
      <c r="G4" s="166"/>
      <c r="H4" s="166"/>
      <c r="I4" s="166" t="s">
        <v>814</v>
      </c>
      <c r="J4" s="166"/>
      <c r="K4" s="166"/>
      <c r="L4" s="166"/>
    </row>
    <row r="5" spans="1:12" ht="19.5" customHeight="1" x14ac:dyDescent="0.3">
      <c r="A5" s="161" t="s">
        <v>815</v>
      </c>
      <c r="B5" s="161"/>
      <c r="C5" s="161"/>
      <c r="D5" s="161"/>
      <c r="E5" s="161"/>
      <c r="F5" s="161"/>
      <c r="G5" s="161"/>
      <c r="H5" s="161"/>
      <c r="I5" s="161"/>
      <c r="J5" s="161"/>
      <c r="K5" s="161"/>
      <c r="L5" s="161"/>
    </row>
    <row r="6" spans="1:12" ht="15" customHeight="1" x14ac:dyDescent="0.3">
      <c r="A6" s="162"/>
      <c r="B6" s="162"/>
      <c r="C6" s="162"/>
      <c r="D6" s="162"/>
      <c r="E6" s="162"/>
      <c r="F6" s="162"/>
      <c r="G6" s="162"/>
      <c r="H6" s="162"/>
      <c r="I6" s="162"/>
      <c r="J6" s="162"/>
      <c r="K6" s="162"/>
      <c r="L6" s="162"/>
    </row>
    <row r="7" spans="1:12" ht="30" customHeight="1" x14ac:dyDescent="0.3">
      <c r="A7" s="82" t="s">
        <v>417</v>
      </c>
      <c r="B7" s="82" t="s">
        <v>419</v>
      </c>
      <c r="C7" s="82" t="s">
        <v>816</v>
      </c>
      <c r="D7" s="82" t="s">
        <v>817</v>
      </c>
      <c r="E7" s="82" t="s">
        <v>422</v>
      </c>
      <c r="F7" s="83" t="s">
        <v>423</v>
      </c>
      <c r="G7" s="84" t="s">
        <v>424</v>
      </c>
      <c r="H7" s="85" t="s">
        <v>425</v>
      </c>
      <c r="I7" s="82" t="s">
        <v>426</v>
      </c>
      <c r="J7" s="82" t="s">
        <v>427</v>
      </c>
      <c r="K7" s="82" t="s">
        <v>428</v>
      </c>
      <c r="L7" s="82" t="s">
        <v>429</v>
      </c>
    </row>
    <row r="8" spans="1:12" ht="54.75" customHeight="1" x14ac:dyDescent="0.3">
      <c r="A8" s="142">
        <v>1</v>
      </c>
      <c r="B8" s="92" t="s">
        <v>431</v>
      </c>
      <c r="C8" s="92" t="s">
        <v>1137</v>
      </c>
      <c r="D8" s="92" t="s">
        <v>433</v>
      </c>
      <c r="E8" s="143" t="s">
        <v>422</v>
      </c>
      <c r="F8" s="144"/>
      <c r="G8" s="144"/>
      <c r="H8" s="144"/>
      <c r="I8" s="144"/>
      <c r="J8" s="144"/>
      <c r="K8" s="144"/>
      <c r="L8" s="144"/>
    </row>
    <row r="9" spans="1:12" ht="54.75" customHeight="1" x14ac:dyDescent="0.3">
      <c r="A9" s="142">
        <v>2</v>
      </c>
      <c r="B9" s="92" t="s">
        <v>431</v>
      </c>
      <c r="C9" s="92" t="s">
        <v>140</v>
      </c>
      <c r="D9" s="92" t="s">
        <v>433</v>
      </c>
      <c r="E9" s="143" t="s">
        <v>422</v>
      </c>
      <c r="F9" s="146"/>
      <c r="G9" s="146"/>
      <c r="H9" s="146"/>
      <c r="I9" s="146"/>
      <c r="J9" s="146"/>
      <c r="K9" s="146"/>
      <c r="L9" s="146"/>
    </row>
    <row r="10" spans="1:12" ht="54.75" customHeight="1" x14ac:dyDescent="0.3">
      <c r="A10" s="142">
        <v>3</v>
      </c>
      <c r="B10" s="120" t="s">
        <v>431</v>
      </c>
      <c r="C10" s="120" t="s">
        <v>1138</v>
      </c>
      <c r="D10" s="120" t="s">
        <v>433</v>
      </c>
      <c r="E10" s="147"/>
      <c r="F10" s="144"/>
      <c r="G10" s="144"/>
      <c r="H10" s="144"/>
      <c r="I10" s="144"/>
      <c r="J10" s="144"/>
      <c r="K10" s="144"/>
      <c r="L10" s="144"/>
    </row>
    <row r="11" spans="1:12" ht="54.75" customHeight="1" x14ac:dyDescent="0.3">
      <c r="A11" s="142">
        <v>4</v>
      </c>
      <c r="B11" s="113" t="s">
        <v>756</v>
      </c>
      <c r="C11" s="113" t="s">
        <v>1139</v>
      </c>
      <c r="D11" s="113" t="s">
        <v>453</v>
      </c>
      <c r="E11" s="145"/>
      <c r="F11" s="146"/>
      <c r="G11" s="146"/>
      <c r="H11" s="146"/>
      <c r="I11" s="146"/>
      <c r="J11" s="146"/>
      <c r="K11" s="146"/>
      <c r="L11" s="146"/>
    </row>
    <row r="12" spans="1:12" ht="54.75" customHeight="1" x14ac:dyDescent="0.3">
      <c r="A12" s="142">
        <v>5</v>
      </c>
      <c r="B12" s="120" t="s">
        <v>756</v>
      </c>
      <c r="C12" s="120" t="s">
        <v>1140</v>
      </c>
      <c r="D12" s="120" t="s">
        <v>453</v>
      </c>
      <c r="E12" s="147"/>
      <c r="F12" s="144"/>
      <c r="G12" s="144"/>
      <c r="H12" s="144"/>
      <c r="I12" s="144"/>
      <c r="J12" s="144"/>
      <c r="K12" s="144"/>
      <c r="L12" s="144"/>
    </row>
    <row r="13" spans="1:12" ht="54.75" customHeight="1" x14ac:dyDescent="0.3">
      <c r="A13" s="142">
        <v>6</v>
      </c>
      <c r="B13" s="113" t="s">
        <v>756</v>
      </c>
      <c r="C13" s="113" t="s">
        <v>1141</v>
      </c>
      <c r="D13" s="113" t="s">
        <v>453</v>
      </c>
      <c r="E13" s="145"/>
      <c r="F13" s="146"/>
      <c r="G13" s="146"/>
      <c r="H13" s="146"/>
      <c r="I13" s="146"/>
      <c r="J13" s="146"/>
      <c r="K13" s="146"/>
      <c r="L13" s="146"/>
    </row>
    <row r="14" spans="1:12" ht="54.75" customHeight="1" x14ac:dyDescent="0.3">
      <c r="A14" s="142">
        <v>7</v>
      </c>
      <c r="B14" s="120" t="s">
        <v>756</v>
      </c>
      <c r="C14" s="120" t="s">
        <v>1142</v>
      </c>
      <c r="D14" s="120" t="s">
        <v>453</v>
      </c>
      <c r="E14" s="147"/>
      <c r="F14" s="144"/>
      <c r="G14" s="144"/>
      <c r="H14" s="144"/>
      <c r="I14" s="144"/>
      <c r="J14" s="144"/>
      <c r="K14" s="144"/>
      <c r="L14" s="144"/>
    </row>
    <row r="15" spans="1:12" ht="54.75" customHeight="1" x14ac:dyDescent="0.3">
      <c r="A15" s="142">
        <v>8</v>
      </c>
      <c r="B15" s="113" t="s">
        <v>756</v>
      </c>
      <c r="C15" s="113" t="s">
        <v>1143</v>
      </c>
      <c r="D15" s="113" t="s">
        <v>453</v>
      </c>
      <c r="E15" s="145"/>
      <c r="F15" s="146"/>
      <c r="G15" s="146"/>
      <c r="H15" s="146"/>
      <c r="I15" s="146"/>
      <c r="J15" s="146"/>
      <c r="K15" s="146"/>
      <c r="L15" s="146"/>
    </row>
    <row r="16" spans="1:12" ht="54.75" customHeight="1" x14ac:dyDescent="0.3">
      <c r="A16" s="142">
        <v>9</v>
      </c>
      <c r="B16" s="120" t="s">
        <v>756</v>
      </c>
      <c r="C16" s="120" t="s">
        <v>1144</v>
      </c>
      <c r="D16" s="120" t="s">
        <v>453</v>
      </c>
      <c r="E16" s="147"/>
      <c r="F16" s="144"/>
      <c r="G16" s="144"/>
      <c r="H16" s="144"/>
      <c r="I16" s="144"/>
      <c r="J16" s="144"/>
      <c r="K16" s="144"/>
      <c r="L16" s="144"/>
    </row>
    <row r="17" spans="1:12" ht="54.75" customHeight="1" x14ac:dyDescent="0.3">
      <c r="A17" s="142">
        <v>10</v>
      </c>
      <c r="B17" s="113" t="s">
        <v>756</v>
      </c>
      <c r="C17" s="113" t="s">
        <v>1145</v>
      </c>
      <c r="D17" s="113" t="s">
        <v>453</v>
      </c>
      <c r="E17" s="145"/>
      <c r="F17" s="146"/>
      <c r="G17" s="146"/>
      <c r="H17" s="146"/>
      <c r="I17" s="146"/>
      <c r="J17" s="146"/>
      <c r="K17" s="146"/>
      <c r="L17" s="146"/>
    </row>
    <row r="18" spans="1:12" ht="54.75" customHeight="1" x14ac:dyDescent="0.3">
      <c r="A18" s="142">
        <v>11</v>
      </c>
      <c r="B18" s="120" t="s">
        <v>756</v>
      </c>
      <c r="C18" s="120" t="s">
        <v>1146</v>
      </c>
      <c r="D18" s="120" t="s">
        <v>453</v>
      </c>
      <c r="E18" s="147"/>
      <c r="F18" s="144"/>
      <c r="G18" s="144"/>
      <c r="H18" s="144"/>
      <c r="I18" s="144"/>
      <c r="J18" s="144"/>
      <c r="K18" s="144"/>
      <c r="L18" s="144"/>
    </row>
    <row r="19" spans="1:12" ht="54.75" customHeight="1" x14ac:dyDescent="0.3">
      <c r="A19" s="142">
        <v>12</v>
      </c>
      <c r="B19" s="113" t="s">
        <v>756</v>
      </c>
      <c r="C19" s="113" t="s">
        <v>1147</v>
      </c>
      <c r="D19" s="113" t="s">
        <v>453</v>
      </c>
      <c r="E19" s="145"/>
      <c r="F19" s="146"/>
      <c r="G19" s="146"/>
      <c r="H19" s="146"/>
      <c r="I19" s="146"/>
      <c r="J19" s="146"/>
      <c r="K19" s="146"/>
      <c r="L19" s="146"/>
    </row>
    <row r="20" spans="1:12" ht="54.75" customHeight="1" x14ac:dyDescent="0.3">
      <c r="A20" s="142">
        <v>13</v>
      </c>
      <c r="B20" s="120" t="s">
        <v>756</v>
      </c>
      <c r="C20" s="120" t="s">
        <v>1148</v>
      </c>
      <c r="D20" s="120" t="s">
        <v>453</v>
      </c>
      <c r="E20" s="147"/>
      <c r="F20" s="144"/>
      <c r="G20" s="144"/>
      <c r="H20" s="144"/>
      <c r="I20" s="144"/>
      <c r="J20" s="144"/>
      <c r="K20" s="144"/>
      <c r="L20" s="144"/>
    </row>
    <row r="21" spans="1:12" ht="54.75" customHeight="1" x14ac:dyDescent="0.3">
      <c r="A21" s="142">
        <v>14</v>
      </c>
      <c r="B21" s="113" t="s">
        <v>756</v>
      </c>
      <c r="C21" s="113" t="s">
        <v>1149</v>
      </c>
      <c r="D21" s="113" t="s">
        <v>453</v>
      </c>
      <c r="E21" s="145"/>
      <c r="F21" s="146"/>
      <c r="G21" s="146"/>
      <c r="H21" s="146"/>
      <c r="I21" s="146"/>
      <c r="J21" s="146"/>
      <c r="K21" s="146"/>
      <c r="L21" s="146"/>
    </row>
    <row r="22" spans="1:12" ht="54.75" customHeight="1" x14ac:dyDescent="0.3">
      <c r="A22" s="142">
        <v>15</v>
      </c>
      <c r="B22" s="120" t="s">
        <v>756</v>
      </c>
      <c r="C22" s="120" t="s">
        <v>1150</v>
      </c>
      <c r="D22" s="120" t="s">
        <v>453</v>
      </c>
      <c r="E22" s="147"/>
      <c r="F22" s="144"/>
      <c r="G22" s="144"/>
      <c r="H22" s="144"/>
      <c r="I22" s="144"/>
      <c r="J22" s="144"/>
      <c r="K22" s="144"/>
      <c r="L22" s="144"/>
    </row>
    <row r="23" spans="1:12" ht="54.75" customHeight="1" x14ac:dyDescent="0.3">
      <c r="A23" s="142">
        <v>16</v>
      </c>
      <c r="B23" s="113" t="s">
        <v>756</v>
      </c>
      <c r="C23" s="113" t="s">
        <v>1151</v>
      </c>
      <c r="D23" s="113" t="s">
        <v>453</v>
      </c>
      <c r="E23" s="145"/>
      <c r="F23" s="146"/>
      <c r="G23" s="146"/>
      <c r="H23" s="146"/>
      <c r="I23" s="146"/>
      <c r="J23" s="146"/>
      <c r="K23" s="146"/>
      <c r="L23" s="146"/>
    </row>
    <row r="24" spans="1:12" ht="54.75" customHeight="1" x14ac:dyDescent="0.3">
      <c r="A24" s="142">
        <v>17</v>
      </c>
      <c r="B24" s="92" t="s">
        <v>539</v>
      </c>
      <c r="C24" s="92" t="s">
        <v>1152</v>
      </c>
      <c r="D24" s="92" t="s">
        <v>453</v>
      </c>
      <c r="E24" s="143" t="s">
        <v>422</v>
      </c>
      <c r="F24" s="144"/>
      <c r="G24" s="144"/>
      <c r="H24" s="144"/>
      <c r="I24" s="144"/>
      <c r="J24" s="144"/>
      <c r="K24" s="144"/>
      <c r="L24" s="144"/>
    </row>
    <row r="25" spans="1:12" ht="54.75" customHeight="1" x14ac:dyDescent="0.3">
      <c r="A25" s="142">
        <v>18</v>
      </c>
      <c r="B25" s="113" t="s">
        <v>539</v>
      </c>
      <c r="C25" s="113" t="s">
        <v>1153</v>
      </c>
      <c r="D25" s="113" t="s">
        <v>453</v>
      </c>
      <c r="E25" s="145"/>
      <c r="F25" s="146"/>
      <c r="G25" s="146"/>
      <c r="H25" s="146"/>
      <c r="I25" s="146"/>
      <c r="J25" s="146"/>
      <c r="K25" s="146"/>
      <c r="L25" s="146"/>
    </row>
    <row r="26" spans="1:12" ht="54.75" customHeight="1" x14ac:dyDescent="0.3">
      <c r="A26" s="142">
        <v>19</v>
      </c>
      <c r="B26" s="120" t="s">
        <v>539</v>
      </c>
      <c r="C26" s="120" t="s">
        <v>1154</v>
      </c>
      <c r="D26" s="120" t="s">
        <v>453</v>
      </c>
      <c r="E26" s="147"/>
      <c r="F26" s="144"/>
      <c r="G26" s="144"/>
      <c r="H26" s="144"/>
      <c r="I26" s="144"/>
      <c r="J26" s="144"/>
      <c r="K26" s="144"/>
      <c r="L26" s="144"/>
    </row>
    <row r="27" spans="1:12" ht="54.75" customHeight="1" x14ac:dyDescent="0.3">
      <c r="A27" s="142">
        <v>20</v>
      </c>
      <c r="B27" s="113" t="s">
        <v>539</v>
      </c>
      <c r="C27" s="113" t="s">
        <v>1155</v>
      </c>
      <c r="D27" s="113" t="s">
        <v>453</v>
      </c>
      <c r="E27" s="145"/>
      <c r="F27" s="146"/>
      <c r="G27" s="146"/>
      <c r="H27" s="146"/>
      <c r="I27" s="146"/>
      <c r="J27" s="146"/>
      <c r="K27" s="146"/>
      <c r="L27" s="146"/>
    </row>
    <row r="28" spans="1:12" ht="54.75" customHeight="1" x14ac:dyDescent="0.3">
      <c r="A28" s="142">
        <v>21</v>
      </c>
      <c r="B28" s="120" t="s">
        <v>1061</v>
      </c>
      <c r="C28" s="120" t="s">
        <v>1156</v>
      </c>
      <c r="D28" s="120" t="s">
        <v>433</v>
      </c>
      <c r="E28" s="147"/>
      <c r="F28" s="144"/>
      <c r="G28" s="144"/>
      <c r="H28" s="144"/>
      <c r="I28" s="144"/>
      <c r="J28" s="144"/>
      <c r="K28" s="144"/>
      <c r="L28" s="144"/>
    </row>
    <row r="29" spans="1:12" ht="54.75" customHeight="1" x14ac:dyDescent="0.3">
      <c r="A29" s="142">
        <v>22</v>
      </c>
      <c r="B29" s="92" t="s">
        <v>610</v>
      </c>
      <c r="C29" s="92" t="s">
        <v>1157</v>
      </c>
      <c r="D29" s="92" t="s">
        <v>433</v>
      </c>
      <c r="E29" s="143" t="s">
        <v>422</v>
      </c>
      <c r="F29" s="146"/>
      <c r="G29" s="146"/>
      <c r="H29" s="146"/>
      <c r="I29" s="146"/>
      <c r="J29" s="146"/>
      <c r="K29" s="146"/>
      <c r="L29" s="146"/>
    </row>
    <row r="30" spans="1:12" ht="54.75" customHeight="1" x14ac:dyDescent="0.3">
      <c r="A30" s="142">
        <v>23</v>
      </c>
      <c r="B30" s="92" t="s">
        <v>610</v>
      </c>
      <c r="C30" s="92" t="s">
        <v>1158</v>
      </c>
      <c r="D30" s="92" t="s">
        <v>433</v>
      </c>
      <c r="E30" s="143" t="s">
        <v>422</v>
      </c>
      <c r="F30" s="144"/>
      <c r="G30" s="144"/>
      <c r="H30" s="144"/>
      <c r="I30" s="144"/>
      <c r="J30" s="144"/>
      <c r="K30" s="144"/>
      <c r="L30" s="144"/>
    </row>
    <row r="31" spans="1:12" ht="54.75" customHeight="1" x14ac:dyDescent="0.3">
      <c r="A31" s="142">
        <v>24</v>
      </c>
      <c r="B31" s="92" t="s">
        <v>610</v>
      </c>
      <c r="C31" s="92" t="s">
        <v>1159</v>
      </c>
      <c r="D31" s="92" t="s">
        <v>433</v>
      </c>
      <c r="E31" s="143" t="s">
        <v>422</v>
      </c>
      <c r="F31" s="146"/>
      <c r="G31" s="146"/>
      <c r="H31" s="146"/>
      <c r="I31" s="146"/>
      <c r="J31" s="146"/>
      <c r="K31" s="146"/>
      <c r="L31" s="146"/>
    </row>
    <row r="32" spans="1:12" ht="54.75" customHeight="1" x14ac:dyDescent="0.3">
      <c r="A32" s="142">
        <v>25</v>
      </c>
      <c r="B32" s="92" t="s">
        <v>610</v>
      </c>
      <c r="C32" s="92" t="s">
        <v>202</v>
      </c>
      <c r="D32" s="92" t="s">
        <v>433</v>
      </c>
      <c r="E32" s="143" t="s">
        <v>422</v>
      </c>
      <c r="F32" s="144"/>
      <c r="G32" s="144"/>
      <c r="H32" s="144"/>
      <c r="I32" s="144"/>
      <c r="J32" s="144"/>
      <c r="K32" s="144"/>
      <c r="L32" s="144"/>
    </row>
    <row r="33" spans="1:12" ht="54.75" customHeight="1" x14ac:dyDescent="0.3">
      <c r="A33" s="142">
        <v>26</v>
      </c>
      <c r="B33" s="113" t="s">
        <v>610</v>
      </c>
      <c r="C33" s="113" t="s">
        <v>863</v>
      </c>
      <c r="D33" s="113" t="s">
        <v>433</v>
      </c>
      <c r="E33" s="145"/>
      <c r="F33" s="146"/>
      <c r="G33" s="146"/>
      <c r="H33" s="146"/>
      <c r="I33" s="146"/>
      <c r="J33" s="146"/>
      <c r="K33" s="146"/>
      <c r="L33" s="146"/>
    </row>
    <row r="34" spans="1:12" ht="54.75" customHeight="1" x14ac:dyDescent="0.3">
      <c r="A34" s="142">
        <v>27</v>
      </c>
      <c r="B34" s="92" t="s">
        <v>610</v>
      </c>
      <c r="C34" s="92" t="s">
        <v>1160</v>
      </c>
      <c r="D34" s="92" t="s">
        <v>433</v>
      </c>
      <c r="E34" s="143" t="s">
        <v>422</v>
      </c>
      <c r="F34" s="144"/>
      <c r="G34" s="144"/>
      <c r="H34" s="144"/>
      <c r="I34" s="144"/>
      <c r="J34" s="144"/>
      <c r="K34" s="144"/>
      <c r="L34" s="144"/>
    </row>
    <row r="35" spans="1:12" ht="54.75" customHeight="1" x14ac:dyDescent="0.3">
      <c r="A35" s="142">
        <v>28</v>
      </c>
      <c r="B35" s="113" t="s">
        <v>610</v>
      </c>
      <c r="C35" s="113" t="s">
        <v>866</v>
      </c>
      <c r="D35" s="113" t="s">
        <v>433</v>
      </c>
      <c r="E35" s="145"/>
      <c r="F35" s="146"/>
      <c r="G35" s="146"/>
      <c r="H35" s="146"/>
      <c r="I35" s="146"/>
      <c r="J35" s="146"/>
      <c r="K35" s="146"/>
      <c r="L35" s="146"/>
    </row>
    <row r="36" spans="1:12" ht="54.75" customHeight="1" x14ac:dyDescent="0.3">
      <c r="A36" s="142">
        <v>29</v>
      </c>
      <c r="B36" s="92" t="s">
        <v>610</v>
      </c>
      <c r="C36" s="92" t="s">
        <v>1161</v>
      </c>
      <c r="D36" s="92" t="s">
        <v>433</v>
      </c>
      <c r="E36" s="143" t="s">
        <v>422</v>
      </c>
      <c r="F36" s="144"/>
      <c r="G36" s="144"/>
      <c r="H36" s="144"/>
      <c r="I36" s="144"/>
      <c r="J36" s="144"/>
      <c r="K36" s="144"/>
      <c r="L36" s="144"/>
    </row>
    <row r="37" spans="1:12" ht="54.75" customHeight="1" x14ac:dyDescent="0.3">
      <c r="A37" s="142">
        <v>30</v>
      </c>
      <c r="B37" s="113" t="s">
        <v>610</v>
      </c>
      <c r="C37" s="113" t="s">
        <v>1162</v>
      </c>
      <c r="D37" s="113" t="s">
        <v>433</v>
      </c>
      <c r="E37" s="145"/>
      <c r="F37" s="146"/>
      <c r="G37" s="146"/>
      <c r="H37" s="146"/>
      <c r="I37" s="146"/>
      <c r="J37" s="146"/>
      <c r="K37" s="146"/>
      <c r="L37" s="146"/>
    </row>
    <row r="38" spans="1:12" ht="54.75" customHeight="1" x14ac:dyDescent="0.3">
      <c r="A38" s="142">
        <v>31</v>
      </c>
      <c r="B38" s="92" t="s">
        <v>610</v>
      </c>
      <c r="C38" s="92" t="s">
        <v>1163</v>
      </c>
      <c r="D38" s="92" t="s">
        <v>433</v>
      </c>
      <c r="E38" s="143" t="s">
        <v>422</v>
      </c>
      <c r="F38" s="144"/>
      <c r="G38" s="144"/>
      <c r="H38" s="144"/>
      <c r="I38" s="144"/>
      <c r="J38" s="144"/>
      <c r="K38" s="144"/>
      <c r="L38" s="144"/>
    </row>
    <row r="39" spans="1:12" ht="54.75" customHeight="1" x14ac:dyDescent="0.3">
      <c r="A39" s="142">
        <v>32</v>
      </c>
      <c r="B39" s="92" t="s">
        <v>610</v>
      </c>
      <c r="C39" s="92" t="s">
        <v>1164</v>
      </c>
      <c r="D39" s="92" t="s">
        <v>433</v>
      </c>
      <c r="E39" s="143" t="s">
        <v>422</v>
      </c>
      <c r="F39" s="146"/>
      <c r="G39" s="146"/>
      <c r="H39" s="146"/>
      <c r="I39" s="146"/>
      <c r="J39" s="146"/>
      <c r="K39" s="146"/>
      <c r="L39" s="146"/>
    </row>
    <row r="40" spans="1:12" ht="54.75" customHeight="1" x14ac:dyDescent="0.3">
      <c r="A40" s="142">
        <v>33</v>
      </c>
      <c r="B40" s="92" t="s">
        <v>610</v>
      </c>
      <c r="C40" s="92" t="s">
        <v>887</v>
      </c>
      <c r="D40" s="92" t="s">
        <v>433</v>
      </c>
      <c r="E40" s="143" t="s">
        <v>422</v>
      </c>
      <c r="F40" s="144"/>
      <c r="G40" s="144"/>
      <c r="H40" s="144"/>
      <c r="I40" s="144"/>
      <c r="J40" s="144"/>
      <c r="K40" s="144"/>
      <c r="L40" s="144"/>
    </row>
    <row r="41" spans="1:12" ht="54.75" customHeight="1" x14ac:dyDescent="0.3">
      <c r="A41" s="142">
        <v>34</v>
      </c>
      <c r="B41" s="92" t="s">
        <v>890</v>
      </c>
      <c r="C41" s="92" t="s">
        <v>1165</v>
      </c>
      <c r="D41" s="92" t="s">
        <v>433</v>
      </c>
      <c r="E41" s="143" t="s">
        <v>422</v>
      </c>
      <c r="F41" s="146"/>
      <c r="G41" s="146"/>
      <c r="H41" s="146"/>
      <c r="I41" s="146"/>
      <c r="J41" s="146"/>
      <c r="K41" s="146"/>
      <c r="L41" s="146"/>
    </row>
    <row r="42" spans="1:12" ht="54.75" customHeight="1" x14ac:dyDescent="0.3">
      <c r="A42" s="142">
        <v>35</v>
      </c>
      <c r="B42" s="120" t="s">
        <v>890</v>
      </c>
      <c r="C42" s="120" t="s">
        <v>1166</v>
      </c>
      <c r="D42" s="120" t="s">
        <v>433</v>
      </c>
      <c r="E42" s="147"/>
      <c r="F42" s="144"/>
      <c r="G42" s="144"/>
      <c r="H42" s="144"/>
      <c r="I42" s="144"/>
      <c r="J42" s="144"/>
      <c r="K42" s="144"/>
      <c r="L42" s="144"/>
    </row>
    <row r="43" spans="1:12" ht="54.75" customHeight="1" x14ac:dyDescent="0.3">
      <c r="A43" s="142">
        <v>36</v>
      </c>
      <c r="B43" s="113" t="s">
        <v>890</v>
      </c>
      <c r="C43" s="113" t="s">
        <v>1167</v>
      </c>
      <c r="D43" s="113" t="s">
        <v>433</v>
      </c>
      <c r="E43" s="145"/>
      <c r="F43" s="146"/>
      <c r="G43" s="146"/>
      <c r="H43" s="146"/>
      <c r="I43" s="146"/>
      <c r="J43" s="146"/>
      <c r="K43" s="146"/>
      <c r="L43" s="146"/>
    </row>
    <row r="44" spans="1:12" ht="54.75" customHeight="1" x14ac:dyDescent="0.3">
      <c r="A44" s="142">
        <v>37</v>
      </c>
      <c r="B44" s="92" t="s">
        <v>890</v>
      </c>
      <c r="C44" s="92" t="s">
        <v>1083</v>
      </c>
      <c r="D44" s="92" t="s">
        <v>433</v>
      </c>
      <c r="E44" s="143" t="s">
        <v>422</v>
      </c>
      <c r="F44" s="144"/>
      <c r="G44" s="144"/>
      <c r="H44" s="144"/>
      <c r="I44" s="144"/>
      <c r="J44" s="144"/>
      <c r="K44" s="144"/>
      <c r="L44" s="144"/>
    </row>
    <row r="45" spans="1:12" ht="54.75" customHeight="1" x14ac:dyDescent="0.3"/>
    <row r="46" spans="1:12" ht="54.75" customHeight="1" x14ac:dyDescent="0.3"/>
    <row r="47" spans="1:12" ht="54.75" customHeight="1" x14ac:dyDescent="0.3">
      <c r="A47" s="163" t="s">
        <v>899</v>
      </c>
      <c r="B47" s="163"/>
      <c r="C47" s="163"/>
      <c r="D47" s="163"/>
      <c r="E47" s="163"/>
      <c r="F47" s="163"/>
      <c r="G47" s="163"/>
      <c r="H47" s="163"/>
      <c r="I47" s="163"/>
      <c r="J47" s="163"/>
      <c r="K47" s="163"/>
      <c r="L47" s="163"/>
    </row>
    <row r="48" spans="1:12" ht="54.75" customHeight="1" x14ac:dyDescent="0.3">
      <c r="A48" s="132" t="s">
        <v>419</v>
      </c>
      <c r="B48" s="132" t="s">
        <v>900</v>
      </c>
      <c r="C48" s="132" t="s">
        <v>370</v>
      </c>
      <c r="D48" s="132" t="s">
        <v>371</v>
      </c>
      <c r="E48" s="132" t="s">
        <v>372</v>
      </c>
      <c r="F48" s="132" t="s">
        <v>901</v>
      </c>
      <c r="G48" s="132" t="s">
        <v>301</v>
      </c>
    </row>
    <row r="49" spans="1:7" ht="54.75" customHeight="1" x14ac:dyDescent="0.3">
      <c r="A49" s="148" t="s">
        <v>431</v>
      </c>
      <c r="B49" s="119">
        <f>COUNTIF(B8:B44,"*TALENTO HUMANO*")</f>
        <v>3</v>
      </c>
      <c r="C49" s="119">
        <f>COUNTIFS(B8:B44,"*TALENTO HUMANO*",F8:F44,"X")</f>
        <v>0</v>
      </c>
      <c r="D49" s="119">
        <f>COUNTIFS(B8:B44,"*TALENTO HUMANO*",G8:G44,"X")</f>
        <v>0</v>
      </c>
      <c r="E49" s="119">
        <f>COUNTIFS(B8:B44,"*TALENTO HUMANO*",H8:H44,"X")</f>
        <v>0</v>
      </c>
      <c r="F49" s="134">
        <f t="shared" ref="F49:F54" si="0">IF((C49+D49)=0,0,C49/(C49+D49))</f>
        <v>0</v>
      </c>
      <c r="G49" s="119" t="str">
        <f t="shared" ref="G49:G55" si="1">IF(F49&gt;=0.9,"ALTO",IF(F49&gt;=0.7,"MEDIO",IF(F49&gt;0,"BAJO","SIN EVALUAR")))</f>
        <v>SIN EVALUAR</v>
      </c>
    </row>
    <row r="50" spans="1:7" ht="54.75" customHeight="1" x14ac:dyDescent="0.3">
      <c r="A50" s="148" t="s">
        <v>756</v>
      </c>
      <c r="B50" s="112">
        <f>COUNTIF(B8:B44,"*INFRAESTRUCTURA*")</f>
        <v>13</v>
      </c>
      <c r="C50" s="112">
        <f>COUNTIFS(B8:B44,"*INFRAESTRUCTURA*",F8:F44,"X")</f>
        <v>0</v>
      </c>
      <c r="D50" s="112">
        <f>COUNTIFS(B8:B44,"*INFRAESTRUCTURA*",G8:G44,"X")</f>
        <v>0</v>
      </c>
      <c r="E50" s="112">
        <f>COUNTIFS(B8:B44,"*INFRAESTRUCTURA*",H8:H44,"X")</f>
        <v>0</v>
      </c>
      <c r="F50" s="136">
        <f t="shared" si="0"/>
        <v>0</v>
      </c>
      <c r="G50" s="112" t="str">
        <f t="shared" si="1"/>
        <v>SIN EVALUAR</v>
      </c>
    </row>
    <row r="51" spans="1:7" ht="54.75" customHeight="1" x14ac:dyDescent="0.3">
      <c r="A51" s="148" t="s">
        <v>539</v>
      </c>
      <c r="B51" s="119">
        <f>COUNTIF(B8:B44,"*DOTACIÓN*")</f>
        <v>4</v>
      </c>
      <c r="C51" s="119">
        <f>COUNTIFS(B8:B44,"*DOTACIÓN*",F8:F44,"X")</f>
        <v>0</v>
      </c>
      <c r="D51" s="119">
        <f>COUNTIFS(B8:B44,"*DOTACIÓN*",G8:G44,"X")</f>
        <v>0</v>
      </c>
      <c r="E51" s="119">
        <f>COUNTIFS(B8:B44,"*DOTACIÓN*",H8:H44,"X")</f>
        <v>0</v>
      </c>
      <c r="F51" s="134">
        <f t="shared" si="0"/>
        <v>0</v>
      </c>
      <c r="G51" s="119" t="str">
        <f t="shared" si="1"/>
        <v>SIN EVALUAR</v>
      </c>
    </row>
    <row r="52" spans="1:7" ht="54.75" customHeight="1" x14ac:dyDescent="0.3">
      <c r="A52" s="148" t="s">
        <v>1061</v>
      </c>
      <c r="B52" s="112">
        <f>COUNTIF(B8:B44,"*MEDICAMENTOS E INSUMOS*")</f>
        <v>1</v>
      </c>
      <c r="C52" s="112">
        <f>COUNTIFS(B8:B44,"*MEDICAMENTOS E INSUMOS*",F8:F44,"X")</f>
        <v>0</v>
      </c>
      <c r="D52" s="112">
        <f>COUNTIFS(B8:B44,"*MEDICAMENTOS E INSUMOS*",G8:G44,"X")</f>
        <v>0</v>
      </c>
      <c r="E52" s="112">
        <f>COUNTIFS(B8:B44,"*MEDICAMENTOS E INSUMOS*",H8:H44,"X")</f>
        <v>0</v>
      </c>
      <c r="F52" s="136">
        <f t="shared" si="0"/>
        <v>0</v>
      </c>
      <c r="G52" s="112" t="str">
        <f t="shared" si="1"/>
        <v>SIN EVALUAR</v>
      </c>
    </row>
    <row r="53" spans="1:7" ht="54.75" customHeight="1" x14ac:dyDescent="0.3">
      <c r="A53" s="148" t="s">
        <v>610</v>
      </c>
      <c r="B53" s="119">
        <f>COUNTIF(B8:B44,"*PROCESOS PRIORITARIOS*")</f>
        <v>12</v>
      </c>
      <c r="C53" s="119">
        <f>COUNTIFS(B8:B44,"*PROCESOS PRIORITARIOS*",F8:F44,"X")</f>
        <v>0</v>
      </c>
      <c r="D53" s="119">
        <f>COUNTIFS(B8:B44,"*PROCESOS PRIORITARIOS*",G8:G44,"X")</f>
        <v>0</v>
      </c>
      <c r="E53" s="119">
        <f>COUNTIFS(B8:B44,"*PROCESOS PRIORITARIOS*",H8:H44,"X")</f>
        <v>0</v>
      </c>
      <c r="F53" s="134">
        <f t="shared" si="0"/>
        <v>0</v>
      </c>
      <c r="G53" s="119" t="str">
        <f t="shared" si="1"/>
        <v>SIN EVALUAR</v>
      </c>
    </row>
    <row r="54" spans="1:7" ht="54.75" customHeight="1" x14ac:dyDescent="0.3">
      <c r="A54" s="148" t="s">
        <v>890</v>
      </c>
      <c r="B54" s="112">
        <f>COUNTIF(B8:B44,"*HISTORIA CLÍNICA*")</f>
        <v>4</v>
      </c>
      <c r="C54" s="112">
        <f>COUNTIFS(B8:B44,"*HISTORIA CLÍNICA*",F8:F44,"X")</f>
        <v>0</v>
      </c>
      <c r="D54" s="112">
        <f>COUNTIFS(B8:B44,"*HISTORIA CLÍNICA*",G8:G44,"X")</f>
        <v>0</v>
      </c>
      <c r="E54" s="112">
        <f>COUNTIFS(B8:B44,"*HISTORIA CLÍNICA*",H8:H44,"X")</f>
        <v>0</v>
      </c>
      <c r="F54" s="136">
        <f t="shared" si="0"/>
        <v>0</v>
      </c>
      <c r="G54" s="112" t="str">
        <f t="shared" si="1"/>
        <v>SIN EVALUAR</v>
      </c>
    </row>
    <row r="55" spans="1:7" ht="54.75" customHeight="1" x14ac:dyDescent="0.3">
      <c r="A55" s="82" t="s">
        <v>379</v>
      </c>
      <c r="B55" s="82">
        <f>SUM(B49:B54)</f>
        <v>37</v>
      </c>
      <c r="C55" s="82">
        <f>SUM(C49:C54)</f>
        <v>0</v>
      </c>
      <c r="D55" s="82">
        <f>SUM(D49:D54)</f>
        <v>0</v>
      </c>
      <c r="E55" s="137">
        <f>SUM(E49:E54)</f>
        <v>0</v>
      </c>
      <c r="F55" s="149">
        <f>SUM(F49:F54)</f>
        <v>0</v>
      </c>
      <c r="G55" s="82" t="str">
        <f t="shared" si="1"/>
        <v>SIN EVALUAR</v>
      </c>
    </row>
  </sheetData>
  <mergeCells count="11">
    <mergeCell ref="A5:L5"/>
    <mergeCell ref="A6:L6"/>
    <mergeCell ref="A47:L47"/>
    <mergeCell ref="A1:L1"/>
    <mergeCell ref="A2:L2"/>
    <mergeCell ref="A3:C3"/>
    <mergeCell ref="D3:L3"/>
    <mergeCell ref="A4:B4"/>
    <mergeCell ref="C4:E4"/>
    <mergeCell ref="F4:H4"/>
    <mergeCell ref="I4:L4"/>
  </mergeCells>
  <conditionalFormatting sqref="A8:L44">
    <cfRule type="expression" dxfId="8" priority="2">
      <formula>$F8="X"</formula>
    </cfRule>
    <cfRule type="expression" dxfId="7" priority="3">
      <formula>$G8="X"</formula>
    </cfRule>
    <cfRule type="expression" dxfId="6" priority="4">
      <formula>$H8="X"</formula>
    </cfRule>
  </conditionalFormatting>
  <dataValidations count="1">
    <dataValidation type="list" allowBlank="1" sqref="F8:H44" xr:uid="{00000000-0002-0000-0900-000000000000}">
      <formula1>"X,"</formula1>
      <formula2>0</formula2>
    </dataValidation>
  </dataValidations>
  <pageMargins left="0.3" right="0.3" top="0.5" bottom="0.5"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84212"/>
    <pageSetUpPr fitToPage="1"/>
  </sheetPr>
  <dimension ref="A1:M97"/>
  <sheetViews>
    <sheetView showGridLines="0" zoomScaleNormal="100" workbookViewId="0">
      <pane ySplit="7" topLeftCell="A8" activePane="bottomLeft" state="frozen"/>
      <selection pane="bottomLeft" sqref="A1:M1"/>
    </sheetView>
  </sheetViews>
  <sheetFormatPr baseColWidth="10" defaultColWidth="8.6640625" defaultRowHeight="14.4" x14ac:dyDescent="0.3"/>
  <cols>
    <col min="1" max="1" width="4" customWidth="1"/>
    <col min="2" max="2" width="10" customWidth="1"/>
    <col min="3" max="3" width="24" customWidth="1"/>
    <col min="4" max="4" width="52" customWidth="1"/>
    <col min="5" max="5" width="22" customWidth="1"/>
    <col min="6" max="9" width="5" customWidth="1"/>
    <col min="10" max="11" width="36" customWidth="1"/>
    <col min="12" max="12" width="20" customWidth="1"/>
    <col min="13" max="13" width="15" customWidth="1"/>
  </cols>
  <sheetData>
    <row r="1" spans="1:13" ht="30" customHeight="1" x14ac:dyDescent="0.3">
      <c r="A1" s="164" t="s">
        <v>1168</v>
      </c>
      <c r="B1" s="164"/>
      <c r="C1" s="164"/>
      <c r="D1" s="164"/>
      <c r="E1" s="164"/>
      <c r="F1" s="164"/>
      <c r="G1" s="164"/>
      <c r="H1" s="164"/>
      <c r="I1" s="164"/>
      <c r="J1" s="164"/>
      <c r="K1" s="164"/>
      <c r="L1" s="164"/>
      <c r="M1" s="164"/>
    </row>
    <row r="2" spans="1:13" ht="19.5" customHeight="1" x14ac:dyDescent="0.3">
      <c r="A2" s="165" t="s">
        <v>1169</v>
      </c>
      <c r="B2" s="165"/>
      <c r="C2" s="165"/>
      <c r="D2" s="165"/>
      <c r="E2" s="165"/>
      <c r="F2" s="165"/>
      <c r="G2" s="165"/>
      <c r="H2" s="165"/>
      <c r="I2" s="165"/>
      <c r="J2" s="165"/>
      <c r="K2" s="165"/>
      <c r="L2" s="165"/>
      <c r="M2" s="165"/>
    </row>
    <row r="3" spans="1:13" ht="15" customHeight="1" x14ac:dyDescent="0.3">
      <c r="A3" s="206" t="s">
        <v>361</v>
      </c>
      <c r="B3" s="206"/>
      <c r="C3" s="206"/>
      <c r="D3" s="207"/>
      <c r="E3" s="207"/>
      <c r="F3" s="207"/>
      <c r="G3" s="207"/>
      <c r="H3" s="207"/>
      <c r="I3" s="207"/>
      <c r="J3" s="207"/>
      <c r="K3" s="207"/>
      <c r="L3" s="207"/>
      <c r="M3" s="207"/>
    </row>
    <row r="4" spans="1:13" ht="15" customHeight="1" x14ac:dyDescent="0.3">
      <c r="A4" s="206" t="s">
        <v>362</v>
      </c>
      <c r="B4" s="206"/>
      <c r="C4" s="207"/>
      <c r="D4" s="207"/>
      <c r="E4" s="206" t="s">
        <v>363</v>
      </c>
      <c r="F4" s="206"/>
      <c r="G4" s="206"/>
      <c r="H4" s="207"/>
      <c r="I4" s="207"/>
      <c r="J4" s="207"/>
      <c r="K4" s="206" t="s">
        <v>364</v>
      </c>
      <c r="L4" s="206"/>
      <c r="M4" s="139"/>
    </row>
    <row r="5" spans="1:13" ht="19.5" customHeight="1" x14ac:dyDescent="0.3">
      <c r="A5" s="211" t="s">
        <v>1170</v>
      </c>
      <c r="B5" s="211"/>
      <c r="C5" s="211"/>
      <c r="D5" s="211"/>
      <c r="E5" s="211"/>
      <c r="F5" s="211"/>
      <c r="G5" s="211"/>
      <c r="H5" s="211"/>
      <c r="I5" s="211"/>
      <c r="J5" s="211"/>
      <c r="K5" s="211"/>
      <c r="L5" s="211"/>
      <c r="M5" s="211"/>
    </row>
    <row r="6" spans="1:13" ht="15.75" customHeight="1" x14ac:dyDescent="0.3">
      <c r="A6" s="210" t="s">
        <v>966</v>
      </c>
      <c r="B6" s="210"/>
      <c r="C6" s="210"/>
      <c r="D6" s="210"/>
      <c r="E6" s="210"/>
      <c r="F6" s="210"/>
      <c r="G6" s="210"/>
      <c r="H6" s="210"/>
      <c r="I6" s="210"/>
      <c r="J6" s="210"/>
      <c r="K6" s="210"/>
      <c r="L6" s="210"/>
      <c r="M6" s="210"/>
    </row>
    <row r="7" spans="1:13" ht="31.5" customHeight="1" x14ac:dyDescent="0.3">
      <c r="A7" s="82" t="s">
        <v>417</v>
      </c>
      <c r="B7" s="82" t="s">
        <v>1171</v>
      </c>
      <c r="C7" s="82" t="s">
        <v>419</v>
      </c>
      <c r="D7" s="82" t="s">
        <v>816</v>
      </c>
      <c r="E7" s="82" t="s">
        <v>817</v>
      </c>
      <c r="F7" s="82" t="s">
        <v>422</v>
      </c>
      <c r="G7" s="83" t="s">
        <v>423</v>
      </c>
      <c r="H7" s="84" t="s">
        <v>424</v>
      </c>
      <c r="I7" s="85" t="s">
        <v>425</v>
      </c>
      <c r="J7" s="82" t="s">
        <v>426</v>
      </c>
      <c r="K7" s="82" t="s">
        <v>427</v>
      </c>
      <c r="L7" s="82" t="s">
        <v>428</v>
      </c>
      <c r="M7" s="82" t="s">
        <v>429</v>
      </c>
    </row>
    <row r="8" spans="1:13" ht="21.75" customHeight="1" x14ac:dyDescent="0.3">
      <c r="A8" s="220" t="s">
        <v>1172</v>
      </c>
      <c r="B8" s="220"/>
      <c r="C8" s="220"/>
      <c r="D8" s="220"/>
      <c r="E8" s="220"/>
      <c r="F8" s="220"/>
      <c r="G8" s="220"/>
      <c r="H8" s="220"/>
      <c r="I8" s="220"/>
      <c r="J8" s="220"/>
      <c r="K8" s="220"/>
      <c r="L8" s="220"/>
      <c r="M8" s="220"/>
    </row>
    <row r="9" spans="1:13" ht="18" customHeight="1" x14ac:dyDescent="0.3">
      <c r="A9" s="214" t="s">
        <v>1173</v>
      </c>
      <c r="B9" s="214"/>
      <c r="C9" s="214"/>
      <c r="D9" s="214"/>
      <c r="E9" s="214"/>
      <c r="F9" s="214"/>
      <c r="G9" s="214"/>
      <c r="H9" s="214"/>
      <c r="I9" s="214"/>
      <c r="J9" s="214"/>
      <c r="K9" s="214"/>
      <c r="L9" s="214"/>
      <c r="M9" s="214"/>
    </row>
    <row r="10" spans="1:13" ht="51.75" customHeight="1" x14ac:dyDescent="0.3">
      <c r="A10" s="153">
        <v>1</v>
      </c>
      <c r="B10" s="153" t="s">
        <v>18</v>
      </c>
      <c r="C10" s="110" t="s">
        <v>431</v>
      </c>
      <c r="D10" s="110" t="s">
        <v>1174</v>
      </c>
      <c r="E10" s="110" t="s">
        <v>433</v>
      </c>
      <c r="F10" s="154"/>
      <c r="G10" s="112"/>
      <c r="H10" s="112"/>
      <c r="I10" s="112"/>
      <c r="J10" s="113"/>
      <c r="K10" s="113"/>
      <c r="L10" s="113"/>
      <c r="M10" s="113"/>
    </row>
    <row r="11" spans="1:13" ht="51.75" customHeight="1" x14ac:dyDescent="0.3">
      <c r="A11" s="155">
        <v>2</v>
      </c>
      <c r="B11" s="155" t="s">
        <v>1175</v>
      </c>
      <c r="C11" s="89" t="s">
        <v>431</v>
      </c>
      <c r="D11" s="89" t="s">
        <v>1176</v>
      </c>
      <c r="E11" s="89" t="s">
        <v>433</v>
      </c>
      <c r="F11" s="156" t="s">
        <v>422</v>
      </c>
      <c r="G11" s="91"/>
      <c r="H11" s="91"/>
      <c r="I11" s="91"/>
      <c r="J11" s="92"/>
      <c r="K11" s="92"/>
      <c r="L11" s="92"/>
      <c r="M11" s="92"/>
    </row>
    <row r="12" spans="1:13" ht="51.75" customHeight="1" x14ac:dyDescent="0.3">
      <c r="A12" s="153">
        <v>3</v>
      </c>
      <c r="B12" s="153" t="s">
        <v>1177</v>
      </c>
      <c r="C12" s="110" t="s">
        <v>431</v>
      </c>
      <c r="D12" s="110" t="s">
        <v>1178</v>
      </c>
      <c r="E12" s="110" t="s">
        <v>433</v>
      </c>
      <c r="F12" s="154"/>
      <c r="G12" s="112"/>
      <c r="H12" s="112"/>
      <c r="I12" s="112"/>
      <c r="J12" s="113"/>
      <c r="K12" s="113"/>
      <c r="L12" s="113"/>
      <c r="M12" s="113"/>
    </row>
    <row r="13" spans="1:13" ht="51.75" customHeight="1" x14ac:dyDescent="0.3">
      <c r="A13" s="157">
        <v>4</v>
      </c>
      <c r="B13" s="157" t="s">
        <v>1179</v>
      </c>
      <c r="C13" s="117" t="s">
        <v>431</v>
      </c>
      <c r="D13" s="117" t="s">
        <v>1180</v>
      </c>
      <c r="E13" s="117" t="s">
        <v>433</v>
      </c>
      <c r="F13" s="158"/>
      <c r="G13" s="119"/>
      <c r="H13" s="119"/>
      <c r="I13" s="119"/>
      <c r="J13" s="120"/>
      <c r="K13" s="120"/>
      <c r="L13" s="120"/>
      <c r="M13" s="120"/>
    </row>
    <row r="14" spans="1:13" ht="51.75" customHeight="1" x14ac:dyDescent="0.3">
      <c r="A14" s="153">
        <v>5</v>
      </c>
      <c r="B14" s="153" t="s">
        <v>1181</v>
      </c>
      <c r="C14" s="110" t="s">
        <v>431</v>
      </c>
      <c r="D14" s="110" t="s">
        <v>1182</v>
      </c>
      <c r="E14" s="110" t="s">
        <v>433</v>
      </c>
      <c r="F14" s="154"/>
      <c r="G14" s="112"/>
      <c r="H14" s="112"/>
      <c r="I14" s="112"/>
      <c r="J14" s="113"/>
      <c r="K14" s="113"/>
      <c r="L14" s="113"/>
      <c r="M14" s="113"/>
    </row>
    <row r="15" spans="1:13" ht="51.75" customHeight="1" x14ac:dyDescent="0.3">
      <c r="A15" s="157">
        <v>6</v>
      </c>
      <c r="B15" s="157" t="s">
        <v>22</v>
      </c>
      <c r="C15" s="117" t="s">
        <v>431</v>
      </c>
      <c r="D15" s="117" t="s">
        <v>1183</v>
      </c>
      <c r="E15" s="117" t="s">
        <v>433</v>
      </c>
      <c r="F15" s="158"/>
      <c r="G15" s="119"/>
      <c r="H15" s="119"/>
      <c r="I15" s="119"/>
      <c r="J15" s="120"/>
      <c r="K15" s="120"/>
      <c r="L15" s="120"/>
      <c r="M15" s="120"/>
    </row>
    <row r="16" spans="1:13" ht="51.75" customHeight="1" x14ac:dyDescent="0.3">
      <c r="A16" s="153">
        <v>7</v>
      </c>
      <c r="B16" s="153" t="s">
        <v>26</v>
      </c>
      <c r="C16" s="110" t="s">
        <v>431</v>
      </c>
      <c r="D16" s="110" t="s">
        <v>1184</v>
      </c>
      <c r="E16" s="110" t="s">
        <v>433</v>
      </c>
      <c r="F16" s="154"/>
      <c r="G16" s="112"/>
      <c r="H16" s="112"/>
      <c r="I16" s="112"/>
      <c r="J16" s="113"/>
      <c r="K16" s="113"/>
      <c r="L16" s="113"/>
      <c r="M16" s="113"/>
    </row>
    <row r="17" spans="1:13" ht="51.75" customHeight="1" x14ac:dyDescent="0.3">
      <c r="A17" s="157">
        <v>8</v>
      </c>
      <c r="B17" s="157" t="s">
        <v>30</v>
      </c>
      <c r="C17" s="117" t="s">
        <v>431</v>
      </c>
      <c r="D17" s="117" t="s">
        <v>1185</v>
      </c>
      <c r="E17" s="117" t="s">
        <v>433</v>
      </c>
      <c r="F17" s="158"/>
      <c r="G17" s="119"/>
      <c r="H17" s="119"/>
      <c r="I17" s="119"/>
      <c r="J17" s="120"/>
      <c r="K17" s="120"/>
      <c r="L17" s="120"/>
      <c r="M17" s="120"/>
    </row>
    <row r="18" spans="1:13" ht="18" customHeight="1" x14ac:dyDescent="0.3">
      <c r="A18" s="214" t="s">
        <v>705</v>
      </c>
      <c r="B18" s="214"/>
      <c r="C18" s="214"/>
      <c r="D18" s="214"/>
      <c r="E18" s="214"/>
      <c r="F18" s="214"/>
      <c r="G18" s="214"/>
      <c r="H18" s="214"/>
      <c r="I18" s="214"/>
      <c r="J18" s="214"/>
      <c r="K18" s="214"/>
      <c r="L18" s="214"/>
      <c r="M18" s="214"/>
    </row>
    <row r="19" spans="1:13" ht="51.75" customHeight="1" x14ac:dyDescent="0.3">
      <c r="A19" s="153">
        <v>9</v>
      </c>
      <c r="B19" s="153" t="s">
        <v>34</v>
      </c>
      <c r="C19" s="110" t="s">
        <v>1186</v>
      </c>
      <c r="D19" s="110" t="s">
        <v>1007</v>
      </c>
      <c r="E19" s="110" t="s">
        <v>433</v>
      </c>
      <c r="F19" s="154"/>
      <c r="G19" s="112"/>
      <c r="H19" s="112"/>
      <c r="I19" s="112"/>
      <c r="J19" s="113"/>
      <c r="K19" s="113"/>
      <c r="L19" s="113"/>
      <c r="M19" s="113"/>
    </row>
    <row r="20" spans="1:13" ht="51.75" customHeight="1" x14ac:dyDescent="0.3">
      <c r="A20" s="157">
        <v>10</v>
      </c>
      <c r="B20" s="157" t="s">
        <v>38</v>
      </c>
      <c r="C20" s="117" t="s">
        <v>1186</v>
      </c>
      <c r="D20" s="117" t="s">
        <v>1187</v>
      </c>
      <c r="E20" s="117" t="s">
        <v>433</v>
      </c>
      <c r="F20" s="158"/>
      <c r="G20" s="119"/>
      <c r="H20" s="119"/>
      <c r="I20" s="119"/>
      <c r="J20" s="120"/>
      <c r="K20" s="120"/>
      <c r="L20" s="120"/>
      <c r="M20" s="120"/>
    </row>
    <row r="21" spans="1:13" ht="21.75" customHeight="1" x14ac:dyDescent="0.3">
      <c r="A21" s="220" t="s">
        <v>1188</v>
      </c>
      <c r="B21" s="220"/>
      <c r="C21" s="220"/>
      <c r="D21" s="220"/>
      <c r="E21" s="220"/>
      <c r="F21" s="220"/>
      <c r="G21" s="220"/>
      <c r="H21" s="220"/>
      <c r="I21" s="220"/>
      <c r="J21" s="220"/>
      <c r="K21" s="220"/>
      <c r="L21" s="220"/>
      <c r="M21" s="220"/>
    </row>
    <row r="22" spans="1:13" ht="18" customHeight="1" x14ac:dyDescent="0.3">
      <c r="A22" s="214" t="s">
        <v>1189</v>
      </c>
      <c r="B22" s="214"/>
      <c r="C22" s="214"/>
      <c r="D22" s="214"/>
      <c r="E22" s="214"/>
      <c r="F22" s="214"/>
      <c r="G22" s="214"/>
      <c r="H22" s="214"/>
      <c r="I22" s="214"/>
      <c r="J22" s="214"/>
      <c r="K22" s="214"/>
      <c r="L22" s="214"/>
      <c r="M22" s="214"/>
    </row>
    <row r="23" spans="1:13" ht="51.75" customHeight="1" x14ac:dyDescent="0.3">
      <c r="A23" s="153">
        <v>11</v>
      </c>
      <c r="B23" s="153" t="s">
        <v>42</v>
      </c>
      <c r="C23" s="110" t="s">
        <v>756</v>
      </c>
      <c r="D23" s="110" t="s">
        <v>1007</v>
      </c>
      <c r="E23" s="110" t="s">
        <v>453</v>
      </c>
      <c r="F23" s="154"/>
      <c r="G23" s="112"/>
      <c r="H23" s="112"/>
      <c r="I23" s="112"/>
      <c r="J23" s="113"/>
      <c r="K23" s="113"/>
      <c r="L23" s="113"/>
      <c r="M23" s="113"/>
    </row>
    <row r="24" spans="1:13" ht="51.75" customHeight="1" x14ac:dyDescent="0.3">
      <c r="A24" s="155">
        <v>12</v>
      </c>
      <c r="B24" s="155" t="s">
        <v>46</v>
      </c>
      <c r="C24" s="89" t="s">
        <v>756</v>
      </c>
      <c r="D24" s="89" t="s">
        <v>1190</v>
      </c>
      <c r="E24" s="89" t="s">
        <v>453</v>
      </c>
      <c r="F24" s="156" t="s">
        <v>422</v>
      </c>
      <c r="G24" s="91"/>
      <c r="H24" s="91"/>
      <c r="I24" s="91"/>
      <c r="J24" s="92"/>
      <c r="K24" s="92"/>
      <c r="L24" s="92"/>
      <c r="M24" s="92"/>
    </row>
    <row r="25" spans="1:13" ht="51.75" customHeight="1" x14ac:dyDescent="0.3">
      <c r="A25" s="155">
        <v>13</v>
      </c>
      <c r="B25" s="155" t="s">
        <v>1191</v>
      </c>
      <c r="C25" s="89" t="s">
        <v>756</v>
      </c>
      <c r="D25" s="89" t="s">
        <v>1192</v>
      </c>
      <c r="E25" s="89" t="s">
        <v>453</v>
      </c>
      <c r="F25" s="156" t="s">
        <v>422</v>
      </c>
      <c r="G25" s="91"/>
      <c r="H25" s="91"/>
      <c r="I25" s="91"/>
      <c r="J25" s="92"/>
      <c r="K25" s="92"/>
      <c r="L25" s="92"/>
      <c r="M25" s="92"/>
    </row>
    <row r="26" spans="1:13" ht="51.75" customHeight="1" x14ac:dyDescent="0.3">
      <c r="A26" s="155">
        <v>14</v>
      </c>
      <c r="B26" s="155" t="s">
        <v>1193</v>
      </c>
      <c r="C26" s="89" t="s">
        <v>756</v>
      </c>
      <c r="D26" s="89" t="s">
        <v>1194</v>
      </c>
      <c r="E26" s="89" t="s">
        <v>453</v>
      </c>
      <c r="F26" s="156" t="s">
        <v>422</v>
      </c>
      <c r="G26" s="91"/>
      <c r="H26" s="91"/>
      <c r="I26" s="91"/>
      <c r="J26" s="92"/>
      <c r="K26" s="92"/>
      <c r="L26" s="92"/>
      <c r="M26" s="92"/>
    </row>
    <row r="27" spans="1:13" ht="51.75" customHeight="1" x14ac:dyDescent="0.3">
      <c r="A27" s="155">
        <v>15</v>
      </c>
      <c r="B27" s="155" t="s">
        <v>1195</v>
      </c>
      <c r="C27" s="89" t="s">
        <v>756</v>
      </c>
      <c r="D27" s="89" t="s">
        <v>1196</v>
      </c>
      <c r="E27" s="89" t="s">
        <v>453</v>
      </c>
      <c r="F27" s="156" t="s">
        <v>422</v>
      </c>
      <c r="G27" s="91"/>
      <c r="H27" s="91"/>
      <c r="I27" s="91"/>
      <c r="J27" s="92"/>
      <c r="K27" s="92"/>
      <c r="L27" s="92"/>
      <c r="M27" s="92"/>
    </row>
    <row r="28" spans="1:13" ht="51.75" customHeight="1" x14ac:dyDescent="0.3">
      <c r="A28" s="155">
        <v>16</v>
      </c>
      <c r="B28" s="155" t="s">
        <v>1197</v>
      </c>
      <c r="C28" s="89" t="s">
        <v>756</v>
      </c>
      <c r="D28" s="89" t="s">
        <v>1198</v>
      </c>
      <c r="E28" s="89" t="s">
        <v>453</v>
      </c>
      <c r="F28" s="156" t="s">
        <v>422</v>
      </c>
      <c r="G28" s="91"/>
      <c r="H28" s="91"/>
      <c r="I28" s="91"/>
      <c r="J28" s="92"/>
      <c r="K28" s="92"/>
      <c r="L28" s="92"/>
      <c r="M28" s="92"/>
    </row>
    <row r="29" spans="1:13" ht="51.75" customHeight="1" x14ac:dyDescent="0.3">
      <c r="A29" s="155">
        <v>17</v>
      </c>
      <c r="B29" s="155" t="s">
        <v>1199</v>
      </c>
      <c r="C29" s="89" t="s">
        <v>756</v>
      </c>
      <c r="D29" s="89" t="s">
        <v>1200</v>
      </c>
      <c r="E29" s="89" t="s">
        <v>453</v>
      </c>
      <c r="F29" s="156" t="s">
        <v>422</v>
      </c>
      <c r="G29" s="91"/>
      <c r="H29" s="91"/>
      <c r="I29" s="91"/>
      <c r="J29" s="92"/>
      <c r="K29" s="92"/>
      <c r="L29" s="92"/>
      <c r="M29" s="92"/>
    </row>
    <row r="30" spans="1:13" ht="51.75" customHeight="1" x14ac:dyDescent="0.3">
      <c r="A30" s="155">
        <v>18</v>
      </c>
      <c r="B30" s="155" t="s">
        <v>1201</v>
      </c>
      <c r="C30" s="89" t="s">
        <v>756</v>
      </c>
      <c r="D30" s="89" t="s">
        <v>1202</v>
      </c>
      <c r="E30" s="89" t="s">
        <v>453</v>
      </c>
      <c r="F30" s="156" t="s">
        <v>422</v>
      </c>
      <c r="G30" s="91"/>
      <c r="H30" s="91"/>
      <c r="I30" s="91"/>
      <c r="J30" s="92"/>
      <c r="K30" s="92"/>
      <c r="L30" s="92"/>
      <c r="M30" s="92"/>
    </row>
    <row r="31" spans="1:13" ht="51.75" customHeight="1" x14ac:dyDescent="0.3">
      <c r="A31" s="153">
        <v>19</v>
      </c>
      <c r="B31" s="153" t="s">
        <v>1203</v>
      </c>
      <c r="C31" s="110" t="s">
        <v>756</v>
      </c>
      <c r="D31" s="110" t="s">
        <v>1204</v>
      </c>
      <c r="E31" s="110" t="s">
        <v>453</v>
      </c>
      <c r="F31" s="154"/>
      <c r="G31" s="112"/>
      <c r="H31" s="112"/>
      <c r="I31" s="112"/>
      <c r="J31" s="113"/>
      <c r="K31" s="113"/>
      <c r="L31" s="113"/>
      <c r="M31" s="113"/>
    </row>
    <row r="32" spans="1:13" ht="51.75" customHeight="1" x14ac:dyDescent="0.3">
      <c r="A32" s="155">
        <v>20</v>
      </c>
      <c r="B32" s="155" t="s">
        <v>1205</v>
      </c>
      <c r="C32" s="89" t="s">
        <v>756</v>
      </c>
      <c r="D32" s="89" t="s">
        <v>1206</v>
      </c>
      <c r="E32" s="89" t="s">
        <v>453</v>
      </c>
      <c r="F32" s="156" t="s">
        <v>422</v>
      </c>
      <c r="G32" s="91"/>
      <c r="H32" s="91"/>
      <c r="I32" s="91"/>
      <c r="J32" s="92"/>
      <c r="K32" s="92"/>
      <c r="L32" s="92"/>
      <c r="M32" s="92"/>
    </row>
    <row r="33" spans="1:13" ht="51.75" customHeight="1" x14ac:dyDescent="0.3">
      <c r="A33" s="153">
        <v>21</v>
      </c>
      <c r="B33" s="153" t="s">
        <v>1207</v>
      </c>
      <c r="C33" s="110" t="s">
        <v>756</v>
      </c>
      <c r="D33" s="110" t="s">
        <v>1208</v>
      </c>
      <c r="E33" s="110" t="s">
        <v>453</v>
      </c>
      <c r="F33" s="154"/>
      <c r="G33" s="112"/>
      <c r="H33" s="112"/>
      <c r="I33" s="112"/>
      <c r="J33" s="113"/>
      <c r="K33" s="113"/>
      <c r="L33" s="113"/>
      <c r="M33" s="113"/>
    </row>
    <row r="34" spans="1:13" ht="51.75" customHeight="1" x14ac:dyDescent="0.3">
      <c r="A34" s="157">
        <v>22</v>
      </c>
      <c r="B34" s="157" t="s">
        <v>1209</v>
      </c>
      <c r="C34" s="117" t="s">
        <v>756</v>
      </c>
      <c r="D34" s="117" t="s">
        <v>1210</v>
      </c>
      <c r="E34" s="117" t="s">
        <v>453</v>
      </c>
      <c r="F34" s="158"/>
      <c r="G34" s="119"/>
      <c r="H34" s="119"/>
      <c r="I34" s="119"/>
      <c r="J34" s="120"/>
      <c r="K34" s="120"/>
      <c r="L34" s="120"/>
      <c r="M34" s="120"/>
    </row>
    <row r="35" spans="1:13" ht="51.75" customHeight="1" x14ac:dyDescent="0.3">
      <c r="A35" s="153">
        <v>23</v>
      </c>
      <c r="B35" s="153" t="s">
        <v>50</v>
      </c>
      <c r="C35" s="110" t="s">
        <v>756</v>
      </c>
      <c r="D35" s="110" t="s">
        <v>1211</v>
      </c>
      <c r="E35" s="110" t="s">
        <v>453</v>
      </c>
      <c r="F35" s="154"/>
      <c r="G35" s="112"/>
      <c r="H35" s="112"/>
      <c r="I35" s="112"/>
      <c r="J35" s="113"/>
      <c r="K35" s="113"/>
      <c r="L35" s="113"/>
      <c r="M35" s="113"/>
    </row>
    <row r="36" spans="1:13" ht="51.75" customHeight="1" x14ac:dyDescent="0.3">
      <c r="A36" s="157">
        <v>24</v>
      </c>
      <c r="B36" s="157" t="s">
        <v>1212</v>
      </c>
      <c r="C36" s="117" t="s">
        <v>756</v>
      </c>
      <c r="D36" s="117" t="s">
        <v>1213</v>
      </c>
      <c r="E36" s="117" t="s">
        <v>453</v>
      </c>
      <c r="F36" s="158"/>
      <c r="G36" s="119"/>
      <c r="H36" s="119"/>
      <c r="I36" s="119"/>
      <c r="J36" s="120"/>
      <c r="K36" s="120"/>
      <c r="L36" s="120"/>
      <c r="M36" s="120"/>
    </row>
    <row r="37" spans="1:13" ht="51.75" customHeight="1" x14ac:dyDescent="0.3">
      <c r="A37" s="153">
        <v>25</v>
      </c>
      <c r="B37" s="153" t="s">
        <v>1214</v>
      </c>
      <c r="C37" s="110" t="s">
        <v>756</v>
      </c>
      <c r="D37" s="110" t="s">
        <v>1215</v>
      </c>
      <c r="E37" s="110" t="s">
        <v>453</v>
      </c>
      <c r="F37" s="154"/>
      <c r="G37" s="112"/>
      <c r="H37" s="112"/>
      <c r="I37" s="112"/>
      <c r="J37" s="113"/>
      <c r="K37" s="113"/>
      <c r="L37" s="113"/>
      <c r="M37" s="113"/>
    </row>
    <row r="38" spans="1:13" ht="18" customHeight="1" x14ac:dyDescent="0.3">
      <c r="A38" s="214" t="s">
        <v>1216</v>
      </c>
      <c r="B38" s="214"/>
      <c r="C38" s="214"/>
      <c r="D38" s="214"/>
      <c r="E38" s="214"/>
      <c r="F38" s="214"/>
      <c r="G38" s="214"/>
      <c r="H38" s="214"/>
      <c r="I38" s="214"/>
      <c r="J38" s="214"/>
      <c r="K38" s="214"/>
      <c r="L38" s="214"/>
      <c r="M38" s="214"/>
    </row>
    <row r="39" spans="1:13" ht="51.75" customHeight="1" x14ac:dyDescent="0.3">
      <c r="A39" s="157">
        <v>26</v>
      </c>
      <c r="B39" s="157" t="s">
        <v>54</v>
      </c>
      <c r="C39" s="117" t="s">
        <v>1004</v>
      </c>
      <c r="D39" s="117" t="s">
        <v>1007</v>
      </c>
      <c r="E39" s="117" t="s">
        <v>453</v>
      </c>
      <c r="F39" s="158"/>
      <c r="G39" s="119"/>
      <c r="H39" s="119"/>
      <c r="I39" s="119"/>
      <c r="J39" s="120"/>
      <c r="K39" s="120"/>
      <c r="L39" s="120"/>
      <c r="M39" s="120"/>
    </row>
    <row r="40" spans="1:13" ht="18" customHeight="1" x14ac:dyDescent="0.3">
      <c r="A40" s="214" t="s">
        <v>705</v>
      </c>
      <c r="B40" s="214"/>
      <c r="C40" s="214"/>
      <c r="D40" s="214"/>
      <c r="E40" s="214"/>
      <c r="F40" s="214"/>
      <c r="G40" s="214"/>
      <c r="H40" s="214"/>
      <c r="I40" s="214"/>
      <c r="J40" s="214"/>
      <c r="K40" s="214"/>
      <c r="L40" s="214"/>
      <c r="M40" s="214"/>
    </row>
    <row r="41" spans="1:13" ht="51.75" customHeight="1" x14ac:dyDescent="0.3">
      <c r="A41" s="153">
        <v>27</v>
      </c>
      <c r="B41" s="153" t="s">
        <v>58</v>
      </c>
      <c r="C41" s="110" t="s">
        <v>533</v>
      </c>
      <c r="D41" s="110" t="s">
        <v>1007</v>
      </c>
      <c r="E41" s="110" t="s">
        <v>453</v>
      </c>
      <c r="F41" s="154"/>
      <c r="G41" s="112"/>
      <c r="H41" s="112"/>
      <c r="I41" s="112"/>
      <c r="J41" s="113"/>
      <c r="K41" s="113"/>
      <c r="L41" s="113"/>
      <c r="M41" s="113"/>
    </row>
    <row r="42" spans="1:13" ht="21.75" customHeight="1" x14ac:dyDescent="0.3">
      <c r="A42" s="220" t="s">
        <v>1217</v>
      </c>
      <c r="B42" s="220"/>
      <c r="C42" s="220"/>
      <c r="D42" s="220"/>
      <c r="E42" s="220"/>
      <c r="F42" s="220"/>
      <c r="G42" s="220"/>
      <c r="H42" s="220"/>
      <c r="I42" s="220"/>
      <c r="J42" s="220"/>
      <c r="K42" s="220"/>
      <c r="L42" s="220"/>
      <c r="M42" s="220"/>
    </row>
    <row r="43" spans="1:13" ht="18" customHeight="1" x14ac:dyDescent="0.3">
      <c r="A43" s="214" t="s">
        <v>1173</v>
      </c>
      <c r="B43" s="214"/>
      <c r="C43" s="214"/>
      <c r="D43" s="214"/>
      <c r="E43" s="214"/>
      <c r="F43" s="214"/>
      <c r="G43" s="214"/>
      <c r="H43" s="214"/>
      <c r="I43" s="214"/>
      <c r="J43" s="214"/>
      <c r="K43" s="214"/>
      <c r="L43" s="214"/>
      <c r="M43" s="214"/>
    </row>
    <row r="44" spans="1:13" ht="51.75" customHeight="1" x14ac:dyDescent="0.3">
      <c r="A44" s="157">
        <v>28</v>
      </c>
      <c r="B44" s="157" t="s">
        <v>62</v>
      </c>
      <c r="C44" s="117" t="s">
        <v>539</v>
      </c>
      <c r="D44" s="117" t="s">
        <v>1174</v>
      </c>
      <c r="E44" s="117" t="s">
        <v>453</v>
      </c>
      <c r="F44" s="158"/>
      <c r="G44" s="119"/>
      <c r="H44" s="119"/>
      <c r="I44" s="119"/>
      <c r="J44" s="120"/>
      <c r="K44" s="120"/>
      <c r="L44" s="120"/>
      <c r="M44" s="120"/>
    </row>
    <row r="45" spans="1:13" ht="51.75" customHeight="1" x14ac:dyDescent="0.3">
      <c r="A45" s="155">
        <v>29</v>
      </c>
      <c r="B45" s="155" t="s">
        <v>651</v>
      </c>
      <c r="C45" s="89" t="s">
        <v>539</v>
      </c>
      <c r="D45" s="89" t="s">
        <v>1218</v>
      </c>
      <c r="E45" s="89" t="s">
        <v>453</v>
      </c>
      <c r="F45" s="156" t="s">
        <v>422</v>
      </c>
      <c r="G45" s="91"/>
      <c r="H45" s="91"/>
      <c r="I45" s="91"/>
      <c r="J45" s="92"/>
      <c r="K45" s="92"/>
      <c r="L45" s="92"/>
      <c r="M45" s="92"/>
    </row>
    <row r="46" spans="1:13" ht="51.75" customHeight="1" x14ac:dyDescent="0.3">
      <c r="A46" s="157">
        <v>30</v>
      </c>
      <c r="B46" s="157" t="s">
        <v>654</v>
      </c>
      <c r="C46" s="117" t="s">
        <v>539</v>
      </c>
      <c r="D46" s="117" t="s">
        <v>1219</v>
      </c>
      <c r="E46" s="117" t="s">
        <v>453</v>
      </c>
      <c r="F46" s="158"/>
      <c r="G46" s="119"/>
      <c r="H46" s="119"/>
      <c r="I46" s="119"/>
      <c r="J46" s="120"/>
      <c r="K46" s="120"/>
      <c r="L46" s="120"/>
      <c r="M46" s="120"/>
    </row>
    <row r="47" spans="1:13" ht="51.75" customHeight="1" x14ac:dyDescent="0.3">
      <c r="A47" s="153">
        <v>31</v>
      </c>
      <c r="B47" s="153" t="s">
        <v>657</v>
      </c>
      <c r="C47" s="110" t="s">
        <v>539</v>
      </c>
      <c r="D47" s="110" t="s">
        <v>1220</v>
      </c>
      <c r="E47" s="110" t="s">
        <v>453</v>
      </c>
      <c r="F47" s="154"/>
      <c r="G47" s="112"/>
      <c r="H47" s="112"/>
      <c r="I47" s="112"/>
      <c r="J47" s="113"/>
      <c r="K47" s="113"/>
      <c r="L47" s="113"/>
      <c r="M47" s="113"/>
    </row>
    <row r="48" spans="1:13" ht="18" customHeight="1" x14ac:dyDescent="0.3">
      <c r="A48" s="214" t="s">
        <v>705</v>
      </c>
      <c r="B48" s="214"/>
      <c r="C48" s="214"/>
      <c r="D48" s="214"/>
      <c r="E48" s="214"/>
      <c r="F48" s="214"/>
      <c r="G48" s="214"/>
      <c r="H48" s="214"/>
      <c r="I48" s="214"/>
      <c r="J48" s="214"/>
      <c r="K48" s="214"/>
      <c r="L48" s="214"/>
      <c r="M48" s="214"/>
    </row>
    <row r="49" spans="1:13" ht="51.75" customHeight="1" x14ac:dyDescent="0.3">
      <c r="A49" s="157">
        <v>32</v>
      </c>
      <c r="B49" s="157" t="s">
        <v>66</v>
      </c>
      <c r="C49" s="117" t="s">
        <v>574</v>
      </c>
      <c r="D49" s="117" t="s">
        <v>1007</v>
      </c>
      <c r="E49" s="117" t="s">
        <v>453</v>
      </c>
      <c r="F49" s="158"/>
      <c r="G49" s="119"/>
      <c r="H49" s="119"/>
      <c r="I49" s="119"/>
      <c r="J49" s="120"/>
      <c r="K49" s="120"/>
      <c r="L49" s="120"/>
      <c r="M49" s="120"/>
    </row>
    <row r="50" spans="1:13" ht="21.75" customHeight="1" x14ac:dyDescent="0.3">
      <c r="A50" s="220" t="s">
        <v>1221</v>
      </c>
      <c r="B50" s="220"/>
      <c r="C50" s="220"/>
      <c r="D50" s="220"/>
      <c r="E50" s="220"/>
      <c r="F50" s="220"/>
      <c r="G50" s="220"/>
      <c r="H50" s="220"/>
      <c r="I50" s="220"/>
      <c r="J50" s="220"/>
      <c r="K50" s="220"/>
      <c r="L50" s="220"/>
      <c r="M50" s="220"/>
    </row>
    <row r="51" spans="1:13" ht="18" customHeight="1" x14ac:dyDescent="0.3">
      <c r="A51" s="214" t="s">
        <v>1173</v>
      </c>
      <c r="B51" s="214"/>
      <c r="C51" s="214"/>
      <c r="D51" s="214"/>
      <c r="E51" s="214"/>
      <c r="F51" s="214"/>
      <c r="G51" s="214"/>
      <c r="H51" s="214"/>
      <c r="I51" s="214"/>
      <c r="J51" s="214"/>
      <c r="K51" s="214"/>
      <c r="L51" s="214"/>
      <c r="M51" s="214"/>
    </row>
    <row r="52" spans="1:13" ht="51.75" customHeight="1" x14ac:dyDescent="0.3">
      <c r="A52" s="155">
        <v>33</v>
      </c>
      <c r="B52" s="155" t="s">
        <v>70</v>
      </c>
      <c r="C52" s="89" t="s">
        <v>578</v>
      </c>
      <c r="D52" s="89" t="s">
        <v>1222</v>
      </c>
      <c r="E52" s="89" t="s">
        <v>433</v>
      </c>
      <c r="F52" s="156" t="s">
        <v>422</v>
      </c>
      <c r="G52" s="91"/>
      <c r="H52" s="91"/>
      <c r="I52" s="91"/>
      <c r="J52" s="92"/>
      <c r="K52" s="92"/>
      <c r="L52" s="92"/>
      <c r="M52" s="92"/>
    </row>
    <row r="53" spans="1:13" ht="18" customHeight="1" x14ac:dyDescent="0.3">
      <c r="A53" s="214" t="s">
        <v>705</v>
      </c>
      <c r="B53" s="214"/>
      <c r="C53" s="214"/>
      <c r="D53" s="214"/>
      <c r="E53" s="214"/>
      <c r="F53" s="214"/>
      <c r="G53" s="214"/>
      <c r="H53" s="214"/>
      <c r="I53" s="214"/>
      <c r="J53" s="214"/>
      <c r="K53" s="214"/>
      <c r="L53" s="214"/>
      <c r="M53" s="214"/>
    </row>
    <row r="54" spans="1:13" ht="51.75" customHeight="1" x14ac:dyDescent="0.3">
      <c r="A54" s="157">
        <v>34</v>
      </c>
      <c r="B54" s="157" t="s">
        <v>263</v>
      </c>
      <c r="C54" s="117" t="s">
        <v>1223</v>
      </c>
      <c r="D54" s="117" t="s">
        <v>1007</v>
      </c>
      <c r="E54" s="117" t="s">
        <v>433</v>
      </c>
      <c r="F54" s="158"/>
      <c r="G54" s="119"/>
      <c r="H54" s="119"/>
      <c r="I54" s="119"/>
      <c r="J54" s="120"/>
      <c r="K54" s="120"/>
      <c r="L54" s="120"/>
      <c r="M54" s="120"/>
    </row>
    <row r="55" spans="1:13" ht="21.75" customHeight="1" x14ac:dyDescent="0.3">
      <c r="A55" s="220" t="s">
        <v>1224</v>
      </c>
      <c r="B55" s="220"/>
      <c r="C55" s="220"/>
      <c r="D55" s="220"/>
      <c r="E55" s="220"/>
      <c r="F55" s="220"/>
      <c r="G55" s="220"/>
      <c r="H55" s="220"/>
      <c r="I55" s="220"/>
      <c r="J55" s="220"/>
      <c r="K55" s="220"/>
      <c r="L55" s="220"/>
      <c r="M55" s="220"/>
    </row>
    <row r="56" spans="1:13" ht="18" customHeight="1" x14ac:dyDescent="0.3">
      <c r="A56" s="214" t="s">
        <v>1173</v>
      </c>
      <c r="B56" s="214"/>
      <c r="C56" s="214"/>
      <c r="D56" s="214"/>
      <c r="E56" s="214"/>
      <c r="F56" s="214"/>
      <c r="G56" s="214"/>
      <c r="H56" s="214"/>
      <c r="I56" s="214"/>
      <c r="J56" s="214"/>
      <c r="K56" s="214"/>
      <c r="L56" s="214"/>
      <c r="M56" s="214"/>
    </row>
    <row r="57" spans="1:13" ht="51.75" customHeight="1" x14ac:dyDescent="0.3">
      <c r="A57" s="153">
        <v>35</v>
      </c>
      <c r="B57" s="153" t="s">
        <v>265</v>
      </c>
      <c r="C57" s="110" t="s">
        <v>610</v>
      </c>
      <c r="D57" s="110" t="s">
        <v>1225</v>
      </c>
      <c r="E57" s="110" t="s">
        <v>433</v>
      </c>
      <c r="F57" s="154"/>
      <c r="G57" s="112"/>
      <c r="H57" s="112"/>
      <c r="I57" s="112"/>
      <c r="J57" s="113"/>
      <c r="K57" s="113"/>
      <c r="L57" s="113"/>
      <c r="M57" s="113"/>
    </row>
    <row r="58" spans="1:13" ht="51.75" customHeight="1" x14ac:dyDescent="0.3">
      <c r="A58" s="155">
        <v>36</v>
      </c>
      <c r="B58" s="155" t="s">
        <v>559</v>
      </c>
      <c r="C58" s="89" t="s">
        <v>610</v>
      </c>
      <c r="D58" s="89" t="s">
        <v>1226</v>
      </c>
      <c r="E58" s="89" t="s">
        <v>433</v>
      </c>
      <c r="F58" s="156" t="s">
        <v>422</v>
      </c>
      <c r="G58" s="91"/>
      <c r="H58" s="91"/>
      <c r="I58" s="91"/>
      <c r="J58" s="92"/>
      <c r="K58" s="92"/>
      <c r="L58" s="92"/>
      <c r="M58" s="92"/>
    </row>
    <row r="59" spans="1:13" ht="51.75" customHeight="1" x14ac:dyDescent="0.3">
      <c r="A59" s="155">
        <v>37</v>
      </c>
      <c r="B59" s="155" t="s">
        <v>563</v>
      </c>
      <c r="C59" s="89" t="s">
        <v>610</v>
      </c>
      <c r="D59" s="89" t="s">
        <v>1227</v>
      </c>
      <c r="E59" s="89" t="s">
        <v>433</v>
      </c>
      <c r="F59" s="156" t="s">
        <v>422</v>
      </c>
      <c r="G59" s="91"/>
      <c r="H59" s="91"/>
      <c r="I59" s="91"/>
      <c r="J59" s="92"/>
      <c r="K59" s="92"/>
      <c r="L59" s="92"/>
      <c r="M59" s="92"/>
    </row>
    <row r="60" spans="1:13" ht="51.75" customHeight="1" x14ac:dyDescent="0.3">
      <c r="A60" s="157">
        <v>38</v>
      </c>
      <c r="B60" s="157" t="s">
        <v>1228</v>
      </c>
      <c r="C60" s="117" t="s">
        <v>610</v>
      </c>
      <c r="D60" s="117" t="s">
        <v>1229</v>
      </c>
      <c r="E60" s="117" t="s">
        <v>433</v>
      </c>
      <c r="F60" s="158"/>
      <c r="G60" s="119"/>
      <c r="H60" s="119"/>
      <c r="I60" s="119"/>
      <c r="J60" s="120"/>
      <c r="K60" s="120"/>
      <c r="L60" s="120"/>
      <c r="M60" s="120"/>
    </row>
    <row r="61" spans="1:13" ht="51.75" customHeight="1" x14ac:dyDescent="0.3">
      <c r="A61" s="155">
        <v>39</v>
      </c>
      <c r="B61" s="155" t="s">
        <v>1230</v>
      </c>
      <c r="C61" s="89" t="s">
        <v>610</v>
      </c>
      <c r="D61" s="89" t="s">
        <v>1231</v>
      </c>
      <c r="E61" s="89" t="s">
        <v>433</v>
      </c>
      <c r="F61" s="156" t="s">
        <v>422</v>
      </c>
      <c r="G61" s="91"/>
      <c r="H61" s="91"/>
      <c r="I61" s="91"/>
      <c r="J61" s="92"/>
      <c r="K61" s="92"/>
      <c r="L61" s="92"/>
      <c r="M61" s="92"/>
    </row>
    <row r="62" spans="1:13" ht="51.75" customHeight="1" x14ac:dyDescent="0.3">
      <c r="A62" s="157">
        <v>40</v>
      </c>
      <c r="B62" s="157" t="s">
        <v>1232</v>
      </c>
      <c r="C62" s="117" t="s">
        <v>610</v>
      </c>
      <c r="D62" s="117" t="s">
        <v>1233</v>
      </c>
      <c r="E62" s="117" t="s">
        <v>433</v>
      </c>
      <c r="F62" s="158"/>
      <c r="G62" s="119"/>
      <c r="H62" s="119"/>
      <c r="I62" s="119"/>
      <c r="J62" s="120"/>
      <c r="K62" s="120"/>
      <c r="L62" s="120"/>
      <c r="M62" s="120"/>
    </row>
    <row r="63" spans="1:13" ht="51.75" customHeight="1" x14ac:dyDescent="0.3">
      <c r="A63" s="153">
        <v>41</v>
      </c>
      <c r="B63" s="153" t="s">
        <v>1234</v>
      </c>
      <c r="C63" s="110" t="s">
        <v>610</v>
      </c>
      <c r="D63" s="110" t="s">
        <v>1235</v>
      </c>
      <c r="E63" s="110" t="s">
        <v>433</v>
      </c>
      <c r="F63" s="154"/>
      <c r="G63" s="112"/>
      <c r="H63" s="112"/>
      <c r="I63" s="112"/>
      <c r="J63" s="113"/>
      <c r="K63" s="113"/>
      <c r="L63" s="113"/>
      <c r="M63" s="113"/>
    </row>
    <row r="64" spans="1:13" ht="51.75" customHeight="1" x14ac:dyDescent="0.3">
      <c r="A64" s="157">
        <v>42</v>
      </c>
      <c r="B64" s="157" t="s">
        <v>1236</v>
      </c>
      <c r="C64" s="117" t="s">
        <v>610</v>
      </c>
      <c r="D64" s="117" t="s">
        <v>1237</v>
      </c>
      <c r="E64" s="117" t="s">
        <v>433</v>
      </c>
      <c r="F64" s="158"/>
      <c r="G64" s="119"/>
      <c r="H64" s="119"/>
      <c r="I64" s="119"/>
      <c r="J64" s="120"/>
      <c r="K64" s="120"/>
      <c r="L64" s="120"/>
      <c r="M64" s="120"/>
    </row>
    <row r="65" spans="1:13" ht="51.75" customHeight="1" x14ac:dyDescent="0.3">
      <c r="A65" s="153">
        <v>43</v>
      </c>
      <c r="B65" s="153" t="s">
        <v>1238</v>
      </c>
      <c r="C65" s="110" t="s">
        <v>610</v>
      </c>
      <c r="D65" s="110" t="s">
        <v>1239</v>
      </c>
      <c r="E65" s="110" t="s">
        <v>433</v>
      </c>
      <c r="F65" s="154"/>
      <c r="G65" s="112"/>
      <c r="H65" s="112"/>
      <c r="I65" s="112"/>
      <c r="J65" s="113"/>
      <c r="K65" s="113"/>
      <c r="L65" s="113"/>
      <c r="M65" s="113"/>
    </row>
    <row r="66" spans="1:13" ht="51.75" customHeight="1" x14ac:dyDescent="0.3">
      <c r="A66" s="155">
        <v>44</v>
      </c>
      <c r="B66" s="155" t="s">
        <v>1240</v>
      </c>
      <c r="C66" s="89" t="s">
        <v>610</v>
      </c>
      <c r="D66" s="89" t="s">
        <v>1241</v>
      </c>
      <c r="E66" s="89" t="s">
        <v>433</v>
      </c>
      <c r="F66" s="156" t="s">
        <v>422</v>
      </c>
      <c r="G66" s="91"/>
      <c r="H66" s="91"/>
      <c r="I66" s="91"/>
      <c r="J66" s="92"/>
      <c r="K66" s="92"/>
      <c r="L66" s="92"/>
      <c r="M66" s="92"/>
    </row>
    <row r="67" spans="1:13" ht="18" customHeight="1" x14ac:dyDescent="0.3">
      <c r="A67" s="214" t="s">
        <v>705</v>
      </c>
      <c r="B67" s="214"/>
      <c r="C67" s="214"/>
      <c r="D67" s="214"/>
      <c r="E67" s="214"/>
      <c r="F67" s="214"/>
      <c r="G67" s="214"/>
      <c r="H67" s="214"/>
      <c r="I67" s="214"/>
      <c r="J67" s="214"/>
      <c r="K67" s="214"/>
      <c r="L67" s="214"/>
      <c r="M67" s="214"/>
    </row>
    <row r="68" spans="1:13" ht="51.75" customHeight="1" x14ac:dyDescent="0.3">
      <c r="A68" s="153">
        <v>45</v>
      </c>
      <c r="B68" s="153" t="s">
        <v>267</v>
      </c>
      <c r="C68" s="110" t="s">
        <v>707</v>
      </c>
      <c r="D68" s="110" t="s">
        <v>1007</v>
      </c>
      <c r="E68" s="110" t="s">
        <v>433</v>
      </c>
      <c r="F68" s="154"/>
      <c r="G68" s="112"/>
      <c r="H68" s="112"/>
      <c r="I68" s="112"/>
      <c r="J68" s="113"/>
      <c r="K68" s="113"/>
      <c r="L68" s="113"/>
      <c r="M68" s="113"/>
    </row>
    <row r="69" spans="1:13" ht="21.75" customHeight="1" x14ac:dyDescent="0.3">
      <c r="A69" s="220" t="s">
        <v>1242</v>
      </c>
      <c r="B69" s="220"/>
      <c r="C69" s="220"/>
      <c r="D69" s="220"/>
      <c r="E69" s="220"/>
      <c r="F69" s="220"/>
      <c r="G69" s="220"/>
      <c r="H69" s="220"/>
      <c r="I69" s="220"/>
      <c r="J69" s="220"/>
      <c r="K69" s="220"/>
      <c r="L69" s="220"/>
      <c r="M69" s="220"/>
    </row>
    <row r="70" spans="1:13" ht="18" customHeight="1" x14ac:dyDescent="0.3">
      <c r="A70" s="214" t="s">
        <v>1173</v>
      </c>
      <c r="B70" s="214"/>
      <c r="C70" s="214"/>
      <c r="D70" s="214"/>
      <c r="E70" s="214"/>
      <c r="F70" s="214"/>
      <c r="G70" s="214"/>
      <c r="H70" s="214"/>
      <c r="I70" s="214"/>
      <c r="J70" s="214"/>
      <c r="K70" s="214"/>
      <c r="L70" s="214"/>
      <c r="M70" s="214"/>
    </row>
    <row r="71" spans="1:13" ht="51.75" customHeight="1" x14ac:dyDescent="0.3">
      <c r="A71" s="157">
        <v>46</v>
      </c>
      <c r="B71" s="157" t="s">
        <v>269</v>
      </c>
      <c r="C71" s="117" t="s">
        <v>711</v>
      </c>
      <c r="D71" s="117" t="s">
        <v>1243</v>
      </c>
      <c r="E71" s="117" t="s">
        <v>433</v>
      </c>
      <c r="F71" s="158"/>
      <c r="G71" s="119"/>
      <c r="H71" s="119"/>
      <c r="I71" s="119"/>
      <c r="J71" s="120"/>
      <c r="K71" s="120"/>
      <c r="L71" s="120"/>
      <c r="M71" s="120"/>
    </row>
    <row r="72" spans="1:13" ht="51.75" customHeight="1" x14ac:dyDescent="0.3">
      <c r="A72" s="155">
        <v>47</v>
      </c>
      <c r="B72" s="155" t="s">
        <v>1244</v>
      </c>
      <c r="C72" s="89" t="s">
        <v>711</v>
      </c>
      <c r="D72" s="89" t="s">
        <v>1245</v>
      </c>
      <c r="E72" s="89" t="s">
        <v>433</v>
      </c>
      <c r="F72" s="156" t="s">
        <v>422</v>
      </c>
      <c r="G72" s="91"/>
      <c r="H72" s="91"/>
      <c r="I72" s="91"/>
      <c r="J72" s="92"/>
      <c r="K72" s="92"/>
      <c r="L72" s="92"/>
      <c r="M72" s="92"/>
    </row>
    <row r="73" spans="1:13" ht="51.75" customHeight="1" x14ac:dyDescent="0.3">
      <c r="A73" s="157">
        <v>48</v>
      </c>
      <c r="B73" s="157" t="s">
        <v>1246</v>
      </c>
      <c r="C73" s="117" t="s">
        <v>711</v>
      </c>
      <c r="D73" s="117" t="s">
        <v>1247</v>
      </c>
      <c r="E73" s="117" t="s">
        <v>433</v>
      </c>
      <c r="F73" s="158"/>
      <c r="G73" s="119"/>
      <c r="H73" s="119"/>
      <c r="I73" s="119"/>
      <c r="J73" s="120"/>
      <c r="K73" s="120"/>
      <c r="L73" s="120"/>
      <c r="M73" s="120"/>
    </row>
    <row r="74" spans="1:13" ht="51.75" customHeight="1" x14ac:dyDescent="0.3">
      <c r="A74" s="155">
        <v>49</v>
      </c>
      <c r="B74" s="155" t="s">
        <v>1248</v>
      </c>
      <c r="C74" s="89" t="s">
        <v>711</v>
      </c>
      <c r="D74" s="89" t="s">
        <v>1249</v>
      </c>
      <c r="E74" s="89" t="s">
        <v>433</v>
      </c>
      <c r="F74" s="156" t="s">
        <v>422</v>
      </c>
      <c r="G74" s="91"/>
      <c r="H74" s="91"/>
      <c r="I74" s="91"/>
      <c r="J74" s="92"/>
      <c r="K74" s="92"/>
      <c r="L74" s="92"/>
      <c r="M74" s="92"/>
    </row>
    <row r="75" spans="1:13" ht="51.75" customHeight="1" x14ac:dyDescent="0.3">
      <c r="A75" s="155">
        <v>50</v>
      </c>
      <c r="B75" s="155" t="s">
        <v>1250</v>
      </c>
      <c r="C75" s="89" t="s">
        <v>711</v>
      </c>
      <c r="D75" s="89" t="s">
        <v>1251</v>
      </c>
      <c r="E75" s="89" t="s">
        <v>433</v>
      </c>
      <c r="F75" s="156" t="s">
        <v>422</v>
      </c>
      <c r="G75" s="91"/>
      <c r="H75" s="91"/>
      <c r="I75" s="91"/>
      <c r="J75" s="92"/>
      <c r="K75" s="92"/>
      <c r="L75" s="92"/>
      <c r="M75" s="92"/>
    </row>
    <row r="76" spans="1:13" ht="51.75" customHeight="1" x14ac:dyDescent="0.3">
      <c r="A76" s="155">
        <v>51</v>
      </c>
      <c r="B76" s="155" t="s">
        <v>1252</v>
      </c>
      <c r="C76" s="89" t="s">
        <v>711</v>
      </c>
      <c r="D76" s="89" t="s">
        <v>1253</v>
      </c>
      <c r="E76" s="89" t="s">
        <v>433</v>
      </c>
      <c r="F76" s="156" t="s">
        <v>422</v>
      </c>
      <c r="G76" s="91"/>
      <c r="H76" s="91"/>
      <c r="I76" s="91"/>
      <c r="J76" s="92"/>
      <c r="K76" s="92"/>
      <c r="L76" s="92"/>
      <c r="M76" s="92"/>
    </row>
    <row r="77" spans="1:13" ht="51.75" customHeight="1" x14ac:dyDescent="0.3">
      <c r="A77" s="155">
        <v>52</v>
      </c>
      <c r="B77" s="155" t="s">
        <v>1254</v>
      </c>
      <c r="C77" s="89" t="s">
        <v>711</v>
      </c>
      <c r="D77" s="89" t="s">
        <v>1255</v>
      </c>
      <c r="E77" s="89" t="s">
        <v>433</v>
      </c>
      <c r="F77" s="156" t="s">
        <v>422</v>
      </c>
      <c r="G77" s="91"/>
      <c r="H77" s="91"/>
      <c r="I77" s="91"/>
      <c r="J77" s="92"/>
      <c r="K77" s="92"/>
      <c r="L77" s="92"/>
      <c r="M77" s="92"/>
    </row>
    <row r="78" spans="1:13" ht="51.75" customHeight="1" x14ac:dyDescent="0.3">
      <c r="A78" s="153">
        <v>53</v>
      </c>
      <c r="B78" s="153" t="s">
        <v>1256</v>
      </c>
      <c r="C78" s="110" t="s">
        <v>711</v>
      </c>
      <c r="D78" s="110" t="s">
        <v>1257</v>
      </c>
      <c r="E78" s="110" t="s">
        <v>433</v>
      </c>
      <c r="F78" s="154"/>
      <c r="G78" s="112"/>
      <c r="H78" s="112"/>
      <c r="I78" s="112"/>
      <c r="J78" s="113"/>
      <c r="K78" s="113"/>
      <c r="L78" s="113"/>
      <c r="M78" s="113"/>
    </row>
    <row r="79" spans="1:13" ht="51.75" customHeight="1" x14ac:dyDescent="0.3">
      <c r="A79" s="157">
        <v>54</v>
      </c>
      <c r="B79" s="157" t="s">
        <v>1258</v>
      </c>
      <c r="C79" s="117" t="s">
        <v>711</v>
      </c>
      <c r="D79" s="117" t="s">
        <v>1259</v>
      </c>
      <c r="E79" s="117" t="s">
        <v>433</v>
      </c>
      <c r="F79" s="158"/>
      <c r="G79" s="119"/>
      <c r="H79" s="119"/>
      <c r="I79" s="119"/>
      <c r="J79" s="120"/>
      <c r="K79" s="120"/>
      <c r="L79" s="120"/>
      <c r="M79" s="120"/>
    </row>
    <row r="80" spans="1:13" ht="51.75" customHeight="1" x14ac:dyDescent="0.3">
      <c r="A80" s="153">
        <v>55</v>
      </c>
      <c r="B80" s="153" t="s">
        <v>1260</v>
      </c>
      <c r="C80" s="110" t="s">
        <v>711</v>
      </c>
      <c r="D80" s="110" t="s">
        <v>1261</v>
      </c>
      <c r="E80" s="110" t="s">
        <v>433</v>
      </c>
      <c r="F80" s="154"/>
      <c r="G80" s="112"/>
      <c r="H80" s="112"/>
      <c r="I80" s="112"/>
      <c r="J80" s="113"/>
      <c r="K80" s="113"/>
      <c r="L80" s="113"/>
      <c r="M80" s="113"/>
    </row>
    <row r="81" spans="1:13" ht="18" customHeight="1" x14ac:dyDescent="0.3">
      <c r="A81" s="214" t="s">
        <v>705</v>
      </c>
      <c r="B81" s="214"/>
      <c r="C81" s="214"/>
      <c r="D81" s="214"/>
      <c r="E81" s="214"/>
      <c r="F81" s="214"/>
      <c r="G81" s="214"/>
      <c r="H81" s="214"/>
      <c r="I81" s="214"/>
      <c r="J81" s="214"/>
      <c r="K81" s="214"/>
      <c r="L81" s="214"/>
      <c r="M81" s="214"/>
    </row>
    <row r="82" spans="1:13" ht="51.75" customHeight="1" x14ac:dyDescent="0.3">
      <c r="A82" s="157">
        <v>56</v>
      </c>
      <c r="B82" s="157" t="s">
        <v>271</v>
      </c>
      <c r="C82" s="117" t="s">
        <v>1262</v>
      </c>
      <c r="D82" s="117" t="s">
        <v>1007</v>
      </c>
      <c r="E82" s="117" t="s">
        <v>433</v>
      </c>
      <c r="F82" s="158"/>
      <c r="G82" s="119"/>
      <c r="H82" s="119"/>
      <c r="I82" s="119"/>
      <c r="J82" s="120"/>
      <c r="K82" s="120"/>
      <c r="L82" s="120"/>
      <c r="M82" s="120"/>
    </row>
    <row r="83" spans="1:13" ht="21.75" customHeight="1" x14ac:dyDescent="0.3">
      <c r="A83" s="220" t="s">
        <v>1263</v>
      </c>
      <c r="B83" s="220"/>
      <c r="C83" s="220"/>
      <c r="D83" s="220"/>
      <c r="E83" s="220"/>
      <c r="F83" s="220"/>
      <c r="G83" s="220"/>
      <c r="H83" s="220"/>
      <c r="I83" s="220"/>
      <c r="J83" s="220"/>
      <c r="K83" s="220"/>
      <c r="L83" s="220"/>
      <c r="M83" s="220"/>
    </row>
    <row r="84" spans="1:13" ht="18" customHeight="1" x14ac:dyDescent="0.3">
      <c r="A84" s="214" t="s">
        <v>1264</v>
      </c>
      <c r="B84" s="214"/>
      <c r="C84" s="214"/>
      <c r="D84" s="214"/>
      <c r="E84" s="214"/>
      <c r="F84" s="214"/>
      <c r="G84" s="214"/>
      <c r="H84" s="214"/>
      <c r="I84" s="214"/>
      <c r="J84" s="214"/>
      <c r="K84" s="214"/>
      <c r="L84" s="214"/>
      <c r="M84" s="214"/>
    </row>
    <row r="85" spans="1:13" ht="51.75" customHeight="1" x14ac:dyDescent="0.3">
      <c r="A85" s="153">
        <v>57</v>
      </c>
      <c r="B85" s="153" t="s">
        <v>273</v>
      </c>
      <c r="C85" s="110" t="s">
        <v>750</v>
      </c>
      <c r="D85" s="110" t="s">
        <v>148</v>
      </c>
      <c r="E85" s="110" t="s">
        <v>433</v>
      </c>
      <c r="F85" s="154"/>
      <c r="G85" s="112"/>
      <c r="H85" s="112"/>
      <c r="I85" s="112"/>
      <c r="J85" s="113"/>
      <c r="K85" s="113"/>
      <c r="L85" s="113"/>
      <c r="M85" s="113"/>
    </row>
    <row r="88" spans="1:13" ht="21.75" customHeight="1" x14ac:dyDescent="0.3">
      <c r="A88" s="216" t="s">
        <v>1265</v>
      </c>
      <c r="B88" s="216"/>
      <c r="C88" s="216"/>
      <c r="D88" s="216"/>
      <c r="E88" s="216"/>
      <c r="F88" s="216"/>
      <c r="G88" s="216"/>
      <c r="H88" s="216"/>
      <c r="I88" s="216"/>
      <c r="J88" s="216"/>
      <c r="K88" s="216"/>
      <c r="L88" s="216"/>
      <c r="M88" s="216"/>
    </row>
    <row r="89" spans="1:13" ht="53.25" customHeight="1" x14ac:dyDescent="0.3">
      <c r="A89" s="132" t="s">
        <v>419</v>
      </c>
      <c r="B89" s="132" t="s">
        <v>900</v>
      </c>
      <c r="C89" s="132" t="s">
        <v>370</v>
      </c>
      <c r="D89" s="132" t="s">
        <v>371</v>
      </c>
      <c r="E89" s="132" t="s">
        <v>372</v>
      </c>
      <c r="F89" s="132" t="s">
        <v>755</v>
      </c>
      <c r="G89" s="132" t="s">
        <v>301</v>
      </c>
    </row>
    <row r="90" spans="1:13" ht="63.75" customHeight="1" x14ac:dyDescent="0.3">
      <c r="A90" s="133" t="s">
        <v>431</v>
      </c>
      <c r="B90" s="119">
        <f>COUNTIF(C10:C85,"*TALENTO HUMANO*")</f>
        <v>10</v>
      </c>
      <c r="C90" s="119">
        <f>COUNTIFS(C10:C85,"*TALENTO HUMANO*",G10:G85,"X")</f>
        <v>0</v>
      </c>
      <c r="D90" s="119">
        <f>COUNTIFS(C10:C85,"*TALENTO HUMANO*",H10:H85,"X")</f>
        <v>0</v>
      </c>
      <c r="E90" s="119">
        <f>COUNTIFS(C10:C85,"*TALENTO HUMANO*",I10:I85,"X")</f>
        <v>0</v>
      </c>
      <c r="F90" s="134">
        <f t="shared" ref="F90:F96" si="0">IF((C90+D90)=0,0,C90/(C90+D90))</f>
        <v>0</v>
      </c>
      <c r="G90" s="119" t="str">
        <f t="shared" ref="G90:G97" si="1">IF(F90&gt;=0.9,"ALTO",IF(F90&gt;=0.7,"MEDIO",IF(F90&gt;0,"BAJO","SIN EVALUAR")))</f>
        <v>SIN EVALUAR</v>
      </c>
    </row>
    <row r="91" spans="1:13" ht="63.75" customHeight="1" x14ac:dyDescent="0.3">
      <c r="A91" s="135" t="s">
        <v>756</v>
      </c>
      <c r="B91" s="112">
        <f>COUNTIF(C10:C85,"*INFRAESTRUCTURA*")</f>
        <v>17</v>
      </c>
      <c r="C91" s="112">
        <f>COUNTIFS(C10:C85,"*INFRAESTRUCTURA*",G10:G85,"X")</f>
        <v>0</v>
      </c>
      <c r="D91" s="112">
        <f>COUNTIFS(C10:C85,"*INFRAESTRUCTURA*",H10:H85,"X")</f>
        <v>0</v>
      </c>
      <c r="E91" s="112">
        <f>COUNTIFS(C10:C85,"*INFRAESTRUCTURA*",I10:I85,"X")</f>
        <v>0</v>
      </c>
      <c r="F91" s="136">
        <f t="shared" si="0"/>
        <v>0</v>
      </c>
      <c r="G91" s="112" t="str">
        <f t="shared" si="1"/>
        <v>SIN EVALUAR</v>
      </c>
    </row>
    <row r="92" spans="1:13" ht="32.25" customHeight="1" x14ac:dyDescent="0.3">
      <c r="A92" s="133" t="s">
        <v>539</v>
      </c>
      <c r="B92" s="119">
        <f>COUNTIF(C10:C85,"*DOTACIÓN*")</f>
        <v>5</v>
      </c>
      <c r="C92" s="119">
        <f>COUNTIFS(C10:C85,"*DOTACIÓN*",G10:G85,"X")</f>
        <v>0</v>
      </c>
      <c r="D92" s="119">
        <f>COUNTIFS(C10:C85,"*DOTACIÓN*",H10:H85,"X")</f>
        <v>0</v>
      </c>
      <c r="E92" s="119">
        <f>COUNTIFS(C10:C85,"*DOTACIÓN*",I10:I85,"X")</f>
        <v>0</v>
      </c>
      <c r="F92" s="134">
        <f t="shared" si="0"/>
        <v>0</v>
      </c>
      <c r="G92" s="119" t="str">
        <f t="shared" si="1"/>
        <v>SIN EVALUAR</v>
      </c>
    </row>
    <row r="93" spans="1:13" ht="105.75" customHeight="1" x14ac:dyDescent="0.3">
      <c r="A93" s="135" t="s">
        <v>578</v>
      </c>
      <c r="B93" s="112">
        <f>COUNTIF(C10:C85,"*MEDICAMENTOS, DM E INSUMOS*")</f>
        <v>2</v>
      </c>
      <c r="C93" s="112">
        <f>COUNTIFS(C10:C85,"*MEDICAMENTOS, DM E INSUMOS*",G10:G85,"X")</f>
        <v>0</v>
      </c>
      <c r="D93" s="112">
        <f>COUNTIFS(C10:C85,"*MEDICAMENTOS, DM E INSUMOS*",H10:H85,"X")</f>
        <v>0</v>
      </c>
      <c r="E93" s="112">
        <f>COUNTIFS(C10:C85,"*MEDICAMENTOS, DM E INSUMOS*",I10:I85,"X")</f>
        <v>0</v>
      </c>
      <c r="F93" s="136">
        <f t="shared" si="0"/>
        <v>0</v>
      </c>
      <c r="G93" s="112" t="str">
        <f t="shared" si="1"/>
        <v>SIN EVALUAR</v>
      </c>
    </row>
    <row r="94" spans="1:13" ht="84.75" customHeight="1" x14ac:dyDescent="0.3">
      <c r="A94" s="133" t="s">
        <v>610</v>
      </c>
      <c r="B94" s="119">
        <f>COUNTIF(C10:C85,"*PROCESOS PRIORITARIOS*")</f>
        <v>11</v>
      </c>
      <c r="C94" s="119">
        <f>COUNTIFS(C10:C85,"*PROCESOS PRIORITARIOS*",G10:G85,"X")</f>
        <v>0</v>
      </c>
      <c r="D94" s="119">
        <f>COUNTIFS(C10:C85,"*PROCESOS PRIORITARIOS*",H10:H85,"X")</f>
        <v>0</v>
      </c>
      <c r="E94" s="119">
        <f>COUNTIFS(C10:C85,"*PROCESOS PRIORITARIOS*",I10:I85,"X")</f>
        <v>0</v>
      </c>
      <c r="F94" s="134">
        <f t="shared" si="0"/>
        <v>0</v>
      </c>
      <c r="G94" s="119" t="str">
        <f t="shared" si="1"/>
        <v>SIN EVALUAR</v>
      </c>
    </row>
    <row r="95" spans="1:13" ht="105.75" customHeight="1" x14ac:dyDescent="0.3">
      <c r="A95" s="135" t="s">
        <v>711</v>
      </c>
      <c r="B95" s="112">
        <f>COUNTIF(C10:C85,"*HISTORIA CLÍNICA Y REGISTROS*")</f>
        <v>11</v>
      </c>
      <c r="C95" s="112">
        <f>COUNTIFS(C10:C85,"*HISTORIA CLÍNICA Y REGISTROS*",G10:G85,"X")</f>
        <v>0</v>
      </c>
      <c r="D95" s="112">
        <f>COUNTIFS(C10:C85,"*HISTORIA CLÍNICA Y REGISTROS*",H10:H85,"X")</f>
        <v>0</v>
      </c>
      <c r="E95" s="112">
        <f>COUNTIFS(C10:C85,"*HISTORIA CLÍNICA Y REGISTROS*",I10:I85,"X")</f>
        <v>0</v>
      </c>
      <c r="F95" s="136">
        <f t="shared" si="0"/>
        <v>0</v>
      </c>
      <c r="G95" s="112" t="str">
        <f t="shared" si="1"/>
        <v>SIN EVALUAR</v>
      </c>
    </row>
    <row r="96" spans="1:13" ht="74.25" customHeight="1" x14ac:dyDescent="0.3">
      <c r="A96" s="133" t="s">
        <v>750</v>
      </c>
      <c r="B96" s="119">
        <f>COUNTIF(C10:C85,"*INTERDEPENDENCIA*")</f>
        <v>1</v>
      </c>
      <c r="C96" s="119">
        <f>COUNTIFS(C10:C85,"*INTERDEPENDENCIA*",G10:G85,"X")</f>
        <v>0</v>
      </c>
      <c r="D96" s="119">
        <f>COUNTIFS(C10:C85,"*INTERDEPENDENCIA*",H10:H85,"X")</f>
        <v>0</v>
      </c>
      <c r="E96" s="119">
        <f>COUNTIFS(C10:C85,"*INTERDEPENDENCIA*",I10:I85,"X")</f>
        <v>0</v>
      </c>
      <c r="F96" s="134">
        <f t="shared" si="0"/>
        <v>0</v>
      </c>
      <c r="G96" s="119" t="str">
        <f t="shared" si="1"/>
        <v>SIN EVALUAR</v>
      </c>
    </row>
    <row r="97" spans="1:7" ht="53.25" customHeight="1" x14ac:dyDescent="0.3">
      <c r="A97" s="82" t="s">
        <v>379</v>
      </c>
      <c r="B97" s="82">
        <f>SUM(B90:B96)</f>
        <v>57</v>
      </c>
      <c r="C97" s="82">
        <f>SUM(C90:C96)</f>
        <v>0</v>
      </c>
      <c r="D97" s="82">
        <f>SUM(D90:D96)</f>
        <v>0</v>
      </c>
      <c r="E97" s="82">
        <f>SUM(E90:E96)</f>
        <v>0</v>
      </c>
      <c r="F97" s="137">
        <f>SUM(F90:F96)</f>
        <v>0</v>
      </c>
      <c r="G97" s="82" t="str">
        <f t="shared" si="1"/>
        <v>SIN EVALUAR</v>
      </c>
    </row>
  </sheetData>
  <mergeCells count="33">
    <mergeCell ref="A81:M81"/>
    <mergeCell ref="A83:M83"/>
    <mergeCell ref="A84:M84"/>
    <mergeCell ref="A88:M88"/>
    <mergeCell ref="A55:M55"/>
    <mergeCell ref="A56:M56"/>
    <mergeCell ref="A67:M67"/>
    <mergeCell ref="A69:M69"/>
    <mergeCell ref="A70:M70"/>
    <mergeCell ref="A43:M43"/>
    <mergeCell ref="A48:M48"/>
    <mergeCell ref="A50:M50"/>
    <mergeCell ref="A51:M51"/>
    <mergeCell ref="A53:M53"/>
    <mergeCell ref="A21:M21"/>
    <mergeCell ref="A22:M22"/>
    <mergeCell ref="A38:M38"/>
    <mergeCell ref="A40:M40"/>
    <mergeCell ref="A42:M42"/>
    <mergeCell ref="A5:M5"/>
    <mergeCell ref="A6:M6"/>
    <mergeCell ref="A8:M8"/>
    <mergeCell ref="A9:M9"/>
    <mergeCell ref="A18:M18"/>
    <mergeCell ref="A1:M1"/>
    <mergeCell ref="A2:M2"/>
    <mergeCell ref="A3:C3"/>
    <mergeCell ref="D3:M3"/>
    <mergeCell ref="A4:B4"/>
    <mergeCell ref="C4:D4"/>
    <mergeCell ref="E4:G4"/>
    <mergeCell ref="H4:J4"/>
    <mergeCell ref="K4:L4"/>
  </mergeCells>
  <conditionalFormatting sqref="A10:M85">
    <cfRule type="expression" dxfId="5" priority="2">
      <formula>$G10="X"</formula>
    </cfRule>
    <cfRule type="expression" dxfId="4" priority="3">
      <formula>$H10="X"</formula>
    </cfRule>
    <cfRule type="expression" dxfId="3" priority="4">
      <formula>$I10="X"</formula>
    </cfRule>
  </conditionalFormatting>
  <dataValidations count="1">
    <dataValidation type="list" allowBlank="1" sqref="G10:I85" xr:uid="{00000000-0002-0000-0A00-000000000000}">
      <formula1>"X,"</formula1>
      <formula2>0</formula2>
    </dataValidation>
  </dataValidations>
  <pageMargins left="0.3" right="0.3" top="0.5" bottom="0.5" header="0.511811023622047" footer="0.511811023622047"/>
  <pageSetup paperSize="9"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84EA0"/>
    <pageSetUpPr fitToPage="1"/>
  </sheetPr>
  <dimension ref="A1:M60"/>
  <sheetViews>
    <sheetView showGridLines="0" zoomScaleNormal="100" workbookViewId="0">
      <pane ySplit="7" topLeftCell="A8" activePane="bottomLeft" state="frozen"/>
      <selection pane="bottomLeft" sqref="A1:M1"/>
    </sheetView>
  </sheetViews>
  <sheetFormatPr baseColWidth="10" defaultColWidth="8.6640625" defaultRowHeight="14.4" x14ac:dyDescent="0.3"/>
  <cols>
    <col min="1" max="1" width="4" customWidth="1"/>
    <col min="2" max="2" width="10" customWidth="1"/>
    <col min="3" max="3" width="24" customWidth="1"/>
    <col min="4" max="4" width="56" customWidth="1"/>
    <col min="5" max="5" width="22" customWidth="1"/>
    <col min="6" max="9" width="5" customWidth="1"/>
    <col min="10" max="11" width="36" customWidth="1"/>
    <col min="12" max="12" width="20" customWidth="1"/>
    <col min="13" max="13" width="15" customWidth="1"/>
  </cols>
  <sheetData>
    <row r="1" spans="1:13" ht="30" customHeight="1" x14ac:dyDescent="0.3">
      <c r="A1" s="164" t="s">
        <v>1266</v>
      </c>
      <c r="B1" s="164"/>
      <c r="C1" s="164"/>
      <c r="D1" s="164"/>
      <c r="E1" s="164"/>
      <c r="F1" s="164"/>
      <c r="G1" s="164"/>
      <c r="H1" s="164"/>
      <c r="I1" s="164"/>
      <c r="J1" s="164"/>
      <c r="K1" s="164"/>
      <c r="L1" s="164"/>
      <c r="M1" s="164"/>
    </row>
    <row r="2" spans="1:13" ht="19.5" customHeight="1" x14ac:dyDescent="0.3">
      <c r="A2" s="165" t="s">
        <v>1267</v>
      </c>
      <c r="B2" s="165"/>
      <c r="C2" s="165"/>
      <c r="D2" s="165"/>
      <c r="E2" s="165"/>
      <c r="F2" s="165"/>
      <c r="G2" s="165"/>
      <c r="H2" s="165"/>
      <c r="I2" s="165"/>
      <c r="J2" s="165"/>
      <c r="K2" s="165"/>
      <c r="L2" s="165"/>
      <c r="M2" s="165"/>
    </row>
    <row r="3" spans="1:13" ht="15" customHeight="1" x14ac:dyDescent="0.3">
      <c r="A3" s="206" t="s">
        <v>361</v>
      </c>
      <c r="B3" s="206"/>
      <c r="C3" s="206"/>
      <c r="D3" s="207"/>
      <c r="E3" s="207"/>
      <c r="F3" s="207"/>
      <c r="G3" s="207"/>
      <c r="H3" s="207"/>
      <c r="I3" s="207"/>
      <c r="J3" s="207"/>
      <c r="K3" s="207"/>
      <c r="L3" s="207"/>
      <c r="M3" s="207"/>
    </row>
    <row r="4" spans="1:13" ht="15" customHeight="1" x14ac:dyDescent="0.3">
      <c r="A4" s="206" t="s">
        <v>362</v>
      </c>
      <c r="B4" s="206"/>
      <c r="C4" s="207"/>
      <c r="D4" s="207"/>
      <c r="E4" s="207"/>
      <c r="F4" s="206" t="s">
        <v>363</v>
      </c>
      <c r="G4" s="206"/>
      <c r="H4" s="206"/>
      <c r="I4" s="207"/>
      <c r="J4" s="207"/>
      <c r="K4" s="207"/>
      <c r="L4" s="138" t="s">
        <v>364</v>
      </c>
      <c r="M4" s="139"/>
    </row>
    <row r="5" spans="1:13" ht="19.5" customHeight="1" x14ac:dyDescent="0.3">
      <c r="A5" s="211" t="s">
        <v>1268</v>
      </c>
      <c r="B5" s="211"/>
      <c r="C5" s="211"/>
      <c r="D5" s="211"/>
      <c r="E5" s="211"/>
      <c r="F5" s="211"/>
      <c r="G5" s="211"/>
      <c r="H5" s="211"/>
      <c r="I5" s="211"/>
      <c r="J5" s="211"/>
      <c r="K5" s="211"/>
      <c r="L5" s="211"/>
      <c r="M5" s="211"/>
    </row>
    <row r="6" spans="1:13" ht="15.75" customHeight="1" x14ac:dyDescent="0.3">
      <c r="A6" s="210" t="s">
        <v>966</v>
      </c>
      <c r="B6" s="210"/>
      <c r="C6" s="210"/>
      <c r="D6" s="210"/>
      <c r="E6" s="210"/>
      <c r="F6" s="210"/>
      <c r="G6" s="210"/>
      <c r="H6" s="210"/>
      <c r="I6" s="210"/>
      <c r="J6" s="210"/>
      <c r="K6" s="210"/>
      <c r="L6" s="210"/>
      <c r="M6" s="210"/>
    </row>
    <row r="7" spans="1:13" ht="31.5" customHeight="1" x14ac:dyDescent="0.3">
      <c r="A7" s="82" t="s">
        <v>417</v>
      </c>
      <c r="B7" s="82" t="s">
        <v>1171</v>
      </c>
      <c r="C7" s="82" t="s">
        <v>419</v>
      </c>
      <c r="D7" s="82" t="s">
        <v>816</v>
      </c>
      <c r="E7" s="82" t="s">
        <v>817</v>
      </c>
      <c r="F7" s="82" t="s">
        <v>422</v>
      </c>
      <c r="G7" s="83" t="s">
        <v>423</v>
      </c>
      <c r="H7" s="84" t="s">
        <v>424</v>
      </c>
      <c r="I7" s="85" t="s">
        <v>425</v>
      </c>
      <c r="J7" s="82" t="s">
        <v>426</v>
      </c>
      <c r="K7" s="82" t="s">
        <v>427</v>
      </c>
      <c r="L7" s="82" t="s">
        <v>428</v>
      </c>
      <c r="M7" s="82" t="s">
        <v>429</v>
      </c>
    </row>
    <row r="8" spans="1:13" ht="21.75" customHeight="1" x14ac:dyDescent="0.3">
      <c r="A8" s="220" t="s">
        <v>1269</v>
      </c>
      <c r="B8" s="220"/>
      <c r="C8" s="220"/>
      <c r="D8" s="220"/>
      <c r="E8" s="220"/>
      <c r="F8" s="220"/>
      <c r="G8" s="220"/>
      <c r="H8" s="220"/>
      <c r="I8" s="220"/>
      <c r="J8" s="220"/>
      <c r="K8" s="220"/>
      <c r="L8" s="220"/>
      <c r="M8" s="220"/>
    </row>
    <row r="9" spans="1:13" ht="18" customHeight="1" x14ac:dyDescent="0.3">
      <c r="A9" s="214" t="s">
        <v>969</v>
      </c>
      <c r="B9" s="214"/>
      <c r="C9" s="214"/>
      <c r="D9" s="214"/>
      <c r="E9" s="214"/>
      <c r="F9" s="214"/>
      <c r="G9" s="214"/>
      <c r="H9" s="214"/>
      <c r="I9" s="214"/>
      <c r="J9" s="214"/>
      <c r="K9" s="214"/>
      <c r="L9" s="214"/>
      <c r="M9" s="214"/>
    </row>
    <row r="10" spans="1:13" ht="51.75" customHeight="1" x14ac:dyDescent="0.3">
      <c r="A10" s="155">
        <v>1</v>
      </c>
      <c r="B10" s="155" t="s">
        <v>18</v>
      </c>
      <c r="C10" s="89" t="s">
        <v>431</v>
      </c>
      <c r="D10" s="89" t="s">
        <v>1270</v>
      </c>
      <c r="E10" s="89" t="s">
        <v>433</v>
      </c>
      <c r="F10" s="156" t="s">
        <v>422</v>
      </c>
      <c r="G10" s="91"/>
      <c r="H10" s="91"/>
      <c r="I10" s="91"/>
      <c r="J10" s="92"/>
      <c r="K10" s="92"/>
      <c r="L10" s="92"/>
      <c r="M10" s="92"/>
    </row>
    <row r="11" spans="1:13" ht="51.75" customHeight="1" x14ac:dyDescent="0.3">
      <c r="A11" s="155">
        <v>2</v>
      </c>
      <c r="B11" s="155" t="s">
        <v>22</v>
      </c>
      <c r="C11" s="89" t="s">
        <v>431</v>
      </c>
      <c r="D11" s="89" t="s">
        <v>1271</v>
      </c>
      <c r="E11" s="89" t="s">
        <v>433</v>
      </c>
      <c r="F11" s="156" t="s">
        <v>422</v>
      </c>
      <c r="G11" s="91"/>
      <c r="H11" s="91"/>
      <c r="I11" s="91"/>
      <c r="J11" s="92"/>
      <c r="K11" s="92"/>
      <c r="L11" s="92"/>
      <c r="M11" s="92"/>
    </row>
    <row r="12" spans="1:13" ht="21.75" customHeight="1" x14ac:dyDescent="0.3">
      <c r="A12" s="220" t="s">
        <v>1272</v>
      </c>
      <c r="B12" s="220"/>
      <c r="C12" s="220"/>
      <c r="D12" s="220"/>
      <c r="E12" s="220"/>
      <c r="F12" s="220"/>
      <c r="G12" s="220"/>
      <c r="H12" s="220"/>
      <c r="I12" s="220"/>
      <c r="J12" s="220"/>
      <c r="K12" s="220"/>
      <c r="L12" s="220"/>
      <c r="M12" s="220"/>
    </row>
    <row r="13" spans="1:13" ht="18" customHeight="1" x14ac:dyDescent="0.3">
      <c r="A13" s="214" t="s">
        <v>1273</v>
      </c>
      <c r="B13" s="214"/>
      <c r="C13" s="214"/>
      <c r="D13" s="214"/>
      <c r="E13" s="214"/>
      <c r="F13" s="214"/>
      <c r="G13" s="214"/>
      <c r="H13" s="214"/>
      <c r="I13" s="214"/>
      <c r="J13" s="214"/>
      <c r="K13" s="214"/>
      <c r="L13" s="214"/>
      <c r="M13" s="214"/>
    </row>
    <row r="14" spans="1:13" ht="51.75" customHeight="1" x14ac:dyDescent="0.3">
      <c r="A14" s="153">
        <v>3</v>
      </c>
      <c r="B14" s="153" t="s">
        <v>26</v>
      </c>
      <c r="C14" s="110" t="s">
        <v>756</v>
      </c>
      <c r="D14" s="110" t="s">
        <v>1274</v>
      </c>
      <c r="E14" s="110" t="s">
        <v>453</v>
      </c>
      <c r="F14" s="154"/>
      <c r="G14" s="112"/>
      <c r="H14" s="112"/>
      <c r="I14" s="112"/>
      <c r="J14" s="113"/>
      <c r="K14" s="113"/>
      <c r="L14" s="113"/>
      <c r="M14" s="113"/>
    </row>
    <row r="15" spans="1:13" ht="51.75" customHeight="1" x14ac:dyDescent="0.3">
      <c r="A15" s="155">
        <v>4</v>
      </c>
      <c r="B15" s="155" t="s">
        <v>30</v>
      </c>
      <c r="C15" s="89" t="s">
        <v>756</v>
      </c>
      <c r="D15" s="89" t="s">
        <v>1190</v>
      </c>
      <c r="E15" s="89" t="s">
        <v>453</v>
      </c>
      <c r="F15" s="156" t="s">
        <v>422</v>
      </c>
      <c r="G15" s="91"/>
      <c r="H15" s="91"/>
      <c r="I15" s="91"/>
      <c r="J15" s="92"/>
      <c r="K15" s="92"/>
      <c r="L15" s="92"/>
      <c r="M15" s="92"/>
    </row>
    <row r="16" spans="1:13" ht="51.75" customHeight="1" x14ac:dyDescent="0.3">
      <c r="A16" s="155">
        <v>5</v>
      </c>
      <c r="B16" s="155" t="s">
        <v>618</v>
      </c>
      <c r="C16" s="89" t="s">
        <v>756</v>
      </c>
      <c r="D16" s="89" t="s">
        <v>1192</v>
      </c>
      <c r="E16" s="89" t="s">
        <v>453</v>
      </c>
      <c r="F16" s="156" t="s">
        <v>422</v>
      </c>
      <c r="G16" s="91"/>
      <c r="H16" s="91"/>
      <c r="I16" s="91"/>
      <c r="J16" s="92"/>
      <c r="K16" s="92"/>
      <c r="L16" s="92"/>
      <c r="M16" s="92"/>
    </row>
    <row r="17" spans="1:13" ht="51.75" customHeight="1" x14ac:dyDescent="0.3">
      <c r="A17" s="155">
        <v>6</v>
      </c>
      <c r="B17" s="155" t="s">
        <v>621</v>
      </c>
      <c r="C17" s="89" t="s">
        <v>756</v>
      </c>
      <c r="D17" s="89" t="s">
        <v>1275</v>
      </c>
      <c r="E17" s="89" t="s">
        <v>453</v>
      </c>
      <c r="F17" s="156" t="s">
        <v>422</v>
      </c>
      <c r="G17" s="91"/>
      <c r="H17" s="91"/>
      <c r="I17" s="91"/>
      <c r="J17" s="92"/>
      <c r="K17" s="92"/>
      <c r="L17" s="92"/>
      <c r="M17" s="92"/>
    </row>
    <row r="18" spans="1:13" ht="51.75" customHeight="1" x14ac:dyDescent="0.3">
      <c r="A18" s="153">
        <v>7</v>
      </c>
      <c r="B18" s="153" t="s">
        <v>624</v>
      </c>
      <c r="C18" s="110" t="s">
        <v>756</v>
      </c>
      <c r="D18" s="110" t="s">
        <v>1276</v>
      </c>
      <c r="E18" s="110" t="s">
        <v>453</v>
      </c>
      <c r="F18" s="154"/>
      <c r="G18" s="112"/>
      <c r="H18" s="112"/>
      <c r="I18" s="112"/>
      <c r="J18" s="113"/>
      <c r="K18" s="113"/>
      <c r="L18" s="113"/>
      <c r="M18" s="113"/>
    </row>
    <row r="19" spans="1:13" ht="51.75" customHeight="1" x14ac:dyDescent="0.3">
      <c r="A19" s="155">
        <v>8</v>
      </c>
      <c r="B19" s="155" t="s">
        <v>627</v>
      </c>
      <c r="C19" s="89" t="s">
        <v>756</v>
      </c>
      <c r="D19" s="89" t="s">
        <v>1202</v>
      </c>
      <c r="E19" s="89" t="s">
        <v>453</v>
      </c>
      <c r="F19" s="156" t="s">
        <v>422</v>
      </c>
      <c r="G19" s="91"/>
      <c r="H19" s="91"/>
      <c r="I19" s="91"/>
      <c r="J19" s="92"/>
      <c r="K19" s="92"/>
      <c r="L19" s="92"/>
      <c r="M19" s="92"/>
    </row>
    <row r="20" spans="1:13" ht="51.75" customHeight="1" x14ac:dyDescent="0.3">
      <c r="A20" s="155">
        <v>9</v>
      </c>
      <c r="B20" s="155" t="s">
        <v>1277</v>
      </c>
      <c r="C20" s="89" t="s">
        <v>756</v>
      </c>
      <c r="D20" s="89" t="s">
        <v>1278</v>
      </c>
      <c r="E20" s="89" t="s">
        <v>453</v>
      </c>
      <c r="F20" s="156" t="s">
        <v>422</v>
      </c>
      <c r="G20" s="91"/>
      <c r="H20" s="91"/>
      <c r="I20" s="91"/>
      <c r="J20" s="92"/>
      <c r="K20" s="92"/>
      <c r="L20" s="92"/>
      <c r="M20" s="92"/>
    </row>
    <row r="21" spans="1:13" ht="51.75" customHeight="1" x14ac:dyDescent="0.3">
      <c r="A21" s="157">
        <v>10</v>
      </c>
      <c r="B21" s="157" t="s">
        <v>34</v>
      </c>
      <c r="C21" s="117" t="s">
        <v>756</v>
      </c>
      <c r="D21" s="117" t="s">
        <v>1211</v>
      </c>
      <c r="E21" s="117" t="s">
        <v>453</v>
      </c>
      <c r="F21" s="158"/>
      <c r="G21" s="119"/>
      <c r="H21" s="119"/>
      <c r="I21" s="119"/>
      <c r="J21" s="120"/>
      <c r="K21" s="120"/>
      <c r="L21" s="120"/>
      <c r="M21" s="120"/>
    </row>
    <row r="22" spans="1:13" ht="51.75" customHeight="1" x14ac:dyDescent="0.3">
      <c r="A22" s="153">
        <v>11</v>
      </c>
      <c r="B22" s="153" t="s">
        <v>1279</v>
      </c>
      <c r="C22" s="110" t="s">
        <v>756</v>
      </c>
      <c r="D22" s="110" t="s">
        <v>1213</v>
      </c>
      <c r="E22" s="110" t="s">
        <v>453</v>
      </c>
      <c r="F22" s="154"/>
      <c r="G22" s="112"/>
      <c r="H22" s="112"/>
      <c r="I22" s="112"/>
      <c r="J22" s="113"/>
      <c r="K22" s="113"/>
      <c r="L22" s="113"/>
      <c r="M22" s="113"/>
    </row>
    <row r="23" spans="1:13" ht="51.75" customHeight="1" x14ac:dyDescent="0.3">
      <c r="A23" s="157">
        <v>12</v>
      </c>
      <c r="B23" s="157" t="s">
        <v>1280</v>
      </c>
      <c r="C23" s="117" t="s">
        <v>756</v>
      </c>
      <c r="D23" s="117" t="s">
        <v>1149</v>
      </c>
      <c r="E23" s="117" t="s">
        <v>453</v>
      </c>
      <c r="F23" s="158"/>
      <c r="G23" s="119"/>
      <c r="H23" s="119"/>
      <c r="I23" s="119"/>
      <c r="J23" s="120"/>
      <c r="K23" s="120"/>
      <c r="L23" s="120"/>
      <c r="M23" s="120"/>
    </row>
    <row r="24" spans="1:13" ht="18" customHeight="1" x14ac:dyDescent="0.3">
      <c r="A24" s="214" t="s">
        <v>1281</v>
      </c>
      <c r="B24" s="214"/>
      <c r="C24" s="214"/>
      <c r="D24" s="214"/>
      <c r="E24" s="214"/>
      <c r="F24" s="214"/>
      <c r="G24" s="214"/>
      <c r="H24" s="214"/>
      <c r="I24" s="214"/>
      <c r="J24" s="214"/>
      <c r="K24" s="214"/>
      <c r="L24" s="214"/>
      <c r="M24" s="214"/>
    </row>
    <row r="25" spans="1:13" ht="51.75" customHeight="1" x14ac:dyDescent="0.3">
      <c r="A25" s="153">
        <v>13</v>
      </c>
      <c r="B25" s="153" t="s">
        <v>38</v>
      </c>
      <c r="C25" s="110" t="s">
        <v>1004</v>
      </c>
      <c r="D25" s="110" t="s">
        <v>1007</v>
      </c>
      <c r="E25" s="110" t="s">
        <v>453</v>
      </c>
      <c r="F25" s="154"/>
      <c r="G25" s="112"/>
      <c r="H25" s="112"/>
      <c r="I25" s="112"/>
      <c r="J25" s="113"/>
      <c r="K25" s="113"/>
      <c r="L25" s="113"/>
      <c r="M25" s="113"/>
    </row>
    <row r="26" spans="1:13" ht="21.75" customHeight="1" x14ac:dyDescent="0.3">
      <c r="A26" s="220" t="s">
        <v>1282</v>
      </c>
      <c r="B26" s="220"/>
      <c r="C26" s="220"/>
      <c r="D26" s="220"/>
      <c r="E26" s="220"/>
      <c r="F26" s="220"/>
      <c r="G26" s="220"/>
      <c r="H26" s="220"/>
      <c r="I26" s="220"/>
      <c r="J26" s="220"/>
      <c r="K26" s="220"/>
      <c r="L26" s="220"/>
      <c r="M26" s="220"/>
    </row>
    <row r="27" spans="1:13" ht="18" customHeight="1" x14ac:dyDescent="0.3">
      <c r="A27" s="214" t="s">
        <v>969</v>
      </c>
      <c r="B27" s="214"/>
      <c r="C27" s="214"/>
      <c r="D27" s="214"/>
      <c r="E27" s="214"/>
      <c r="F27" s="214"/>
      <c r="G27" s="214"/>
      <c r="H27" s="214"/>
      <c r="I27" s="214"/>
      <c r="J27" s="214"/>
      <c r="K27" s="214"/>
      <c r="L27" s="214"/>
      <c r="M27" s="214"/>
    </row>
    <row r="28" spans="1:13" ht="51.75" customHeight="1" x14ac:dyDescent="0.3">
      <c r="A28" s="155">
        <v>14</v>
      </c>
      <c r="B28" s="155" t="s">
        <v>42</v>
      </c>
      <c r="C28" s="89" t="s">
        <v>539</v>
      </c>
      <c r="D28" s="89" t="s">
        <v>1283</v>
      </c>
      <c r="E28" s="89" t="s">
        <v>453</v>
      </c>
      <c r="F28" s="156" t="s">
        <v>422</v>
      </c>
      <c r="G28" s="91"/>
      <c r="H28" s="91"/>
      <c r="I28" s="91"/>
      <c r="J28" s="92"/>
      <c r="K28" s="92"/>
      <c r="L28" s="92"/>
      <c r="M28" s="92"/>
    </row>
    <row r="29" spans="1:13" ht="21.75" customHeight="1" x14ac:dyDescent="0.3">
      <c r="A29" s="220" t="s">
        <v>1284</v>
      </c>
      <c r="B29" s="220"/>
      <c r="C29" s="220"/>
      <c r="D29" s="220"/>
      <c r="E29" s="220"/>
      <c r="F29" s="220"/>
      <c r="G29" s="220"/>
      <c r="H29" s="220"/>
      <c r="I29" s="220"/>
      <c r="J29" s="220"/>
      <c r="K29" s="220"/>
      <c r="L29" s="220"/>
      <c r="M29" s="220"/>
    </row>
    <row r="30" spans="1:13" ht="18" customHeight="1" x14ac:dyDescent="0.3">
      <c r="A30" s="214" t="s">
        <v>969</v>
      </c>
      <c r="B30" s="214"/>
      <c r="C30" s="214"/>
      <c r="D30" s="214"/>
      <c r="E30" s="214"/>
      <c r="F30" s="214"/>
      <c r="G30" s="214"/>
      <c r="H30" s="214"/>
      <c r="I30" s="214"/>
      <c r="J30" s="214"/>
      <c r="K30" s="214"/>
      <c r="L30" s="214"/>
      <c r="M30" s="214"/>
    </row>
    <row r="31" spans="1:13" ht="51.75" customHeight="1" x14ac:dyDescent="0.3">
      <c r="A31" s="155">
        <v>15</v>
      </c>
      <c r="B31" s="155" t="s">
        <v>46</v>
      </c>
      <c r="C31" s="89" t="s">
        <v>578</v>
      </c>
      <c r="D31" s="89" t="s">
        <v>1285</v>
      </c>
      <c r="E31" s="89" t="s">
        <v>433</v>
      </c>
      <c r="F31" s="156" t="s">
        <v>422</v>
      </c>
      <c r="G31" s="91"/>
      <c r="H31" s="91"/>
      <c r="I31" s="91"/>
      <c r="J31" s="92"/>
      <c r="K31" s="92"/>
      <c r="L31" s="92"/>
      <c r="M31" s="92"/>
    </row>
    <row r="32" spans="1:13" ht="21.75" customHeight="1" x14ac:dyDescent="0.3">
      <c r="A32" s="220" t="s">
        <v>1286</v>
      </c>
      <c r="B32" s="220"/>
      <c r="C32" s="220"/>
      <c r="D32" s="220"/>
      <c r="E32" s="220"/>
      <c r="F32" s="220"/>
      <c r="G32" s="220"/>
      <c r="H32" s="220"/>
      <c r="I32" s="220"/>
      <c r="J32" s="220"/>
      <c r="K32" s="220"/>
      <c r="L32" s="220"/>
      <c r="M32" s="220"/>
    </row>
    <row r="33" spans="1:13" ht="18" customHeight="1" x14ac:dyDescent="0.3">
      <c r="A33" s="214" t="s">
        <v>969</v>
      </c>
      <c r="B33" s="214"/>
      <c r="C33" s="214"/>
      <c r="D33" s="214"/>
      <c r="E33" s="214"/>
      <c r="F33" s="214"/>
      <c r="G33" s="214"/>
      <c r="H33" s="214"/>
      <c r="I33" s="214"/>
      <c r="J33" s="214"/>
      <c r="K33" s="214"/>
      <c r="L33" s="214"/>
      <c r="M33" s="214"/>
    </row>
    <row r="34" spans="1:13" ht="51.75" customHeight="1" x14ac:dyDescent="0.3">
      <c r="A34" s="157">
        <v>16</v>
      </c>
      <c r="B34" s="157" t="s">
        <v>50</v>
      </c>
      <c r="C34" s="117" t="s">
        <v>610</v>
      </c>
      <c r="D34" s="117" t="s">
        <v>1225</v>
      </c>
      <c r="E34" s="117" t="s">
        <v>433</v>
      </c>
      <c r="F34" s="158"/>
      <c r="G34" s="119"/>
      <c r="H34" s="119"/>
      <c r="I34" s="119"/>
      <c r="J34" s="120"/>
      <c r="K34" s="120"/>
      <c r="L34" s="120"/>
      <c r="M34" s="120"/>
    </row>
    <row r="35" spans="1:13" ht="51.75" customHeight="1" x14ac:dyDescent="0.3">
      <c r="A35" s="155">
        <v>17</v>
      </c>
      <c r="B35" s="155" t="s">
        <v>1212</v>
      </c>
      <c r="C35" s="89" t="s">
        <v>610</v>
      </c>
      <c r="D35" s="89" t="s">
        <v>1287</v>
      </c>
      <c r="E35" s="89" t="s">
        <v>433</v>
      </c>
      <c r="F35" s="156" t="s">
        <v>422</v>
      </c>
      <c r="G35" s="91"/>
      <c r="H35" s="91"/>
      <c r="I35" s="91"/>
      <c r="J35" s="92"/>
      <c r="K35" s="92"/>
      <c r="L35" s="92"/>
      <c r="M35" s="92"/>
    </row>
    <row r="36" spans="1:13" ht="51.75" customHeight="1" x14ac:dyDescent="0.3">
      <c r="A36" s="155">
        <v>18</v>
      </c>
      <c r="B36" s="155" t="s">
        <v>1214</v>
      </c>
      <c r="C36" s="89" t="s">
        <v>610</v>
      </c>
      <c r="D36" s="89" t="s">
        <v>1233</v>
      </c>
      <c r="E36" s="89" t="s">
        <v>433</v>
      </c>
      <c r="F36" s="156" t="s">
        <v>422</v>
      </c>
      <c r="G36" s="91"/>
      <c r="H36" s="91"/>
      <c r="I36" s="91"/>
      <c r="J36" s="92"/>
      <c r="K36" s="92"/>
      <c r="L36" s="92"/>
      <c r="M36" s="92"/>
    </row>
    <row r="37" spans="1:13" ht="51.75" customHeight="1" x14ac:dyDescent="0.3">
      <c r="A37" s="155">
        <v>19</v>
      </c>
      <c r="B37" s="155" t="s">
        <v>1288</v>
      </c>
      <c r="C37" s="89" t="s">
        <v>610</v>
      </c>
      <c r="D37" s="89" t="s">
        <v>1289</v>
      </c>
      <c r="E37" s="89" t="s">
        <v>433</v>
      </c>
      <c r="F37" s="156" t="s">
        <v>422</v>
      </c>
      <c r="G37" s="91"/>
      <c r="H37" s="91"/>
      <c r="I37" s="91"/>
      <c r="J37" s="92"/>
      <c r="K37" s="92"/>
      <c r="L37" s="92"/>
      <c r="M37" s="92"/>
    </row>
    <row r="38" spans="1:13" ht="51.75" customHeight="1" x14ac:dyDescent="0.3">
      <c r="A38" s="157">
        <v>20</v>
      </c>
      <c r="B38" s="157" t="s">
        <v>1290</v>
      </c>
      <c r="C38" s="117" t="s">
        <v>610</v>
      </c>
      <c r="D38" s="117" t="s">
        <v>1291</v>
      </c>
      <c r="E38" s="117" t="s">
        <v>433</v>
      </c>
      <c r="F38" s="158"/>
      <c r="G38" s="119"/>
      <c r="H38" s="119"/>
      <c r="I38" s="119"/>
      <c r="J38" s="120"/>
      <c r="K38" s="120"/>
      <c r="L38" s="120"/>
      <c r="M38" s="120"/>
    </row>
    <row r="39" spans="1:13" ht="21.75" customHeight="1" x14ac:dyDescent="0.3">
      <c r="A39" s="220" t="s">
        <v>1292</v>
      </c>
      <c r="B39" s="220"/>
      <c r="C39" s="220"/>
      <c r="D39" s="220"/>
      <c r="E39" s="220"/>
      <c r="F39" s="220"/>
      <c r="G39" s="220"/>
      <c r="H39" s="220"/>
      <c r="I39" s="220"/>
      <c r="J39" s="220"/>
      <c r="K39" s="220"/>
      <c r="L39" s="220"/>
      <c r="M39" s="220"/>
    </row>
    <row r="40" spans="1:13" ht="18" customHeight="1" x14ac:dyDescent="0.3">
      <c r="A40" s="214" t="s">
        <v>969</v>
      </c>
      <c r="B40" s="214"/>
      <c r="C40" s="214"/>
      <c r="D40" s="214"/>
      <c r="E40" s="214"/>
      <c r="F40" s="214"/>
      <c r="G40" s="214"/>
      <c r="H40" s="214"/>
      <c r="I40" s="214"/>
      <c r="J40" s="214"/>
      <c r="K40" s="214"/>
      <c r="L40" s="214"/>
      <c r="M40" s="214"/>
    </row>
    <row r="41" spans="1:13" ht="51.75" customHeight="1" x14ac:dyDescent="0.3">
      <c r="A41" s="153">
        <v>21</v>
      </c>
      <c r="B41" s="153" t="s">
        <v>54</v>
      </c>
      <c r="C41" s="110" t="s">
        <v>711</v>
      </c>
      <c r="D41" s="110" t="s">
        <v>1243</v>
      </c>
      <c r="E41" s="110" t="s">
        <v>433</v>
      </c>
      <c r="F41" s="154"/>
      <c r="G41" s="112"/>
      <c r="H41" s="112"/>
      <c r="I41" s="112"/>
      <c r="J41" s="113"/>
      <c r="K41" s="113"/>
      <c r="L41" s="113"/>
      <c r="M41" s="113"/>
    </row>
    <row r="42" spans="1:13" ht="51.75" customHeight="1" x14ac:dyDescent="0.3">
      <c r="A42" s="155">
        <v>22</v>
      </c>
      <c r="B42" s="155" t="s">
        <v>1293</v>
      </c>
      <c r="C42" s="89" t="s">
        <v>711</v>
      </c>
      <c r="D42" s="89" t="s">
        <v>354</v>
      </c>
      <c r="E42" s="89" t="s">
        <v>433</v>
      </c>
      <c r="F42" s="156" t="s">
        <v>422</v>
      </c>
      <c r="G42" s="91"/>
      <c r="H42" s="91"/>
      <c r="I42" s="91"/>
      <c r="J42" s="92"/>
      <c r="K42" s="92"/>
      <c r="L42" s="92"/>
      <c r="M42" s="92"/>
    </row>
    <row r="43" spans="1:13" ht="51.75" customHeight="1" x14ac:dyDescent="0.3">
      <c r="A43" s="155">
        <v>23</v>
      </c>
      <c r="B43" s="155" t="s">
        <v>1294</v>
      </c>
      <c r="C43" s="89" t="s">
        <v>711</v>
      </c>
      <c r="D43" s="89" t="s">
        <v>1295</v>
      </c>
      <c r="E43" s="89" t="s">
        <v>433</v>
      </c>
      <c r="F43" s="156" t="s">
        <v>422</v>
      </c>
      <c r="G43" s="91"/>
      <c r="H43" s="91"/>
      <c r="I43" s="91"/>
      <c r="J43" s="92"/>
      <c r="K43" s="92"/>
      <c r="L43" s="92"/>
      <c r="M43" s="92"/>
    </row>
    <row r="44" spans="1:13" ht="51.75" customHeight="1" x14ac:dyDescent="0.3">
      <c r="A44" s="157">
        <v>24</v>
      </c>
      <c r="B44" s="157" t="s">
        <v>1296</v>
      </c>
      <c r="C44" s="117" t="s">
        <v>711</v>
      </c>
      <c r="D44" s="117" t="s">
        <v>1297</v>
      </c>
      <c r="E44" s="117" t="s">
        <v>433</v>
      </c>
      <c r="F44" s="158"/>
      <c r="G44" s="119"/>
      <c r="H44" s="119"/>
      <c r="I44" s="119"/>
      <c r="J44" s="120"/>
      <c r="K44" s="120"/>
      <c r="L44" s="120"/>
      <c r="M44" s="120"/>
    </row>
    <row r="45" spans="1:13" ht="51.75" customHeight="1" x14ac:dyDescent="0.3">
      <c r="A45" s="153">
        <v>25</v>
      </c>
      <c r="B45" s="153" t="s">
        <v>1298</v>
      </c>
      <c r="C45" s="110" t="s">
        <v>711</v>
      </c>
      <c r="D45" s="110" t="s">
        <v>1299</v>
      </c>
      <c r="E45" s="110" t="s">
        <v>433</v>
      </c>
      <c r="F45" s="154"/>
      <c r="G45" s="112"/>
      <c r="H45" s="112"/>
      <c r="I45" s="112"/>
      <c r="J45" s="113"/>
      <c r="K45" s="113"/>
      <c r="L45" s="113"/>
      <c r="M45" s="113"/>
    </row>
    <row r="46" spans="1:13" ht="21.75" customHeight="1" x14ac:dyDescent="0.3">
      <c r="A46" s="220" t="s">
        <v>1300</v>
      </c>
      <c r="B46" s="220"/>
      <c r="C46" s="220"/>
      <c r="D46" s="220"/>
      <c r="E46" s="220"/>
      <c r="F46" s="220"/>
      <c r="G46" s="220"/>
      <c r="H46" s="220"/>
      <c r="I46" s="220"/>
      <c r="J46" s="220"/>
      <c r="K46" s="220"/>
      <c r="L46" s="220"/>
      <c r="M46" s="220"/>
    </row>
    <row r="47" spans="1:13" ht="18" customHeight="1" x14ac:dyDescent="0.3">
      <c r="A47" s="214" t="s">
        <v>969</v>
      </c>
      <c r="B47" s="214"/>
      <c r="C47" s="214"/>
      <c r="D47" s="214"/>
      <c r="E47" s="214"/>
      <c r="F47" s="214"/>
      <c r="G47" s="214"/>
      <c r="H47" s="214"/>
      <c r="I47" s="214"/>
      <c r="J47" s="214"/>
      <c r="K47" s="214"/>
      <c r="L47" s="214"/>
      <c r="M47" s="214"/>
    </row>
    <row r="48" spans="1:13" ht="51.75" customHeight="1" x14ac:dyDescent="0.3">
      <c r="A48" s="155">
        <v>26</v>
      </c>
      <c r="B48" s="155" t="s">
        <v>58</v>
      </c>
      <c r="C48" s="89" t="s">
        <v>750</v>
      </c>
      <c r="D48" s="89" t="s">
        <v>1301</v>
      </c>
      <c r="E48" s="89" t="s">
        <v>433</v>
      </c>
      <c r="F48" s="156" t="s">
        <v>422</v>
      </c>
      <c r="G48" s="91"/>
      <c r="H48" s="91"/>
      <c r="I48" s="91"/>
      <c r="J48" s="92"/>
      <c r="K48" s="92"/>
      <c r="L48" s="92"/>
      <c r="M48" s="92"/>
    </row>
    <row r="51" spans="1:13" ht="21.75" customHeight="1" x14ac:dyDescent="0.3">
      <c r="A51" s="216" t="s">
        <v>1302</v>
      </c>
      <c r="B51" s="216"/>
      <c r="C51" s="216"/>
      <c r="D51" s="216"/>
      <c r="E51" s="216"/>
      <c r="F51" s="216"/>
      <c r="G51" s="216"/>
      <c r="H51" s="216"/>
      <c r="I51" s="216"/>
      <c r="J51" s="216"/>
      <c r="K51" s="216"/>
      <c r="L51" s="216"/>
      <c r="M51" s="216"/>
    </row>
    <row r="52" spans="1:13" ht="53.25" customHeight="1" x14ac:dyDescent="0.3">
      <c r="A52" s="132" t="s">
        <v>419</v>
      </c>
      <c r="B52" s="132" t="s">
        <v>900</v>
      </c>
      <c r="C52" s="132" t="s">
        <v>370</v>
      </c>
      <c r="D52" s="132" t="s">
        <v>371</v>
      </c>
      <c r="E52" s="132" t="s">
        <v>372</v>
      </c>
      <c r="F52" s="132" t="s">
        <v>755</v>
      </c>
      <c r="G52" s="132" t="s">
        <v>301</v>
      </c>
    </row>
    <row r="53" spans="1:13" ht="63.75" customHeight="1" x14ac:dyDescent="0.3">
      <c r="A53" s="133" t="s">
        <v>431</v>
      </c>
      <c r="B53" s="119">
        <f>COUNTIF(C10:C48,"*TALENTO HUMANO*")</f>
        <v>2</v>
      </c>
      <c r="C53" s="119">
        <f>COUNTIFS(C10:C48,"*TALENTO HUMANO*",G10:G48,"X")</f>
        <v>0</v>
      </c>
      <c r="D53" s="119">
        <f>COUNTIFS(C10:C48,"*TALENTO HUMANO*",H10:H48,"X")</f>
        <v>0</v>
      </c>
      <c r="E53" s="119">
        <f>COUNTIFS(C10:C48,"*TALENTO HUMANO*",I10:I48,"X")</f>
        <v>0</v>
      </c>
      <c r="F53" s="134">
        <f t="shared" ref="F53:F59" si="0">IF((C53+D53)=0,0,C53/(C53+D53))</f>
        <v>0</v>
      </c>
      <c r="G53" s="119" t="str">
        <f t="shared" ref="G53:G60" si="1">IF(F53&gt;=0.9,"ALTO",IF(F53&gt;=0.7,"MEDIO",IF(F53&gt;0,"BAJO","SIN EVALUAR")))</f>
        <v>SIN EVALUAR</v>
      </c>
    </row>
    <row r="54" spans="1:13" ht="63.75" customHeight="1" x14ac:dyDescent="0.3">
      <c r="A54" s="135" t="s">
        <v>756</v>
      </c>
      <c r="B54" s="112">
        <f>COUNTIF(C10:C48,"*INFRAESTRUCTURA*")</f>
        <v>11</v>
      </c>
      <c r="C54" s="112">
        <f>COUNTIFS(C10:C48,"*INFRAESTRUCTURA*",G10:G48,"X")</f>
        <v>0</v>
      </c>
      <c r="D54" s="112">
        <f>COUNTIFS(C10:C48,"*INFRAESTRUCTURA*",H10:H48,"X")</f>
        <v>0</v>
      </c>
      <c r="E54" s="112">
        <f>COUNTIFS(C10:C48,"*INFRAESTRUCTURA*",I10:I48,"X")</f>
        <v>0</v>
      </c>
      <c r="F54" s="136">
        <f t="shared" si="0"/>
        <v>0</v>
      </c>
      <c r="G54" s="112" t="str">
        <f t="shared" si="1"/>
        <v>SIN EVALUAR</v>
      </c>
    </row>
    <row r="55" spans="1:13" ht="32.25" customHeight="1" x14ac:dyDescent="0.3">
      <c r="A55" s="133" t="s">
        <v>539</v>
      </c>
      <c r="B55" s="119">
        <f>COUNTIF(C10:C48,"*DOTACIÓN*")</f>
        <v>1</v>
      </c>
      <c r="C55" s="119">
        <f>COUNTIFS(C10:C48,"*DOTACIÓN*",G10:G48,"X")</f>
        <v>0</v>
      </c>
      <c r="D55" s="119">
        <f>COUNTIFS(C10:C48,"*DOTACIÓN*",H10:H48,"X")</f>
        <v>0</v>
      </c>
      <c r="E55" s="119">
        <f>COUNTIFS(C10:C48,"*DOTACIÓN*",I10:I48,"X")</f>
        <v>0</v>
      </c>
      <c r="F55" s="134">
        <f t="shared" si="0"/>
        <v>0</v>
      </c>
      <c r="G55" s="119" t="str">
        <f t="shared" si="1"/>
        <v>SIN EVALUAR</v>
      </c>
    </row>
    <row r="56" spans="1:13" ht="105.75" customHeight="1" x14ac:dyDescent="0.3">
      <c r="A56" s="135" t="s">
        <v>578</v>
      </c>
      <c r="B56" s="112">
        <f>COUNTIF(C10:C48,"*MEDICAMENTOS, DM E INSUMOS*")</f>
        <v>1</v>
      </c>
      <c r="C56" s="112">
        <f>COUNTIFS(C10:C48,"*MEDICAMENTOS, DM E INSUMOS*",G10:G48,"X")</f>
        <v>0</v>
      </c>
      <c r="D56" s="112">
        <f>COUNTIFS(C10:C48,"*MEDICAMENTOS, DM E INSUMOS*",H10:H48,"X")</f>
        <v>0</v>
      </c>
      <c r="E56" s="112">
        <f>COUNTIFS(C10:C48,"*MEDICAMENTOS, DM E INSUMOS*",I10:I48,"X")</f>
        <v>0</v>
      </c>
      <c r="F56" s="136">
        <f t="shared" si="0"/>
        <v>0</v>
      </c>
      <c r="G56" s="112" t="str">
        <f t="shared" si="1"/>
        <v>SIN EVALUAR</v>
      </c>
    </row>
    <row r="57" spans="1:13" ht="84.75" customHeight="1" x14ac:dyDescent="0.3">
      <c r="A57" s="133" t="s">
        <v>610</v>
      </c>
      <c r="B57" s="119">
        <f>COUNTIF(C10:C48,"*PROCESOS PRIORITARIOS*")</f>
        <v>5</v>
      </c>
      <c r="C57" s="119">
        <f>COUNTIFS(C10:C48,"*PROCESOS PRIORITARIOS*",G10:G48,"X")</f>
        <v>0</v>
      </c>
      <c r="D57" s="119">
        <f>COUNTIFS(C10:C48,"*PROCESOS PRIORITARIOS*",H10:H48,"X")</f>
        <v>0</v>
      </c>
      <c r="E57" s="119">
        <f>COUNTIFS(C10:C48,"*PROCESOS PRIORITARIOS*",I10:I48,"X")</f>
        <v>0</v>
      </c>
      <c r="F57" s="134">
        <f t="shared" si="0"/>
        <v>0</v>
      </c>
      <c r="G57" s="119" t="str">
        <f t="shared" si="1"/>
        <v>SIN EVALUAR</v>
      </c>
    </row>
    <row r="58" spans="1:13" ht="105.75" customHeight="1" x14ac:dyDescent="0.3">
      <c r="A58" s="135" t="s">
        <v>711</v>
      </c>
      <c r="B58" s="112">
        <f>COUNTIF(C10:C48,"*HISTORIA CLÍNICA Y REGISTROS*")</f>
        <v>5</v>
      </c>
      <c r="C58" s="112">
        <f>COUNTIFS(C10:C48,"*HISTORIA CLÍNICA Y REGISTROS*",G10:G48,"X")</f>
        <v>0</v>
      </c>
      <c r="D58" s="112">
        <f>COUNTIFS(C10:C48,"*HISTORIA CLÍNICA Y REGISTROS*",H10:H48,"X")</f>
        <v>0</v>
      </c>
      <c r="E58" s="112">
        <f>COUNTIFS(C10:C48,"*HISTORIA CLÍNICA Y REGISTROS*",I10:I48,"X")</f>
        <v>0</v>
      </c>
      <c r="F58" s="136">
        <f t="shared" si="0"/>
        <v>0</v>
      </c>
      <c r="G58" s="112" t="str">
        <f t="shared" si="1"/>
        <v>SIN EVALUAR</v>
      </c>
    </row>
    <row r="59" spans="1:13" ht="74.25" customHeight="1" x14ac:dyDescent="0.3">
      <c r="A59" s="133" t="s">
        <v>750</v>
      </c>
      <c r="B59" s="119">
        <f>COUNTIF(C10:C48,"*INTERDEPENDENCIA*")</f>
        <v>1</v>
      </c>
      <c r="C59" s="119">
        <f>COUNTIFS(C10:C48,"*INTERDEPENDENCIA*",G10:G48,"X")</f>
        <v>0</v>
      </c>
      <c r="D59" s="119">
        <f>COUNTIFS(C10:C48,"*INTERDEPENDENCIA*",H10:H48,"X")</f>
        <v>0</v>
      </c>
      <c r="E59" s="119">
        <f>COUNTIFS(C10:C48,"*INTERDEPENDENCIA*",I10:I48,"X")</f>
        <v>0</v>
      </c>
      <c r="F59" s="134">
        <f t="shared" si="0"/>
        <v>0</v>
      </c>
      <c r="G59" s="119" t="str">
        <f t="shared" si="1"/>
        <v>SIN EVALUAR</v>
      </c>
    </row>
    <row r="60" spans="1:13" ht="53.25" customHeight="1" x14ac:dyDescent="0.3">
      <c r="A60" s="82" t="s">
        <v>379</v>
      </c>
      <c r="B60" s="82">
        <f>SUM(B53:B59)</f>
        <v>26</v>
      </c>
      <c r="C60" s="82">
        <f>SUM(C53:C59)</f>
        <v>0</v>
      </c>
      <c r="D60" s="82">
        <f>SUM(D53:D59)</f>
        <v>0</v>
      </c>
      <c r="E60" s="82">
        <f>SUM(E53:E59)</f>
        <v>0</v>
      </c>
      <c r="F60" s="137">
        <f>SUM(F53:F59)</f>
        <v>0</v>
      </c>
      <c r="G60" s="82" t="str">
        <f t="shared" si="1"/>
        <v>SIN EVALUAR</v>
      </c>
    </row>
  </sheetData>
  <mergeCells count="26">
    <mergeCell ref="A46:M46"/>
    <mergeCell ref="A47:M47"/>
    <mergeCell ref="A51:M51"/>
    <mergeCell ref="A30:M30"/>
    <mergeCell ref="A32:M32"/>
    <mergeCell ref="A33:M33"/>
    <mergeCell ref="A39:M39"/>
    <mergeCell ref="A40:M40"/>
    <mergeCell ref="A13:M13"/>
    <mergeCell ref="A24:M24"/>
    <mergeCell ref="A26:M26"/>
    <mergeCell ref="A27:M27"/>
    <mergeCell ref="A29:M29"/>
    <mergeCell ref="A5:M5"/>
    <mergeCell ref="A6:M6"/>
    <mergeCell ref="A8:M8"/>
    <mergeCell ref="A9:M9"/>
    <mergeCell ref="A12:M12"/>
    <mergeCell ref="A1:M1"/>
    <mergeCell ref="A2:M2"/>
    <mergeCell ref="A3:C3"/>
    <mergeCell ref="D3:M3"/>
    <mergeCell ref="A4:B4"/>
    <mergeCell ref="C4:E4"/>
    <mergeCell ref="F4:H4"/>
    <mergeCell ref="I4:K4"/>
  </mergeCells>
  <conditionalFormatting sqref="A10:M48">
    <cfRule type="expression" dxfId="2" priority="2">
      <formula>$G10="X"</formula>
    </cfRule>
    <cfRule type="expression" dxfId="1" priority="3">
      <formula>$H10="X"</formula>
    </cfRule>
    <cfRule type="expression" dxfId="0" priority="4">
      <formula>$I10="X"</formula>
    </cfRule>
  </conditionalFormatting>
  <dataValidations count="1">
    <dataValidation type="list" allowBlank="1" sqref="G10:I48" xr:uid="{00000000-0002-0000-0B00-000000000000}">
      <formula1>"X,"</formula1>
      <formula2>0</formula2>
    </dataValidation>
  </dataValidations>
  <pageMargins left="0.3" right="0.3" top="0.5" bottom="0.5" header="0.511811023622047" footer="0.511811023622047"/>
  <pageSetup paperSize="9"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04000"/>
    <pageSetUpPr fitToPage="1"/>
  </sheetPr>
  <dimension ref="A1:F64"/>
  <sheetViews>
    <sheetView showGridLines="0" zoomScaleNormal="100" workbookViewId="0">
      <selection activeCell="G17" sqref="G17"/>
    </sheetView>
  </sheetViews>
  <sheetFormatPr baseColWidth="10" defaultColWidth="8.6640625" defaultRowHeight="14.4" x14ac:dyDescent="0.3"/>
  <cols>
    <col min="1" max="1" width="18.109375" customWidth="1"/>
    <col min="2" max="3" width="25" customWidth="1"/>
    <col min="4" max="4" width="30" customWidth="1"/>
    <col min="5" max="5" width="25" customWidth="1"/>
    <col min="6" max="6" width="20" customWidth="1"/>
  </cols>
  <sheetData>
    <row r="1" spans="1:6" ht="30" customHeight="1" x14ac:dyDescent="0.3">
      <c r="A1" s="164" t="s">
        <v>1303</v>
      </c>
      <c r="B1" s="164"/>
      <c r="C1" s="164"/>
      <c r="D1" s="164"/>
      <c r="E1" s="164"/>
      <c r="F1" s="164"/>
    </row>
    <row r="2" spans="1:6" ht="15" customHeight="1" x14ac:dyDescent="0.3">
      <c r="A2" s="204" t="s">
        <v>1304</v>
      </c>
      <c r="B2" s="204"/>
      <c r="C2" s="204"/>
      <c r="D2" s="204"/>
      <c r="E2" s="204"/>
      <c r="F2" s="204"/>
    </row>
    <row r="4" spans="1:6" ht="21.75" customHeight="1" x14ac:dyDescent="0.3">
      <c r="A4" s="205" t="s">
        <v>1305</v>
      </c>
      <c r="B4" s="205"/>
      <c r="C4" s="205"/>
      <c r="D4" s="205"/>
      <c r="E4" s="205"/>
      <c r="F4" s="205"/>
    </row>
    <row r="5" spans="1:6" ht="15" customHeight="1" x14ac:dyDescent="0.3">
      <c r="A5" t="s">
        <v>1306</v>
      </c>
      <c r="D5" t="s">
        <v>1307</v>
      </c>
    </row>
    <row r="6" spans="1:6" ht="15" customHeight="1" x14ac:dyDescent="0.3">
      <c r="A6" s="206" t="s">
        <v>1308</v>
      </c>
      <c r="B6" s="206"/>
      <c r="C6" s="221"/>
      <c r="D6" s="221"/>
      <c r="E6" s="222" t="s">
        <v>1309</v>
      </c>
      <c r="F6" s="222"/>
    </row>
    <row r="7" spans="1:6" ht="15" customHeight="1" x14ac:dyDescent="0.3">
      <c r="A7" s="206" t="s">
        <v>785</v>
      </c>
      <c r="B7" s="206"/>
      <c r="C7" s="221"/>
      <c r="D7" s="221"/>
      <c r="E7" s="222" t="s">
        <v>786</v>
      </c>
      <c r="F7" s="222"/>
    </row>
    <row r="8" spans="1:6" ht="15" customHeight="1" x14ac:dyDescent="0.3">
      <c r="A8" s="206" t="s">
        <v>1310</v>
      </c>
      <c r="B8" s="206"/>
      <c r="C8" s="221"/>
      <c r="D8" s="221"/>
      <c r="E8" s="222" t="s">
        <v>1311</v>
      </c>
      <c r="F8" s="222"/>
    </row>
    <row r="9" spans="1:6" ht="15" customHeight="1" x14ac:dyDescent="0.3">
      <c r="A9" s="206" t="s">
        <v>791</v>
      </c>
      <c r="B9" s="206"/>
      <c r="C9" s="221"/>
      <c r="D9" s="221"/>
      <c r="E9" s="222" t="s">
        <v>1312</v>
      </c>
      <c r="F9" s="222"/>
    </row>
    <row r="10" spans="1:6" ht="15" customHeight="1" x14ac:dyDescent="0.3">
      <c r="A10" s="206" t="s">
        <v>787</v>
      </c>
      <c r="B10" s="206"/>
      <c r="C10" s="221"/>
      <c r="D10" s="221"/>
      <c r="E10" s="222" t="s">
        <v>1313</v>
      </c>
      <c r="F10" s="222"/>
    </row>
    <row r="11" spans="1:6" ht="15" customHeight="1" x14ac:dyDescent="0.3">
      <c r="A11" s="206" t="s">
        <v>1314</v>
      </c>
      <c r="B11" s="206"/>
      <c r="C11" s="221"/>
      <c r="D11" s="221"/>
      <c r="E11" s="222" t="s">
        <v>1344</v>
      </c>
      <c r="F11" s="222"/>
    </row>
    <row r="12" spans="1:6" ht="15" customHeight="1" x14ac:dyDescent="0.3">
      <c r="A12" s="206" t="s">
        <v>762</v>
      </c>
      <c r="B12" s="206"/>
      <c r="C12" s="221"/>
      <c r="D12" s="221"/>
      <c r="E12" s="222" t="s">
        <v>1315</v>
      </c>
      <c r="F12" s="222"/>
    </row>
    <row r="13" spans="1:6" ht="15" customHeight="1" x14ac:dyDescent="0.3">
      <c r="A13" s="206" t="s">
        <v>1316</v>
      </c>
      <c r="B13" s="206"/>
      <c r="C13" s="221"/>
      <c r="D13" s="221"/>
      <c r="E13" s="222" t="s">
        <v>778</v>
      </c>
      <c r="F13" s="222"/>
    </row>
    <row r="15" spans="1:6" ht="21.75" customHeight="1" x14ac:dyDescent="0.3">
      <c r="A15" s="205" t="s">
        <v>1317</v>
      </c>
      <c r="B15" s="205"/>
      <c r="C15" s="205"/>
      <c r="D15" s="205"/>
      <c r="E15" s="205"/>
      <c r="F15" s="205"/>
    </row>
    <row r="16" spans="1:6" ht="42.75" customHeight="1" x14ac:dyDescent="0.3">
      <c r="A16" s="132" t="s">
        <v>368</v>
      </c>
      <c r="B16" s="132" t="s">
        <v>1318</v>
      </c>
      <c r="C16" s="132" t="s">
        <v>1319</v>
      </c>
      <c r="D16" s="132" t="s">
        <v>1320</v>
      </c>
      <c r="E16" s="132" t="s">
        <v>1321</v>
      </c>
      <c r="F16" s="132" t="s">
        <v>755</v>
      </c>
    </row>
    <row r="17" spans="1:6" ht="53.25" customHeight="1" x14ac:dyDescent="0.3">
      <c r="A17" s="120" t="s">
        <v>43</v>
      </c>
      <c r="B17" s="119"/>
      <c r="C17" s="119"/>
      <c r="D17" s="119"/>
      <c r="E17" s="119"/>
      <c r="F17" s="119"/>
    </row>
    <row r="18" spans="1:6" ht="53.25" customHeight="1" x14ac:dyDescent="0.3">
      <c r="A18" s="113" t="s">
        <v>47</v>
      </c>
      <c r="B18" s="112"/>
      <c r="C18" s="112"/>
      <c r="D18" s="112"/>
      <c r="E18" s="112"/>
      <c r="F18" s="112"/>
    </row>
    <row r="19" spans="1:6" ht="42.75" customHeight="1" x14ac:dyDescent="0.3">
      <c r="A19" s="120" t="s">
        <v>51</v>
      </c>
      <c r="B19" s="119"/>
      <c r="C19" s="119"/>
      <c r="D19" s="119"/>
      <c r="E19" s="119"/>
      <c r="F19" s="119"/>
    </row>
    <row r="20" spans="1:6" ht="21.75" customHeight="1" x14ac:dyDescent="0.3">
      <c r="A20" s="113" t="s">
        <v>55</v>
      </c>
      <c r="B20" s="112"/>
      <c r="C20" s="112"/>
      <c r="D20" s="112"/>
      <c r="E20" s="112"/>
      <c r="F20" s="112"/>
    </row>
    <row r="21" spans="1:6" ht="42.75" customHeight="1" x14ac:dyDescent="0.3">
      <c r="A21" s="120" t="s">
        <v>59</v>
      </c>
      <c r="B21" s="119"/>
      <c r="C21" s="119"/>
      <c r="D21" s="119"/>
      <c r="E21" s="119"/>
      <c r="F21" s="119"/>
    </row>
    <row r="23" spans="1:6" ht="21.75" customHeight="1" x14ac:dyDescent="0.3">
      <c r="A23" s="205" t="s">
        <v>1322</v>
      </c>
      <c r="B23" s="205"/>
      <c r="C23" s="205"/>
      <c r="D23" s="205"/>
      <c r="E23" s="205"/>
      <c r="F23" s="205"/>
    </row>
    <row r="24" spans="1:6" ht="15" customHeight="1" x14ac:dyDescent="0.3">
      <c r="A24" s="132" t="s">
        <v>417</v>
      </c>
      <c r="B24" s="132" t="s">
        <v>1323</v>
      </c>
      <c r="C24" s="132" t="s">
        <v>816</v>
      </c>
      <c r="D24" s="132" t="s">
        <v>426</v>
      </c>
      <c r="E24" s="132" t="s">
        <v>1324</v>
      </c>
    </row>
    <row r="25" spans="1:6" ht="15" customHeight="1" x14ac:dyDescent="0.3">
      <c r="A25" s="159"/>
      <c r="B25" s="159"/>
      <c r="C25" s="159"/>
      <c r="D25" s="159"/>
      <c r="E25" s="159"/>
    </row>
    <row r="26" spans="1:6" ht="15" customHeight="1" x14ac:dyDescent="0.3">
      <c r="A26" s="160"/>
      <c r="B26" s="160"/>
      <c r="C26" s="160"/>
      <c r="D26" s="160"/>
      <c r="E26" s="160"/>
    </row>
    <row r="27" spans="1:6" ht="15" customHeight="1" x14ac:dyDescent="0.3">
      <c r="A27" s="159"/>
      <c r="B27" s="159"/>
      <c r="C27" s="159"/>
      <c r="D27" s="159"/>
      <c r="E27" s="159"/>
    </row>
    <row r="28" spans="1:6" ht="15" customHeight="1" x14ac:dyDescent="0.3">
      <c r="A28" s="160"/>
      <c r="B28" s="160"/>
      <c r="C28" s="160"/>
      <c r="D28" s="160"/>
      <c r="E28" s="160"/>
    </row>
    <row r="29" spans="1:6" ht="15" customHeight="1" x14ac:dyDescent="0.3">
      <c r="A29" s="159"/>
      <c r="B29" s="159"/>
      <c r="C29" s="159"/>
      <c r="D29" s="159"/>
      <c r="E29" s="159"/>
    </row>
    <row r="30" spans="1:6" ht="15" customHeight="1" x14ac:dyDescent="0.3">
      <c r="A30" s="160"/>
      <c r="B30" s="160"/>
      <c r="C30" s="160"/>
      <c r="D30" s="160"/>
      <c r="E30" s="160"/>
    </row>
    <row r="31" spans="1:6" ht="15" customHeight="1" x14ac:dyDescent="0.3">
      <c r="A31" s="159"/>
      <c r="B31" s="159"/>
      <c r="C31" s="159"/>
      <c r="D31" s="159"/>
      <c r="E31" s="159"/>
    </row>
    <row r="32" spans="1:6" ht="15" customHeight="1" x14ac:dyDescent="0.3">
      <c r="A32" s="160"/>
      <c r="B32" s="160"/>
      <c r="C32" s="160"/>
      <c r="D32" s="160"/>
      <c r="E32" s="160"/>
    </row>
    <row r="33" spans="1:6" ht="15" customHeight="1" x14ac:dyDescent="0.3">
      <c r="A33" s="159"/>
      <c r="B33" s="159"/>
      <c r="C33" s="159"/>
      <c r="D33" s="159"/>
      <c r="E33" s="159"/>
    </row>
    <row r="34" spans="1:6" ht="15" customHeight="1" x14ac:dyDescent="0.3">
      <c r="A34" s="160"/>
      <c r="B34" s="160"/>
      <c r="C34" s="160"/>
      <c r="D34" s="160"/>
      <c r="E34" s="160"/>
    </row>
    <row r="35" spans="1:6" ht="15" customHeight="1" x14ac:dyDescent="0.3">
      <c r="A35" s="159"/>
      <c r="B35" s="159"/>
      <c r="C35" s="159"/>
      <c r="D35" s="159"/>
      <c r="E35" s="159"/>
    </row>
    <row r="36" spans="1:6" ht="15" customHeight="1" x14ac:dyDescent="0.3">
      <c r="A36" s="160"/>
      <c r="B36" s="160"/>
      <c r="C36" s="160"/>
      <c r="D36" s="160"/>
      <c r="E36" s="160"/>
    </row>
    <row r="37" spans="1:6" ht="15" customHeight="1" x14ac:dyDescent="0.3">
      <c r="A37" s="159"/>
      <c r="B37" s="159"/>
      <c r="C37" s="159"/>
      <c r="D37" s="159"/>
      <c r="E37" s="159"/>
    </row>
    <row r="38" spans="1:6" ht="15" customHeight="1" x14ac:dyDescent="0.3">
      <c r="A38" s="160"/>
      <c r="B38" s="160"/>
      <c r="C38" s="160"/>
      <c r="D38" s="160"/>
      <c r="E38" s="160"/>
    </row>
    <row r="39" spans="1:6" ht="15" customHeight="1" x14ac:dyDescent="0.3">
      <c r="A39" s="159"/>
      <c r="B39" s="159"/>
      <c r="C39" s="159"/>
      <c r="D39" s="159"/>
      <c r="E39" s="159"/>
    </row>
    <row r="41" spans="1:6" ht="21.75" customHeight="1" x14ac:dyDescent="0.3">
      <c r="A41" s="205" t="s">
        <v>1325</v>
      </c>
      <c r="B41" s="205"/>
      <c r="C41" s="205"/>
      <c r="D41" s="205"/>
      <c r="E41" s="205"/>
      <c r="F41" s="205"/>
    </row>
    <row r="42" spans="1:6" ht="39.75" customHeight="1" x14ac:dyDescent="0.3">
      <c r="A42" s="224"/>
      <c r="B42" s="224"/>
      <c r="C42" s="224"/>
      <c r="D42" s="224"/>
      <c r="E42" s="224"/>
      <c r="F42" s="224"/>
    </row>
    <row r="43" spans="1:6" ht="15" customHeight="1" x14ac:dyDescent="0.3">
      <c r="A43" s="225" t="s">
        <v>1326</v>
      </c>
      <c r="B43" s="225"/>
      <c r="C43" s="225"/>
      <c r="D43" s="225"/>
      <c r="E43" s="225"/>
      <c r="F43" s="225"/>
    </row>
    <row r="45" spans="1:6" ht="21.75" customHeight="1" x14ac:dyDescent="0.3">
      <c r="A45" s="205" t="s">
        <v>1327</v>
      </c>
      <c r="B45" s="205"/>
      <c r="C45" s="205"/>
      <c r="D45" s="205"/>
      <c r="E45" s="205"/>
      <c r="F45" s="205"/>
    </row>
    <row r="46" spans="1:6" ht="15" customHeight="1" x14ac:dyDescent="0.3">
      <c r="A46" s="155" t="s">
        <v>417</v>
      </c>
      <c r="B46" s="155" t="s">
        <v>1328</v>
      </c>
      <c r="C46" s="155" t="s">
        <v>1329</v>
      </c>
      <c r="D46" s="155" t="s">
        <v>1330</v>
      </c>
      <c r="E46" s="155" t="s">
        <v>428</v>
      </c>
    </row>
    <row r="47" spans="1:6" ht="15" customHeight="1" x14ac:dyDescent="0.3">
      <c r="A47" s="159"/>
      <c r="B47" s="159"/>
      <c r="C47" s="159"/>
      <c r="D47" s="159"/>
      <c r="E47" s="159"/>
    </row>
    <row r="48" spans="1:6" ht="15" customHeight="1" x14ac:dyDescent="0.3">
      <c r="A48" s="160"/>
      <c r="B48" s="160"/>
      <c r="C48" s="160"/>
      <c r="D48" s="160"/>
      <c r="E48" s="160"/>
    </row>
    <row r="49" spans="1:6" ht="15" customHeight="1" x14ac:dyDescent="0.3">
      <c r="A49" s="159"/>
      <c r="B49" s="159"/>
      <c r="C49" s="159"/>
      <c r="D49" s="159"/>
      <c r="E49" s="159"/>
    </row>
    <row r="50" spans="1:6" ht="15" customHeight="1" x14ac:dyDescent="0.3">
      <c r="A50" s="160"/>
      <c r="B50" s="160"/>
      <c r="C50" s="160"/>
      <c r="D50" s="160"/>
      <c r="E50" s="160"/>
    </row>
    <row r="51" spans="1:6" ht="15" customHeight="1" x14ac:dyDescent="0.3">
      <c r="A51" s="159"/>
      <c r="B51" s="159"/>
      <c r="C51" s="159"/>
      <c r="D51" s="159"/>
      <c r="E51" s="159"/>
    </row>
    <row r="52" spans="1:6" ht="15" customHeight="1" x14ac:dyDescent="0.3">
      <c r="A52" s="160"/>
      <c r="B52" s="160"/>
      <c r="C52" s="160"/>
      <c r="D52" s="160"/>
      <c r="E52" s="160"/>
    </row>
    <row r="53" spans="1:6" ht="15" customHeight="1" x14ac:dyDescent="0.3">
      <c r="A53" s="159"/>
      <c r="B53" s="159"/>
      <c r="C53" s="159"/>
      <c r="D53" s="159"/>
      <c r="E53" s="159"/>
    </row>
    <row r="54" spans="1:6" ht="15" customHeight="1" x14ac:dyDescent="0.3">
      <c r="A54" s="160"/>
      <c r="B54" s="160"/>
      <c r="C54" s="160"/>
      <c r="D54" s="160"/>
      <c r="E54" s="160"/>
    </row>
    <row r="56" spans="1:6" ht="21.75" customHeight="1" x14ac:dyDescent="0.3">
      <c r="A56" s="205" t="s">
        <v>1331</v>
      </c>
      <c r="B56" s="205"/>
      <c r="C56" s="205"/>
      <c r="D56" s="205"/>
      <c r="E56" s="205"/>
      <c r="F56" s="205"/>
    </row>
    <row r="57" spans="1:6" ht="120" customHeight="1" x14ac:dyDescent="0.3">
      <c r="A57" s="223" t="s">
        <v>1332</v>
      </c>
      <c r="B57" s="223"/>
      <c r="C57" s="223"/>
      <c r="D57" s="223" t="s">
        <v>1333</v>
      </c>
      <c r="E57" s="223"/>
      <c r="F57" s="223"/>
    </row>
    <row r="58" spans="1:6" ht="15" customHeight="1" x14ac:dyDescent="0.3">
      <c r="A58" s="223"/>
      <c r="B58" s="223"/>
      <c r="C58" s="223"/>
      <c r="D58" s="223"/>
      <c r="E58" s="223"/>
      <c r="F58" s="223"/>
    </row>
    <row r="59" spans="1:6" ht="15" customHeight="1" x14ac:dyDescent="0.3">
      <c r="A59" s="223"/>
      <c r="B59" s="223"/>
      <c r="C59" s="223"/>
      <c r="D59" s="223"/>
      <c r="E59" s="223"/>
      <c r="F59" s="223"/>
    </row>
    <row r="60" spans="1:6" ht="15" customHeight="1" x14ac:dyDescent="0.3">
      <c r="A60" s="223"/>
      <c r="B60" s="223"/>
      <c r="C60" s="223"/>
      <c r="D60" s="223"/>
      <c r="E60" s="223"/>
      <c r="F60" s="223"/>
    </row>
    <row r="61" spans="1:6" ht="15" customHeight="1" x14ac:dyDescent="0.3">
      <c r="A61" s="223"/>
      <c r="B61" s="223"/>
      <c r="C61" s="223"/>
      <c r="D61" s="223"/>
      <c r="E61" s="223"/>
      <c r="F61" s="223"/>
    </row>
    <row r="62" spans="1:6" ht="15" customHeight="1" x14ac:dyDescent="0.3">
      <c r="A62" s="223"/>
      <c r="B62" s="223"/>
      <c r="C62" s="223"/>
      <c r="D62" s="223"/>
      <c r="E62" s="223"/>
      <c r="F62" s="223"/>
    </row>
    <row r="63" spans="1:6" ht="15" customHeight="1" x14ac:dyDescent="0.3">
      <c r="A63" s="223"/>
      <c r="B63" s="223"/>
      <c r="C63" s="223"/>
      <c r="D63" s="223"/>
      <c r="E63" s="223"/>
      <c r="F63" s="223"/>
    </row>
    <row r="64" spans="1:6" ht="15" customHeight="1" x14ac:dyDescent="0.3">
      <c r="A64" s="223"/>
      <c r="B64" s="223"/>
      <c r="C64" s="223"/>
      <c r="D64" s="223"/>
      <c r="E64" s="223"/>
      <c r="F64" s="223"/>
    </row>
  </sheetData>
  <mergeCells count="36">
    <mergeCell ref="A57:C64"/>
    <mergeCell ref="D57:F64"/>
    <mergeCell ref="A41:F41"/>
    <mergeCell ref="A42:F42"/>
    <mergeCell ref="A43:F43"/>
    <mergeCell ref="A45:F45"/>
    <mergeCell ref="A56:F56"/>
    <mergeCell ref="A13:B13"/>
    <mergeCell ref="C13:D13"/>
    <mergeCell ref="E13:F13"/>
    <mergeCell ref="A15:F15"/>
    <mergeCell ref="A23:F23"/>
    <mergeCell ref="A11:B11"/>
    <mergeCell ref="C11:D11"/>
    <mergeCell ref="E11:F11"/>
    <mergeCell ref="A12:B12"/>
    <mergeCell ref="C12:D12"/>
    <mergeCell ref="E12:F12"/>
    <mergeCell ref="A9:B9"/>
    <mergeCell ref="C9:D9"/>
    <mergeCell ref="E9:F9"/>
    <mergeCell ref="A10:B10"/>
    <mergeCell ref="C10:D10"/>
    <mergeCell ref="E10:F10"/>
    <mergeCell ref="A7:B7"/>
    <mergeCell ref="C7:D7"/>
    <mergeCell ref="E7:F7"/>
    <mergeCell ref="A8:B8"/>
    <mergeCell ref="C8:D8"/>
    <mergeCell ref="E8:F8"/>
    <mergeCell ref="A1:F1"/>
    <mergeCell ref="A2:F2"/>
    <mergeCell ref="A4:F4"/>
    <mergeCell ref="A6:B6"/>
    <mergeCell ref="C6:D6"/>
    <mergeCell ref="E6:F6"/>
  </mergeCells>
  <dataValidations count="1">
    <dataValidation type="list" allowBlank="1" sqref="A42" xr:uid="{00000000-0002-0000-0C00-000000000000}">
      <formula1>"HABILITADO,HABILITADO CON REQUERIMIENTOS,NO HABILITADO"</formula1>
      <formula2>0</formula2>
    </dataValidation>
  </dataValidations>
  <pageMargins left="0.5" right="0.5" top="0.6" bottom="0.6"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Instructivo de Uso</vt:lpstr>
      <vt:lpstr>Dashboard</vt:lpstr>
      <vt:lpstr>Recomendaciones</vt:lpstr>
      <vt:lpstr>Diferencias entre Servicios</vt:lpstr>
      <vt:lpstr>Ficha Prestador</vt:lpstr>
      <vt:lpstr>Criterios Generales</vt:lpstr>
      <vt:lpstr>Auditoría Documental</vt:lpstr>
      <vt:lpstr>Auditoría Infraestructura</vt:lpstr>
      <vt:lpstr>Consulta Externa</vt:lpstr>
      <vt:lpstr>Terapias</vt:lpstr>
      <vt:lpstr>Laboratorio Clínico</vt:lpstr>
      <vt:lpstr>Toma de Muestras Lab</vt:lpstr>
      <vt:lpstr>Acta de Visita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Andrea Cuellar</cp:lastModifiedBy>
  <cp:revision>0</cp:revision>
  <dcterms:created xsi:type="dcterms:W3CDTF">2026-03-20T15:50:35Z</dcterms:created>
  <dcterms:modified xsi:type="dcterms:W3CDTF">2026-03-20T20:32:09Z</dcterms:modified>
  <dc:language>en-US</dc:language>
</cp:coreProperties>
</file>