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c14d6ad31308235/AUDITORIAS AYH/LABORATORIOS/"/>
    </mc:Choice>
  </mc:AlternateContent>
  <xr:revisionPtr revIDLastSave="0" documentId="8_{282F6E6F-6A40-40DE-BC87-C00C2A6CF397}" xr6:coauthVersionLast="47" xr6:coauthVersionMax="47" xr10:uidLastSave="{00000000-0000-0000-0000-000000000000}"/>
  <bookViews>
    <workbookView xWindow="-108" yWindow="-108" windowWidth="23256" windowHeight="12576" tabRatio="774" xr2:uid="{00000000-000D-0000-FFFF-FFFF00000000}"/>
  </bookViews>
  <sheets>
    <sheet name="Instrucciones" sheetId="6" r:id="rId1"/>
    <sheet name="INFORMACION GENERAL" sheetId="2" r:id="rId2"/>
    <sheet name="1-Cx y cert" sheetId="1" r:id="rId3"/>
    <sheet name="si respondio SI a Cx oCert" sheetId="3" r:id="rId4"/>
    <sheet name="Si respondio NO a CX o Cert" sheetId="4" r:id="rId5"/>
  </sheets>
  <definedNames>
    <definedName name="_xlnm._FilterDatabase" localSheetId="2" hidden="1">'1-Cx y cert'!$D$4:$E$4</definedName>
    <definedName name="_xlnm._FilterDatabase" localSheetId="4" hidden="1">'Si respondio NO a CX o Cert'!$A$4:$H$98</definedName>
    <definedName name="_xlnm._FilterDatabase" localSheetId="3" hidden="1">'si respondio SI a Cx oCert'!$D$4:$F$4</definedName>
    <definedName name="_xlnm.Print_Area" localSheetId="2">'1-Cx y cert'!$B$3:$F$30</definedName>
    <definedName name="_xlnm.Print_Area" localSheetId="4">'Si respondio NO a CX o Cert'!$B$3:$G$118</definedName>
    <definedName name="_xlnm.Print_Area" localSheetId="3">'si respondio SI a Cx oCert'!$B$3:$G$68</definedName>
    <definedName name="page10" localSheetId="2">'1-Cx y cert'!#REF!</definedName>
    <definedName name="page10" localSheetId="4">'Si respondio NO a CX o Cert'!#REF!</definedName>
    <definedName name="page10" localSheetId="3">'si respondio SI a Cx oCert'!#REF!</definedName>
    <definedName name="page11" localSheetId="2">'1-Cx y cert'!#REF!</definedName>
    <definedName name="page11" localSheetId="4">'Si respondio NO a CX o Cert'!#REF!</definedName>
    <definedName name="page11" localSheetId="3">'si respondio SI a Cx oCert'!#REF!</definedName>
    <definedName name="page12" localSheetId="2">'1-Cx y cert'!#REF!</definedName>
    <definedName name="page12" localSheetId="4">'Si respondio NO a CX o Cert'!#REF!</definedName>
    <definedName name="page12" localSheetId="3">'si respondio SI a Cx oCert'!#REF!</definedName>
    <definedName name="page5" localSheetId="2">'1-Cx y cert'!#REF!</definedName>
    <definedName name="page5" localSheetId="4">'Si respondio NO a CX o Cert'!#REF!</definedName>
    <definedName name="page5" localSheetId="3">'si respondio SI a Cx oCert'!#REF!</definedName>
    <definedName name="page6" localSheetId="2">'1-Cx y cert'!#REF!</definedName>
    <definedName name="page6" localSheetId="4">'Si respondio NO a CX o Cert'!#REF!</definedName>
    <definedName name="page6" localSheetId="3">'si respondio SI a Cx oCert'!#REF!</definedName>
    <definedName name="page7" localSheetId="2">'1-Cx y cert'!#REF!</definedName>
    <definedName name="page7" localSheetId="4">'Si respondio NO a CX o Cert'!#REF!</definedName>
    <definedName name="page7" localSheetId="3">'si respondio SI a Cx oCert'!#REF!</definedName>
    <definedName name="page8" localSheetId="2">'1-Cx y cert'!#REF!</definedName>
    <definedName name="page8" localSheetId="4">'Si respondio NO a CX o Cert'!#REF!</definedName>
    <definedName name="page8" localSheetId="3">'si respondio SI a Cx oCert'!#REF!</definedName>
    <definedName name="page9" localSheetId="2">'1-Cx y cert'!#REF!</definedName>
    <definedName name="page9" localSheetId="4">'Si respondio NO a CX o Cert'!#REF!</definedName>
    <definedName name="page9" localSheetId="3">'si respondio SI a Cx oCert'!#REF!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3" l="1"/>
  <c r="D97" i="4" l="1"/>
  <c r="E8" i="1" l="1"/>
  <c r="H68" i="4" l="1"/>
  <c r="K6" i="3" l="1"/>
  <c r="H33" i="4" l="1"/>
  <c r="K5" i="3"/>
  <c r="F45" i="3" s="1"/>
  <c r="K6" i="4"/>
  <c r="E95" i="4"/>
  <c r="H67" i="4" l="1"/>
  <c r="D95" i="4"/>
  <c r="E45" i="3" l="1"/>
  <c r="H42" i="3"/>
  <c r="H19" i="3"/>
  <c r="H18" i="3"/>
  <c r="H90" i="4"/>
  <c r="H59" i="4"/>
  <c r="H19" i="4"/>
  <c r="H18" i="4"/>
  <c r="H94" i="4" l="1"/>
  <c r="H93" i="4"/>
  <c r="H91" i="4"/>
  <c r="H89" i="4"/>
  <c r="H88" i="4"/>
  <c r="H87" i="4"/>
  <c r="H86" i="4"/>
  <c r="H85" i="4"/>
  <c r="H84" i="4"/>
  <c r="H83" i="4"/>
  <c r="H82" i="4"/>
  <c r="H81" i="4"/>
  <c r="H80" i="4"/>
  <c r="H79" i="4"/>
  <c r="H78" i="4"/>
  <c r="H77" i="4"/>
  <c r="H76" i="4"/>
  <c r="H75" i="4"/>
  <c r="H74" i="4"/>
  <c r="H73" i="4"/>
  <c r="H72" i="4"/>
  <c r="H71" i="4"/>
  <c r="H70" i="4"/>
  <c r="H69" i="4"/>
  <c r="H66" i="4"/>
  <c r="H65" i="4"/>
  <c r="H64" i="4"/>
  <c r="H63" i="4"/>
  <c r="H62" i="4"/>
  <c r="H61" i="4"/>
  <c r="H60" i="4"/>
  <c r="H58" i="4"/>
  <c r="H57" i="4"/>
  <c r="H56" i="4"/>
  <c r="H55" i="4"/>
  <c r="H54" i="4"/>
  <c r="H53" i="4"/>
  <c r="H52" i="4"/>
  <c r="H51" i="4"/>
  <c r="H50" i="4"/>
  <c r="H49" i="4"/>
  <c r="H48" i="4"/>
  <c r="H47" i="4"/>
  <c r="H45" i="4"/>
  <c r="H44" i="4"/>
  <c r="H43" i="4"/>
  <c r="H42" i="4"/>
  <c r="H41" i="4"/>
  <c r="H40" i="4"/>
  <c r="H39" i="4"/>
  <c r="H38" i="4"/>
  <c r="H37" i="4"/>
  <c r="H36" i="4"/>
  <c r="H35" i="4"/>
  <c r="H34" i="4"/>
  <c r="H32" i="4"/>
  <c r="H31" i="4"/>
  <c r="H30" i="4"/>
  <c r="H29" i="4"/>
  <c r="H28" i="4"/>
  <c r="H27" i="4"/>
  <c r="H26" i="4"/>
  <c r="H25" i="4"/>
  <c r="H24" i="4"/>
  <c r="H23" i="4"/>
  <c r="H22" i="4"/>
  <c r="H21" i="4"/>
  <c r="H20" i="4"/>
  <c r="H17" i="4"/>
  <c r="H16" i="4"/>
  <c r="H15" i="4"/>
  <c r="H14" i="4"/>
  <c r="H13" i="4"/>
  <c r="H12" i="4"/>
  <c r="H11" i="4"/>
  <c r="H10" i="4"/>
  <c r="H9" i="4"/>
  <c r="H8" i="4"/>
  <c r="H7" i="4"/>
  <c r="H6" i="4"/>
  <c r="H5" i="4"/>
  <c r="H43" i="3"/>
  <c r="H41" i="3"/>
  <c r="H40" i="3"/>
  <c r="H39" i="3"/>
  <c r="H38" i="3"/>
  <c r="H37" i="3"/>
  <c r="H36" i="3"/>
  <c r="H35" i="3"/>
  <c r="H34" i="3"/>
  <c r="H33" i="3"/>
  <c r="H32" i="3"/>
  <c r="H31" i="3"/>
  <c r="H30" i="3"/>
  <c r="H29" i="3"/>
  <c r="H28" i="3"/>
  <c r="H27" i="3"/>
  <c r="H26" i="3"/>
  <c r="H25" i="3"/>
  <c r="H24" i="3"/>
  <c r="H23" i="3"/>
  <c r="H22" i="3"/>
  <c r="H21" i="3"/>
  <c r="H20" i="3"/>
  <c r="H17" i="3"/>
  <c r="H16" i="3"/>
  <c r="H15" i="3"/>
  <c r="H14" i="3"/>
  <c r="H13" i="3"/>
  <c r="H12" i="3"/>
  <c r="H11" i="3"/>
  <c r="H10" i="3"/>
  <c r="H9" i="3"/>
  <c r="H8" i="3"/>
  <c r="H7" i="3"/>
  <c r="H6" i="3"/>
  <c r="H5" i="3"/>
  <c r="D7" i="1"/>
  <c r="F46" i="3" l="1"/>
  <c r="D47" i="3" l="1"/>
  <c r="G6" i="1"/>
  <c r="D9" i="1" l="1"/>
  <c r="H46" i="4"/>
  <c r="K7" i="4"/>
  <c r="F95" i="4" s="1"/>
  <c r="F96" i="4" s="1"/>
  <c r="B18" i="2" s="1"/>
</calcChain>
</file>

<file path=xl/sharedStrings.xml><?xml version="1.0" encoding="utf-8"?>
<sst xmlns="http://schemas.openxmlformats.org/spreadsheetml/2006/main" count="369" uniqueCount="250">
  <si>
    <t>INSTITUTO NACIONAL DE SALUD
DIRECCIÓN REDES EN SALUD PÚBLICA
LISTA DE VERIFICACIÓN NIVEL DE BIOSEGURIDAD 2 (BSL-2)</t>
  </si>
  <si>
    <t xml:space="preserve">DATOS DE LA VISITA DE VERIFICACION </t>
  </si>
  <si>
    <t xml:space="preserve">DATOS DE LA INSTITUCION QUE RECIBE LA VISITA </t>
  </si>
  <si>
    <t>Nombre del laboratorio</t>
  </si>
  <si>
    <t>Tipo de laboratorio evaluado</t>
  </si>
  <si>
    <t>LABORATORIO DE SALUD PUBLICA</t>
  </si>
  <si>
    <t>SALUD</t>
  </si>
  <si>
    <t>Sector al que se vincula</t>
  </si>
  <si>
    <t>PÚBLICO</t>
  </si>
  <si>
    <t>VETERINARIO</t>
  </si>
  <si>
    <t>Ciudad</t>
  </si>
  <si>
    <t>PRIVADO</t>
  </si>
  <si>
    <t>AGROPECUARIO</t>
  </si>
  <si>
    <t>Departamento</t>
  </si>
  <si>
    <t>UNIVERSIDAD</t>
  </si>
  <si>
    <t>ALIMENTOS</t>
  </si>
  <si>
    <t>Dirección</t>
  </si>
  <si>
    <t>CENTRO INVESTIGACIÓN</t>
  </si>
  <si>
    <t>OTRO</t>
  </si>
  <si>
    <t>Teléfono (s)</t>
  </si>
  <si>
    <t xml:space="preserve">Representante legal (Secretario de Salud Departamental o Distrital/Director) </t>
  </si>
  <si>
    <t>Nombre del coordinador o director del laboratorio</t>
  </si>
  <si>
    <t>Calificación obtenida</t>
  </si>
  <si>
    <t>DATOS DE LA INSTITUCION QUE REALIZA LA VISITA</t>
  </si>
  <si>
    <t xml:space="preserve">Nombre </t>
  </si>
  <si>
    <t>Cargo</t>
  </si>
  <si>
    <t>Entidad</t>
  </si>
  <si>
    <t>Firma</t>
  </si>
  <si>
    <t>RELACIÓN AGENTES INFECCIOSOS-EVENTOS MANEJADOS POR EL LABORATORIO A EVALUAR</t>
  </si>
  <si>
    <t>Lista de verificación del nivel 2 de bioseguridad (BSL-2)</t>
  </si>
  <si>
    <t>Criterio de verificación</t>
  </si>
  <si>
    <t>Comentarios inspección</t>
  </si>
  <si>
    <t>Si</t>
  </si>
  <si>
    <t>NO</t>
  </si>
  <si>
    <t>N.A</t>
  </si>
  <si>
    <t>En las puertas de ingreso a  los laboratorios, se  cuenta con  los datos de contacto de la persona responsable del laboratorio, de manera que pueda ser contactada en caso de emergencia.</t>
  </si>
  <si>
    <t>verificar señalización en las áreas especiales que aplique</t>
  </si>
  <si>
    <t>Se puede acceder a espacios o superficies de difícil acceso, como detrás o debajo de muebles y equipos, de manera que facilite las actividades de   mantenimiento, limpieza y desinfección.</t>
  </si>
  <si>
    <t xml:space="preserve">El laboratorio cuenta con salida(s) de emergencia,  y las tiene señalizadas </t>
  </si>
  <si>
    <t>Las áreas técnicas  están libres  de insumos, reactivos u otros elementos que no están siendo utilizados para  realizar actividades analíticas</t>
  </si>
  <si>
    <t>Revisar durante el recorrido  que las  áreas técnicas (incluyendo las mesas de trabajo)  no están siendo utilizadas como áreas de almacenamiento temporal</t>
  </si>
  <si>
    <t>Validar que no se usa el espacio de laboratorio para estas actividades administrativas o de descanso</t>
  </si>
  <si>
    <t xml:space="preserve">Se dispone  de espacios  (estanterías, muebles) para almacenar consumibles y reactivos de manera segura </t>
  </si>
  <si>
    <t>Cuenta con estrategias de  control de plagas en función de las circunstancias locales, para proteger los consumibles y reactivos</t>
  </si>
  <si>
    <t>Verificar cronogramas y su cumplimiento en la ejecución</t>
  </si>
  <si>
    <t>Cuenta (cuando aplique), con equipos para almacenamiento de reactivos en condiciones controladas (refrigeración-congelación)</t>
  </si>
  <si>
    <t>Verificar  su funcionamiento</t>
  </si>
  <si>
    <t xml:space="preserve">El laboratorio  realiza la clasificación  y almacenamiento de sustancias químicas de acuerdo a normativa vigente   </t>
  </si>
  <si>
    <t>Todas las soluciones preparadas están debidamente etiquetadas</t>
  </si>
  <si>
    <t xml:space="preserve">Realiza el monitoreo de gases industriales o anestésicos en caso  de usarlos (formaldehído u otros gases anestésicos) </t>
  </si>
  <si>
    <t xml:space="preserve">Se  cuenta  con estrategias o mecanismos para la  seguridad física de las muestras almacenadas  según los requisitos de bioseguridad asociados y la evaluación del riesgo </t>
  </si>
  <si>
    <t>Verificar que se tiene inventario, y que esta actualizado.</t>
  </si>
  <si>
    <t xml:space="preserve">Revisar registros de entrenamiento, seguimiento técnico al personal que realiza estas actividades, dar alcance a personal no vinculado al laboratorio. </t>
  </si>
  <si>
    <t>El laboratorio cuenta con  canecas o contenedores  para la adecuada  segregación de los residuos generados de acuerdo a la normatividad vigente.</t>
  </si>
  <si>
    <t xml:space="preserve">El laboratorio cuenta con un programa implementado para la gestión integral de los residuos generados acorde a la evaluación del riesgo y la normatividad vigente </t>
  </si>
  <si>
    <t xml:space="preserve">Verificar que estos residuos se encuentren adecuadamente etiquetados (características de peligrosidad, el proceso en que se originó el residuo, fecha de su depósito en el área de acopio) que cuenten con las fichas de seguridad y tarjeta de emergencia
</t>
  </si>
  <si>
    <t xml:space="preserve">Los materiales utilizados para paredes y pisos  son de  fácil limpieza, impermeables y resistentes a los químicos y desinfectantes utilizados en el laboratorio. </t>
  </si>
  <si>
    <t>Verificar que sean superficies lisas y continuas, contar con medias cañas, libres de accesorios .</t>
  </si>
  <si>
    <t>Las puertas del laboratorio cuentan con panel de visión para ver el interior del laboratorio.</t>
  </si>
  <si>
    <t xml:space="preserve">Las mesas de trabajo son de fácil limpieza y desinfección, impermeables al agua, resistentes al calor </t>
  </si>
  <si>
    <t xml:space="preserve">Cuenta con poceta exclusiva para lavado de manos  </t>
  </si>
  <si>
    <t>Los lavamanos están ubicados lo más cerca posible de la puerta de salida.</t>
  </si>
  <si>
    <t>Se dispone de agua corriente, preferiblemente accionada por un mecanismo de manos libres (codo, muñeca, rodilla o pie).</t>
  </si>
  <si>
    <t>Verificar disponibilidad en todas las áreas. revisar control de llenado y vigencia del insumo empleado de ser posible</t>
  </si>
  <si>
    <t>Cuenta con  el suministro de toallas de papel o absorbentes para el  secado de manos</t>
  </si>
  <si>
    <t xml:space="preserve">Verificar disponibilidad de estos insumos  en todos los puntos. No se aceptan secadores de aire </t>
  </si>
  <si>
    <t>Verificar  que  las conexiones  de los  equipos no se encuentren  deshilachadas o dañados. 
Verificar se cuente con tapas protectoras de todas las tomacorrientes, sin cableado expuesto, ni evidencia de cortocircuito</t>
  </si>
  <si>
    <t>Las tomacorrientes que se encuentren ubicados  cerca  de fuentes de agua (1 metro de distancia)  están   protegidas por GFCI (Interruptores de circuitos de  falla a tierra)</t>
  </si>
  <si>
    <t>La iluminación es adecuada para todas las actividades según el trabajo y las necesidades específicas del área del laboratorio.</t>
  </si>
  <si>
    <t>La dirección de las fuentes de luz está diseñada para que el personal pueda evitar trabajar en su propia sombra.</t>
  </si>
  <si>
    <t>Verificar durante la visita</t>
  </si>
  <si>
    <r>
      <t>Los desag</t>
    </r>
    <r>
      <rPr>
        <sz val="9"/>
        <rFont val="Calibri"/>
        <family val="2"/>
      </rPr>
      <t>ü</t>
    </r>
    <r>
      <rPr>
        <sz val="9"/>
        <rFont val="Candara"/>
        <family val="2"/>
      </rPr>
      <t>es cuentan con trampas tipo P, rígidas y lisas</t>
    </r>
  </si>
  <si>
    <t xml:space="preserve">La ubicación  de  cabinas de seguridad biológica (CSB) evita que su funcionamiento esté comprometido o afectado
por el sistema de ventilación, aires acondicionados, por fuentes de calor o por  cambios  en los flujo de trabajo </t>
  </si>
  <si>
    <t>Verificar que existen</t>
  </si>
  <si>
    <t>Solicitar registro de pruebas realizadas</t>
  </si>
  <si>
    <t xml:space="preserve">verificar el uso de CSB en las áreas que lo requieran incluyendo recepción de muestras. </t>
  </si>
  <si>
    <t xml:space="preserve">Las CSB disponen de calificación de desempeño vigente  </t>
  </si>
  <si>
    <t>Verificar materiales contenidos en el momento de la visita, de forma específica cuando no hay uso</t>
  </si>
  <si>
    <t xml:space="preserve">Todos los cilindros requeridos para la operación del laboratorio se encuentran ubicados fuera del laboratorio y están asegurados </t>
  </si>
  <si>
    <t>El laboratorio evita tener dentro de sus instalaciones  un  exceso de cilindros vacíos</t>
  </si>
  <si>
    <t>Verificar acorde con indicación y contrato de suministro que evidencie recarga</t>
  </si>
  <si>
    <t xml:space="preserve"> Solicitar el documento de evaluación del riesgo</t>
  </si>
  <si>
    <t>Hay disponibilidad de elementos de protección personal (guantes, batas, gafas, etc.) acorde al análisis del riesgo, disponibles de forma permanente para ser empleados por el personal</t>
  </si>
  <si>
    <t>Los alimentos para consumo humano son almacenados fuera del laboratorio</t>
  </si>
  <si>
    <t xml:space="preserve">El laboratorio tiene documentada la  evaluación del riesgo biológico </t>
  </si>
  <si>
    <t xml:space="preserve"> Horno(s) de microondas claramente etiquetados como "Sin preparación de alimentos, solo para uso en laboratorio".</t>
  </si>
  <si>
    <t xml:space="preserve">El laboratorio realiza el seguimiento a las actividades de implementación   de las estrategias documentadas en su manual  de bioseguridad </t>
  </si>
  <si>
    <t>Se contacta con la ARL o entidad correspondiente para inmunizaciones apropiadas, vigilancia y tratamiento de exposiciones ocupacionales.</t>
  </si>
  <si>
    <t>CALIFICACION</t>
  </si>
  <si>
    <t>Comentarios adicionales:</t>
  </si>
  <si>
    <t xml:space="preserve"> Hallazgos o  criterio evaluado </t>
  </si>
  <si>
    <t xml:space="preserve"> Fecha de entrega</t>
  </si>
  <si>
    <t>Durante el  recorrido verificar que la  rutas de evacuación y sus salidas se identifican y se encuentran señalizadas</t>
  </si>
  <si>
    <t>El espacio de almacenamiento de productos químicos  cuenta  con  suministros  de emergencia, como lavaojos, materiales de primeros auxilios y botiquines, y kits para derrame químicos.  (si aplica)</t>
  </si>
  <si>
    <t>El laboratorio cuenta con un área de almacenamiento central de residuos peligrosos en condiciones adecuadas acorde a la normatividad vigente.</t>
  </si>
  <si>
    <t>Hay un incinerador disponible. (si aplica)</t>
  </si>
  <si>
    <t>Los desagües del piso del laboratorio cuentan con rejillas o trampas de agua para evitar que entren insectos y roedores.</t>
  </si>
  <si>
    <t>Los muebles no incluyen ninguna superficie de tela que pueda absorber y retener contaminantes. Son de material impermeable. Si es laminado, verificar integridad y cierre adecuado</t>
  </si>
  <si>
    <t>Verificar  que las  mesas  en lo posible  tengan  bordes curvos  para facilitar la limpieza, resistentes al calor y a los  ácidos, álcalis y solventes orgánicos (como ejemplo).
En caso de evidenciar que las mesas de trabajo de son de madera, azulejo, metal, hormigón o pintadas son aceptables si están debidamente selladas para que sean fáciles de limpiar y resistentes a los productos químicos utilizados en el laboratorio.</t>
  </si>
  <si>
    <t xml:space="preserve">Se cuenta con instrucciones disponibles para el lavado de manos  en todos los puntos de uso </t>
  </si>
  <si>
    <t>Verificar que se dispone de instrucciones de lavado seguro en proximidad al lavado. si no existe, verificar socializaciones a ese respecto</t>
  </si>
  <si>
    <t xml:space="preserve">Se cuenta con  el suministro de productos como jabón o sustancias jabonosas  </t>
  </si>
  <si>
    <t>Revisar en campo el efecto sombra sobre equipos/mesones</t>
  </si>
  <si>
    <t xml:space="preserve"> Verificar que esté operativa solicitando  registro de mantenimiento o registro de pruebas de la misma</t>
  </si>
  <si>
    <t>Seguimiento a través de sistema de medición como  termohigrómetros. Manejo del sistema y reacción ante desviaciones sobre línea base establecida que no afecte el desempeño de equipos y actividades técnicas realizadas</t>
  </si>
  <si>
    <t>Los  conductos o artefactos de iluminación no se utilizan como espacios de almacenamiento, ni se almacenan combustibles en el interior del laboratorio</t>
  </si>
  <si>
    <t>Existe flujo direccional de aire, constante ( esto significa que el sistema HVAC solo se apaga para mantenimiento)</t>
  </si>
  <si>
    <t>Si Existe luz UV instalada en el laboratorio, verificar  el sistema de encendido y  apagado</t>
  </si>
  <si>
    <t>Si cuenta con sistema  HVAC, éste  tiene  alarmas locales, audibles y visuales, de falla del sistema HVAC</t>
  </si>
  <si>
    <t>Las alarmas del sistema HVAC se prueban regularmente</t>
  </si>
  <si>
    <t>Si la respuesta es si, solicitar reporte de comisionamiento</t>
  </si>
  <si>
    <t xml:space="preserve">Verificar si cuenta con cabinas de  extracción de gases para manipular los reactivos volátiles </t>
  </si>
  <si>
    <t>Verificar informe de calificación de desempeño, resultados, frecuencia y acciones cuando aplique</t>
  </si>
  <si>
    <t>La cabina de extracción de gases  encuentra  libre de insumos o reactivos diferentes  a los requeridos para las actividades analíticas que se están realizando al momento de su uso</t>
  </si>
  <si>
    <t xml:space="preserve">Verificar fuente de gases. sí es por cilindros, verificar como se fijan para prevenir accidentes y su ubicación debe estar  fuera del laboratorio. 
Verificar que el espacio asignado no se emplee para almacenaje de ningún tipo </t>
  </si>
  <si>
    <t>Existe análisis de riesgo para la selección de los elementos de protección personal?</t>
  </si>
  <si>
    <t>Verificar el uso adecuado de los elementos de protección personal al interior de las áreas acorde al riesgo identificado  (Guantes utilizados al manipular material infeccioso o equipo contaminado) y que estos mismos elementos no se usen fuera del laboratorio</t>
  </si>
  <si>
    <t>Verificar que no se almacenan alimentos para consumo personal en los equipos de frío dentro del laboratorio</t>
  </si>
  <si>
    <t>Solicitar y registrar fecha de actualización, y evidenciar que se mantiene acorde a la operatividad del laboratorio</t>
  </si>
  <si>
    <t>Verificar  la  etiqueta  en los hornos microondas ubicados en áreas analíticas</t>
  </si>
  <si>
    <t>El personal de laboratorio tiene capacitación en seguridad de laboratorio y BBP (principios básicos de bioseguridad) - inicial y de actualización, acorde a la evaluación de riesgos</t>
  </si>
  <si>
    <t>Se cuenta con un  manual de Bioseguridad y procedimientos  alineados  a la evaluación del riesgo,  están fácilmente disponibles en el laboratorio</t>
  </si>
  <si>
    <t>Revisar profesiograma y perfil vacunal - verificación de cumplimiento con SST</t>
  </si>
  <si>
    <t>Los cuartos fríos tienen  sistema  para apertura interna  de emergencia</t>
  </si>
  <si>
    <t>Verificar que se permite la apertura de los equipos por dentro o que tienen sistema de emergencia (botón de pánico)</t>
  </si>
  <si>
    <t>En los cuartos fríos se evidencia orden, limpieza de  los estantes  y las diferentes zonas de almacenamiento</t>
  </si>
  <si>
    <t>Las puertas  y áreas  especiales cuentan con la señalización adecuada: UV, láser, radioactivo, etc. en la puerta.</t>
  </si>
  <si>
    <t>Verificar  que se puedan  realizar las actividades de limpieza  integral   debajo  y detrás de equipos,  mesones, muebles, mobiliario, estantes, entre otros</t>
  </si>
  <si>
    <t>Los corredores y las salidas del laboratorio se encuentran despejados y permiten la circulación del personal, equipos etc. para realizar las actividades rutinarias del laboratorio  y en casos de emergencia</t>
  </si>
  <si>
    <t>Verificar que equipos o espacios de almacenamiento cuenten con sistema de control como implementación de llaves,  candados con custodia, permiso de acceso, sistemas biométricos, cámaras de  vigilancia  - Biocustodia. Responsable designado para la custodia de las llaves (si aplica) e inventario</t>
  </si>
  <si>
    <t xml:space="preserve">Verificar que el área se encuentre separada de las áreas analíticas, de uso exclusivo, con acceso restringido y señalizado, de fácil limpieza, con ventilación e iluminación adecuada, con registros de limpieza y desinfección y provisto de extintores y kit antiderrame (biológico o químico según aplique) 
Verificar el etiquetado de los residuos (adhesivos o bolsas litografiadas) </t>
  </si>
  <si>
    <t>El laboratorio realiza la inactivación con calor (autoclave)   antes de la entrega al gestor de residuos .  (si aplica)</t>
  </si>
  <si>
    <t>Si existe el incinerador, revisar que cuente con certificado de emisiones, acorde a regulación vigente Resolución 058 DE 2002 - Min ambiente: Por la cual se establecen normas y límites máximos permisibles de emisión para incineradores y hornos crematorios de residuos sólidos y líquidos.</t>
  </si>
  <si>
    <t>Los muebles (mobiliarios, gavetas  y sillas)  son fáciles de limpiar,  resistentes a  tratamiento químico  y suficientemente robustos (en tamaño y función)  para soportar el uso planificado.</t>
  </si>
  <si>
    <t>Si se tienen lavamanos en cada área, verificar que estén lo mas cerca posible de la puerta de salida del área.</t>
  </si>
  <si>
    <t>El diseño del sistema eléctrico tiene capacidad de carga para satisfacer la demanda requerida por el laboratorio</t>
  </si>
  <si>
    <t xml:space="preserve">El cableado de los  equipos  y tapas de tomacorrientes se encuentran íntegros  </t>
  </si>
  <si>
    <t>Verificar que  los interruptores  ubicados  a  un metro de distancia de  fuentes de agua cuenten con  el sistema GFCI ( interruptor para circuitos con perdida a tierra)</t>
  </si>
  <si>
    <t>Existe iluminación de emergencia</t>
  </si>
  <si>
    <t>Existen monitores de presión diferencial calibrados instalados en la ruta de ingreso al laboratorio</t>
  </si>
  <si>
    <t>No existe recirculación de aire a áreas administrativas o  de uso público. (ver plano de distribución del HVAC)</t>
  </si>
  <si>
    <t>Si la respuesta es si, solicitar reporte de certificación</t>
  </si>
  <si>
    <t>Se cuenta con cabina de  extracción de  gases  para para manipular reactivos y material volátil</t>
  </si>
  <si>
    <t>Verificar los inventarios de elementos de protección personal (guantes, batas, gafas, zapatos), así como distribución acorde a nivel de riesgo identificado</t>
  </si>
  <si>
    <t>El personal usa adecuadamente los elementos de protección personal acorde al análisis del riesgo.</t>
  </si>
  <si>
    <t>Solicitar evidencias, listas de chequeo, auditorias, etc.</t>
  </si>
  <si>
    <t>Verificar  disponibilidad de ventanillas o panel de visión para verificar al interior, ventanería integra y hermética. Si no tienen panel visual, revisar el procedimiento de verificación de personal, se trabaja con sistema de parejas, u otra medida para garantizar la seguridad del personal</t>
  </si>
  <si>
    <t xml:space="preserve">Descripción/ observaciones del hallazgo  </t>
  </si>
  <si>
    <t>El laboratorio cuenta con control de acceso y  las puertas de acceso a las diferentes áreas tienen una indicación de acceso restringido solo a personal autorizado.</t>
  </si>
  <si>
    <t xml:space="preserve">El laboratorio  cuenta  con señalización que indique riesgo biológico en las áreas  donde se manipulan agentes infecciosos.  </t>
  </si>
  <si>
    <t>Verificar que exista señalización en la puerta de ingreso: 1- símbolo de riesgo biológico, 2-Nivel de contención.</t>
  </si>
  <si>
    <t>Verificar que no haya espacios muy estrechos entre mesones y equipos, si se usan carros de transporte que estos transiten  sin chocar paredes o equipos.</t>
  </si>
  <si>
    <t>Verificar en el laboratorio mecanismos para el acceso autorizado del personal a las áreas analíticas incluyendo la señalización. Si el sistema de acceso no es biométrico, verificar su implementación, sí es biométrico, verificar uso en personal nuevo si procede.</t>
  </si>
  <si>
    <t>Verificar que las puertas funcionen correctamente y si tienen sistema de cerrado automático (brazo hidráulico) si no lo tienen, debe tener una señalización  o indicación  para que  el personal  verifique  que la puerta quede bien cerrada. 
Verificar que las puertas no tengan golpes, grietas y que sean de material de fácil limpieza.</t>
  </si>
  <si>
    <t>Las instalaciones adicionales para uso del personal, tales como baños, áreas de alimentación (comer/beber), e instalaciones de oficina están ubicadas fuera del espacio de trabajo (áreas analíticas del laboratorio)</t>
  </si>
  <si>
    <t>Verificar que existen los espacios que  permiten almacenar artículos personales y no compartan espacio con ropa de laboratorio</t>
  </si>
  <si>
    <t>El laboratorio cuenta con sistemas de  extracción  en las áreas de almacenamiento de productos químicos (si aplica)</t>
  </si>
  <si>
    <t>Revisar implementación del Sistema globalmente armonizado (SGA), verificar que se  dispone de los  gabinetes o estantes  de almacenamiento adecuados para cada riesgo (productos químicos  peligrosos, como aquellos con propiedades inflamables, oxidantes o corrosivas),   revisar que No se almacenan productos químicos en el suelo, verificar que no  se  almacenan productos químicos peligrosos por encima del nivel de los ojos</t>
  </si>
  <si>
    <t>Revisar etiquetado  de soluciones preparadas en el laboratorio, etiqueta integra, fecha de preparación-expiración, contenido, concentración, responsable.</t>
  </si>
  <si>
    <t>Este ítem aplica en laboratorios  que utilicen animales. Solicitar evidencia de estrategias de monitoreo de concentración residual</t>
  </si>
  <si>
    <t>Verificar que se cuente con el  equipamiento necesario acorde a las especificaciones de las muestras recibidas en el área. El espacio o equipos  deben estar claramente definidos y señalizados. Verificar que el equipo de medida registre, acorde a la especificación. El equipo de medición debe tener las actividades metrológicas vigentes y con cumplimiento de la especificación</t>
  </si>
  <si>
    <t>El Laboratorio cuenta con  espacios  para almacenamiento de muestras   de acuerdo a las actividades que  realiza  (temperatura ambiente, refrigeración o congelación) dentro de la instalación.</t>
  </si>
  <si>
    <t>Existe un profesional responsable de la gestión y seguimiento del inventario de  muestras  incluyendo cepario.</t>
  </si>
  <si>
    <t>El  personal del laboratorio que realiza las actividades de limpieza, desinfección, esterilización y recolección de la ruta sanitaria cuenta con la competencia para  realizar estas actividades.</t>
  </si>
  <si>
    <t xml:space="preserve">Cuenta con contenedores de objetos cortopunzantes  debidamente  etiquetados. </t>
  </si>
  <si>
    <t xml:space="preserve">Los residuos anatomopatológicos se segregan y almacenan adecuadamente. </t>
  </si>
  <si>
    <t>En BSL2 no es obligatorio autoclave de residuos, salvo que el análisis del riesgo lo defina como obligatorio.  Si  realizan la inactivación con autoclave  verificar  que se  cuente con un autoclave para la inactivación de residuos, verificar si ésta se encuentra con operaciones metrológicas vigentes (mantenimiento - calificación de desempeño). 
Si no se tiene, verificar manejo en ruta sanitaria, almacenamiento temporal en refrigeración/congelador, y alcance del contrato con inactivación/incineración.</t>
  </si>
  <si>
    <t xml:space="preserve">Verificar que estos residuos se segreguen y transporten en bolsas dobles,  selladas individualmente y correctamente  identificadas.
Verificar que tanto en el transporte de la ruta sanitaria y almacenamiento en el congelador (con calificación, calibración o verificación vigente) las canastas o cajas no sobrepasen los 3/4 de su capacidad y se encuentren rotuladas y cerradas. </t>
  </si>
  <si>
    <t xml:space="preserve">Revisar la instalación de los guardianes que tengan soporte, que su volumen de llenado no sobrepase las 3/4 partes de su capacidad. </t>
  </si>
  <si>
    <t xml:space="preserve">Verificar  que se cuente con rejillas disponibles e íntegras   y que  estén firmemente ancladas. </t>
  </si>
  <si>
    <t>Los muebles  (mobiliarios, gavetas  y sillas) cuentan con funciones de ajuste ergonómico, permiten la comodidad durante el trabajo y pueden ayudar a reducir la posibilidad de incidentes/accidentes.</t>
  </si>
  <si>
    <t>Verificar que en las áreas analíticas  y de actividades técnicas no  se utilicen cortinas, persianas o cualquier otro tipo de material.</t>
  </si>
  <si>
    <t>Se proporcionan espacios para que el personal deje y almacene artículos personales, prendas exteriores, zapatos, y batas de laboratorio limpias, entre otros.</t>
  </si>
  <si>
    <t>Verificar como  se documentan las capacitaciones en uso de EPP y p.ej prueba de humos
Revisar que las  capacitaciones se adecuan  a los niveles de riesgos específicos
 Verificar capacitaciones del personal frente a la normativa vigente  (Manual de OMS)</t>
  </si>
  <si>
    <t>INSTRUCCIONES</t>
  </si>
  <si>
    <t>1-Cx y Certificación</t>
  </si>
  <si>
    <t>SI</t>
  </si>
  <si>
    <t xml:space="preserve">NO </t>
  </si>
  <si>
    <t>N/A</t>
  </si>
  <si>
    <t>verificar frecuencia y concepto de la calificación</t>
  </si>
  <si>
    <t>La distribución de los espacios de trabajo  en el laboratorio permiten  el  movimiento rutinario del personal, muestras, materiales y residuos. Las actividades  dentro de los espacios del laboratorio  se pueden realizar de manera segura sin perturbar o afectar el trabajo en curso en el laboratorio.</t>
  </si>
  <si>
    <t>Durante el  recorrido  revisar  que los corredores  y las salidas están libres y  despejados de objetos o mobiliario que puedan afectar la movilidad de las personas, permitan salida sin obstáculos p.ej. en caso de emergencia, que  no se  usen como  lugares de almacenamiento</t>
  </si>
  <si>
    <t xml:space="preserve">Las puertas están ancladas de forma firme , proporcionan un cierre adecuado y son de materiales lavables e impermeables, de fácil limpieza  y desinfección,  y con una amplitud que permita movilizar equipos, materiales o residuos con facilidad.   </t>
  </si>
  <si>
    <t xml:space="preserve">Revisar que el laboratorio cuente con estantes para el almacenamiento de insumos y reactivos, que  estos estén asegurados para evitar caídas del material  y que el material  de la estantería sea resistente para los reactivos o insumos almacenados, verificar que no se almacenan reactivos e insumos en el piso.  El área debe contar con sistema de ventilación funcional.
</t>
  </si>
  <si>
    <t xml:space="preserve">Verificar si  se cuenta con los equipos para almacenamiento de reactivos. Estos equipos deben tener definida las condiciones metrológicas definidas acorde al uso previsto y ser controladas. </t>
  </si>
  <si>
    <t xml:space="preserve">Verificar que  se cuente con  el kit de derrames químicos en el área de almacenamiento. Disponibilidad de lavaojos próximo, botiquín
verificar capacitaciones del uso de kit de derrames, simulacros o simulaciones </t>
  </si>
  <si>
    <t>Verificar la segregación en el interior de las áreas en las  canecas o contenedores con sus correspondientes bolsas acorde al código de colores de acuerdo a normatividad vigente. Las canecas deben contar con tapa con cierre funcional</t>
  </si>
  <si>
    <t xml:space="preserve">Verificar programa-manual-procedimiento documentado y su correspondiente implementación (seguimiento ruta sanitaria,  contrato vigente  y con  seguimiento al  gestor, capacitaciones, plan de contingencias, registros de cuantificación).
Verificar en el personal de la ruta sanitaria el uso de elementos de protección personal  de acuerdo a lo definido en su procedimiento. </t>
  </si>
  <si>
    <t xml:space="preserve">Los sistemas de seguridad del laboratorio están definidos por la evaluación del riesgo </t>
  </si>
  <si>
    <t xml:space="preserve">Cuenta </t>
  </si>
  <si>
    <t>Cuenta</t>
  </si>
  <si>
    <t xml:space="preserve">Revisar disponibilidad en momento de visita, documentos que den cuenta del seguimiento a su cargo. Verificar capacitación en riesgo biológico, biocustodia, o lineamientos OMS versión vigente </t>
  </si>
  <si>
    <t xml:space="preserve">Se cuenta con un inventario de  muestras, incluyendo cepario,  actualizado y disponible para monitoreo y control </t>
  </si>
  <si>
    <t xml:space="preserve">Los residuos químicos se encuentran adecuadamente etiquetados, fechados  y cerrados, según la normatividad vigente. </t>
  </si>
  <si>
    <t>Si se tienen ventanas operables (se pueden abrir  y cerrar) estas cuentan con anjeo para evitar el ingreso de plagas.</t>
  </si>
  <si>
    <t>Verificar  que cuenten con anjeo en buen estado.</t>
  </si>
  <si>
    <t>Revisar altura de sillas y mesones o que estas sean  ajustables, revisar si hay  espacio disponible para las  piernas debajo de los mesones. Revisar altura de gavetas.</t>
  </si>
  <si>
    <t>El laboratorio restringe el uso de cortinas y persianas</t>
  </si>
  <si>
    <t>Verificar que los lavamanos son exclusivos para el lavado de manos y se mantienen separados de cualquier poceta donde se procesen productos químicos o líquidos contaminados. Si se tiene una antesala de ingreso y egreso general  puede estar ubicada en ese espacio la poceta para el lavado de manos.</t>
  </si>
  <si>
    <t xml:space="preserve">Evaluar con recursos físicos o seguridad y salud en el trabajo SST si se ha medido intensidad luminosa (luxómetro) y el concepto obtenido. 
Verificar luminarias disponibles, estado y si hay bombillas afectadas. </t>
  </si>
  <si>
    <t xml:space="preserve">Verificar la presencia de flujo direccional de aire, de acuerdo al análisis de riesgo
Evaluar con ingeniería - Diseño constructivo e informes de mantenimiento y calificación de desempeño del sistema donde se evidencie los diferenciales de presión de las áreas. </t>
  </si>
  <si>
    <t xml:space="preserve">El sistema HVAC  (heating, ventilación and air conditioning) del laboratorio es independiente </t>
  </si>
  <si>
    <t xml:space="preserve">Verificar el sistema de funcionamiento de la luz UV durante la visita Verificar registro de horas de uso lampara y recambio </t>
  </si>
  <si>
    <t>El laboratorio cuenta con sistemas o equipos de seguridad (como interruptores de aislamiento, sistemas de rociadores, extintores y duchas y lavaojos de emergencia)  y estos son de fácil acceso para el personal.</t>
  </si>
  <si>
    <t>Revisar accesibilidad a extintores , si son adecuados para el riesgo  y su vigencia, su disponibilidad por áreas y que se encuentren anclados y señalizados. Si hay rociadores de techo, preguntar si se purgan anualmente.
Duchas y lavaojos de fácil acceso con registro de su verificación periódica de  funcionalidad, si la ducha cuenta con sifón éste  debe contar con rejillas anti-insectos.
Verificar  ubicación de cajas de control eléctrico y consultar si el personal de laboratorio conoce su ubicación y como utilizarlo</t>
  </si>
  <si>
    <t xml:space="preserve">Verificar  que la ubicación de la cabina de seguridad biológica, no se encuentre  debajo de los ductos o con el  sistemas de ventilación o aire acondicionado en frente de tal manera que pueda afectar el funcionamiento de la misma, verificar que no se encuentren ubicadas frente a puertas de acceso al laboratorio o cerca de fuentes de calor  </t>
  </si>
  <si>
    <t>El personal del laboratorio usa de forma correcta la CSB</t>
  </si>
  <si>
    <t xml:space="preserve">Equipos de laboratorio debidamente etiquetados (riesgo biológico, radiactivo, etc.) </t>
  </si>
  <si>
    <t>Revisar disponibilidad de documento, divulgación y adherencia a lineamientos OMS vigentes</t>
  </si>
  <si>
    <t>Verificar limpieza, frecuencia, rotación desinfectantes, capacitación de personal a cargo
Los cuartos fríos   están libre  gases asfixiantes  (por ejemplo:  metano, propano, cianuro, sulfuros,  nitrógeno, argón, helio, ozono, dióxido y monóxido  de carbono)</t>
  </si>
  <si>
    <t>Verificar los datos de los responsables del laboratorio en las puertas de las áreas analíticas, visible desde fuera (datos mínimos como nombre completo, teléfono) o revisar las estrategias internas de comunicación (radio, otras), revisar contra listados de personal activo que la información se ajuste al momento evaluado en el laboratorio</t>
  </si>
  <si>
    <t>Los equipos para almacenamiento de muestras y en general todos los equipos críticos según análisis de riesgos. cuentan con el soporte y suministro eléctrico  para su funcionamiento en condiciones rutinarias  y en caso de fallos.</t>
  </si>
  <si>
    <t>Revisar que se cuenta con sistemas de respaldo energético (planta eléctrica  y que opera correctamente. Ver registros de funcionamiento del equipo de soporte eléctrico y registros de mantenimiento y carga de combustible. 
Revisar si cuenta con soporte eléctrico adicional en caso de fallas (UPS),  verificar el mantenimiento de estos equipos de soporte eléctrico UPS.</t>
  </si>
  <si>
    <t>La ubicación de las áreas de desactivación  de residuos se encuentran ubicadas  de modo que el olor y el calor excesivo generado no afecten a otras áreas o al personal del laboratorio.</t>
  </si>
  <si>
    <t>Verificar en las áreas de desactivación de residuos cuenten con ventilación adecuada, capacidad y equipamiento adecuado (autoclaves) según la evaluación del riesgo, seguimiento de condiciones ambientales (acordes a lo definido para el área/equipo), extractores según aplique.</t>
  </si>
  <si>
    <t>Si no se cuenta con un mecanismos manos libres debe existir un protocolo de uso de las perillas para evitar contaminación cruzada, si no existe ninguna de las dos cosas es NO CUMPLE.</t>
  </si>
  <si>
    <t xml:space="preserve">Verificar con el equipo de mantenimiento interno o externo si se tiene tercerizado,  que se tenga la capacidad de carga para operar todos los equipos, que no se tenga que desconectar un equipo para poder conectar otro. (Ejemplo Estudio de cálculos eléctricos). En caso de que aplique solicitar certificado RETIE (Reglamento Técnico de Instalaciones Eléctricas). </t>
  </si>
  <si>
    <t>Tiene documentado los procesos de descontaminación para realizar las operaciones de confirmación metrológicas de los equipos de laboratorio</t>
  </si>
  <si>
    <t xml:space="preserve">Verificar la existencia de la documentación. </t>
  </si>
  <si>
    <t xml:space="preserve">El control de temperatura y/o humedad está disponible para garantizar un ambiente de trabajo cómodo para que el personal y adecuado para los equipos, ensayos o metodologías. </t>
  </si>
  <si>
    <t>Revisar el programa de biocustodia, seguridad física, como se maneja la seguridad, que controles se realizan para mantener el acceso restringido a las áreas operativas, además del control de inventario de muestras y cepas.</t>
  </si>
  <si>
    <t xml:space="preserve">Ver si están instalados y si funcionan
Verificar que la magnitud de la presión diferencial de la(s) habitación(es) es mínima DP = -7.5 Pa (si se encuentra resultados en otras unidades realizar al conversión a Pascales)
Verificar el informe de calibración y la conformidad de los resultados 
</t>
  </si>
  <si>
    <t>El laboratorio manipula todo el material potencialmente infeccioso en cabina de seguridad biológica (CSB)</t>
  </si>
  <si>
    <t xml:space="preserve">Verificar durante la visita, que no se utilicen llamas abiertas dentro de la CSB, que las rejillas estén libres y que no se utilice como almacenamiento de insumos y reactivos
Verificar registros de capacitación del personal </t>
  </si>
  <si>
    <t>Se dispone de calificación de desempeño vigente de la cabina  de extracción de gases</t>
  </si>
  <si>
    <t>Los cilindros de reserva y usados cuentan con tapas o sistema de protección</t>
  </si>
  <si>
    <t>Verificar que cilindros desocupados o disponibles para nuevo uso, cuenten con tapas o sistemas de protección para proteger la llave</t>
  </si>
  <si>
    <t xml:space="preserve">Verificar señalización para aquellos equipos que por su uso representan un riesgo específico de acuerdo a la evaluación del riesgo </t>
  </si>
  <si>
    <t xml:space="preserve">Verificar que el área se encuentre separada de las áreas analíticas, de uso exclusivo, con acceso restringido y señalizado, de fácil limpieza, con ventilación e iluminación adecuada, con registros de limpieza y desinfección y provisto de extintores y kit antiderrame (biológico o químico según aplique y verificar capacitaciones, simulacros o simulaciones)
Verificar el etiquetado de los residuos (adhesivos o bolsas litografiadas) </t>
  </si>
  <si>
    <t xml:space="preserve">Item </t>
  </si>
  <si>
    <t>Información General</t>
  </si>
  <si>
    <t>En esta pestaña se completaran los datos de la visita y en el espacio calificación obtenida aparece automáticamente la calificación obtenida durante la visita, esta fila no debe completarse manualmente</t>
  </si>
  <si>
    <t>En esta pestaña las únicas opciones de calificación son CERO o CINCUENTA</t>
  </si>
  <si>
    <t>2- Si respondió SI en la pestaña 1</t>
  </si>
  <si>
    <t>El puntaje máximo en esta pestaña es de CINCUENTA, que se sumara al CINCUENTA obtenido en la pestaña 1</t>
  </si>
  <si>
    <t>3- Si respondió NO a ambas preguntas de la pestaña 1</t>
  </si>
  <si>
    <t>Asignación de puntuación.</t>
  </si>
  <si>
    <t>En esta pestaña se evaluara el cumplimiento de los procedimientos, el acatamiento del personal a los procedimientos y se revisaran los documentos que sean pertinentes</t>
  </si>
  <si>
    <t>Fecha verificación estándares (aaaa-mm-dd)</t>
  </si>
  <si>
    <t>En caso que se responda que NO a AMBAS preguntas se debe pasar a la pestaña 3 y levantar la herramienta completa.</t>
  </si>
  <si>
    <t>En este caso se debe levantar toda la herramienta y el puntaje máximo es CIEN.</t>
  </si>
  <si>
    <t>El laboratorio está comisionado en los últimos 12 meses.</t>
  </si>
  <si>
    <t>EL laboratorio esta certificado en los últimos 12 meses.</t>
  </si>
  <si>
    <t xml:space="preserve">HERRAMIENTA DE DIAGNOSTICO DE ESTANDARES DE BIOSEGURIDAD  Y BIOCUSTODIA - BBB </t>
  </si>
  <si>
    <t xml:space="preserve">Ítem </t>
  </si>
  <si>
    <t>En esta pestaña se marcara si el laboratorio tiene en los últimos doce meses un reporte de comisionamiento o certificación, en caso de marcar si a alguna de las dos preguntas se debe pasar a la pestaña 2 para poder realizar la inspección visual y evaluar el cumplimiento de los procedimientos.</t>
  </si>
  <si>
    <t>x</t>
  </si>
  <si>
    <t>LABORATORIO CLINICO</t>
  </si>
  <si>
    <t>X</t>
  </si>
  <si>
    <t>Fechas de la visita (aaaa-mm-dd)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</si>
</sst>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18" x14ac:knownFonts="1">
    <font>
      <sz val="11"/>
      <color theme="1"/>
      <name val="Calibri"/>
      <family val="2"/>
      <scheme val="minor"/>
    </font>
    <font>
      <sz val="11"/>
      <color rgb="FFFF0000"/>
      <name val="Calibri"/>
      <family val="2"/>
      <scheme val="minor"/>
    </font>
    <font>
      <b/>
      <sz val="9"/>
      <name val="Candara"/>
      <family val="2"/>
    </font>
    <font>
      <sz val="11"/>
      <name val="Calibri"/>
      <family val="2"/>
      <scheme val="minor"/>
    </font>
    <font>
      <sz val="9"/>
      <name val="Candara"/>
      <family val="2"/>
    </font>
    <font>
      <sz val="9"/>
      <color theme="1"/>
      <name val="Candara"/>
      <family val="2"/>
    </font>
    <font>
      <sz val="9"/>
      <color rgb="FFFF0000"/>
      <name val="Candara"/>
      <family val="2"/>
    </font>
    <font>
      <sz val="9"/>
      <name val="Calibri"/>
      <family val="2"/>
    </font>
    <font>
      <b/>
      <sz val="12"/>
      <name val="Candara"/>
      <family val="2"/>
    </font>
    <font>
      <sz val="11"/>
      <color theme="1"/>
      <name val="Arial"/>
      <family val="2"/>
    </font>
    <font>
      <b/>
      <sz val="12"/>
      <color theme="1"/>
      <name val="Arial"/>
      <family val="2"/>
    </font>
    <font>
      <b/>
      <sz val="11"/>
      <color theme="1"/>
      <name val="Arial"/>
      <family val="2"/>
    </font>
    <font>
      <sz val="12"/>
      <color theme="1"/>
      <name val="Arial"/>
      <family val="2"/>
    </font>
    <font>
      <sz val="11"/>
      <color theme="1"/>
      <name val="Calibri"/>
      <family val="2"/>
      <scheme val="minor"/>
    </font>
    <font>
      <b/>
      <sz val="11"/>
      <name val="Candara"/>
      <family val="2"/>
    </font>
    <font>
      <sz val="11"/>
      <name val="Arial"/>
      <family val="2"/>
    </font>
    <font>
      <b/>
      <sz val="14"/>
      <color theme="1"/>
      <name val="Arial"/>
      <family val="2"/>
    </font>
    <font>
      <sz val="12"/>
      <name val="Arial"/>
      <family val="2"/>
    </font>
  </fonts>
  <fills count="11">
    <fill>
      <patternFill patternType="none"/>
    </fill>
    <fill>
      <patternFill patternType="gray125"/>
    </fill>
    <fill>
      <patternFill patternType="solid">
        <fgColor theme="6" tint="0.39991454817346722"/>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ACB9CA"/>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2" tint="-9.9978637043366805E-2"/>
        <bgColor indexed="64"/>
      </patternFill>
    </fill>
  </fills>
  <borders count="58">
    <border>
      <left/>
      <right/>
      <top/>
      <bottom/>
      <diagonal/>
    </border>
    <border>
      <left style="medium">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medium">
        <color auto="1"/>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auto="1"/>
      </left>
      <right style="thin">
        <color auto="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style="thin">
        <color auto="1"/>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medium">
        <color auto="1"/>
      </right>
      <top style="thin">
        <color auto="1"/>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style="thin">
        <color auto="1"/>
      </top>
      <bottom/>
      <diagonal/>
    </border>
    <border>
      <left/>
      <right/>
      <top style="thin">
        <color auto="1"/>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9" fontId="13" fillId="0" borderId="0" applyFont="0" applyFill="0" applyBorder="0" applyAlignment="0" applyProtection="0"/>
  </cellStyleXfs>
  <cellXfs count="178">
    <xf numFmtId="0" fontId="0" fillId="0" borderId="0" xfId="0"/>
    <xf numFmtId="0" fontId="2" fillId="0" borderId="0" xfId="0" applyFont="1" applyAlignment="1">
      <alignment horizontal="center" vertical="center" wrapText="1"/>
    </xf>
    <xf numFmtId="0" fontId="3" fillId="0" borderId="0" xfId="0" applyFont="1"/>
    <xf numFmtId="0" fontId="4" fillId="0" borderId="0" xfId="0" applyFont="1"/>
    <xf numFmtId="0" fontId="5" fillId="0" borderId="12" xfId="0" applyFont="1" applyBorder="1" applyAlignment="1" applyProtection="1">
      <alignment vertical="center" wrapText="1"/>
      <protection locked="0"/>
    </xf>
    <xf numFmtId="0" fontId="6" fillId="0" borderId="0" xfId="0" applyFont="1"/>
    <xf numFmtId="0" fontId="1" fillId="0" borderId="0" xfId="0" applyFont="1"/>
    <xf numFmtId="0" fontId="4" fillId="4" borderId="12" xfId="0" applyFont="1" applyFill="1" applyBorder="1" applyAlignment="1">
      <alignment horizontal="left" vertical="center" wrapText="1"/>
    </xf>
    <xf numFmtId="0" fontId="4" fillId="4" borderId="12" xfId="0" applyFont="1" applyFill="1" applyBorder="1" applyAlignment="1" applyProtection="1">
      <alignment vertical="center" wrapText="1"/>
      <protection locked="0"/>
    </xf>
    <xf numFmtId="0" fontId="2" fillId="0" borderId="1" xfId="0" applyFont="1" applyBorder="1" applyAlignment="1">
      <alignment vertical="center" wrapText="1"/>
    </xf>
    <xf numFmtId="0" fontId="2" fillId="0" borderId="0" xfId="0" applyFont="1" applyAlignment="1">
      <alignment horizontal="left" vertical="center" wrapText="1" indent="2"/>
    </xf>
    <xf numFmtId="0" fontId="2" fillId="0" borderId="18" xfId="0" applyFont="1" applyBorder="1" applyAlignment="1">
      <alignment horizontal="center" vertical="center" wrapText="1"/>
    </xf>
    <xf numFmtId="0" fontId="4" fillId="0" borderId="0" xfId="0" applyFont="1" applyAlignment="1">
      <alignment vertical="center" wrapText="1"/>
    </xf>
    <xf numFmtId="0" fontId="2" fillId="0" borderId="22" xfId="0" applyFont="1" applyBorder="1" applyAlignment="1">
      <alignment horizontal="center" vertical="center" wrapText="1"/>
    </xf>
    <xf numFmtId="0" fontId="2" fillId="0" borderId="1" xfId="0" applyFont="1" applyBorder="1" applyAlignment="1" applyProtection="1">
      <alignment vertical="top"/>
      <protection locked="0"/>
    </xf>
    <xf numFmtId="0" fontId="2" fillId="6" borderId="12" xfId="0" applyFont="1" applyFill="1" applyBorder="1" applyAlignment="1" applyProtection="1">
      <alignment vertical="center"/>
      <protection locked="0"/>
    </xf>
    <xf numFmtId="0" fontId="2" fillId="2" borderId="12" xfId="0" applyFont="1" applyFill="1" applyBorder="1" applyAlignment="1" applyProtection="1">
      <alignment horizontal="center" vertical="center"/>
      <protection locked="0"/>
    </xf>
    <xf numFmtId="0" fontId="9" fillId="0" borderId="0" xfId="0" applyFont="1" applyAlignment="1">
      <alignment horizontal="center" vertical="center"/>
    </xf>
    <xf numFmtId="0" fontId="9" fillId="0" borderId="0" xfId="0" applyFont="1"/>
    <xf numFmtId="0" fontId="12" fillId="0" borderId="0" xfId="0" applyFont="1" applyAlignment="1">
      <alignment vertical="center" wrapText="1"/>
    </xf>
    <xf numFmtId="0" fontId="2" fillId="0" borderId="0" xfId="0" applyFont="1" applyAlignment="1">
      <alignment vertical="center" wrapText="1"/>
    </xf>
    <xf numFmtId="9" fontId="2" fillId="0" borderId="0" xfId="1" applyFont="1" applyAlignment="1">
      <alignment horizontal="center" vertical="center" wrapText="1"/>
    </xf>
    <xf numFmtId="0" fontId="14" fillId="0" borderId="12" xfId="0" applyFont="1" applyBorder="1" applyAlignment="1" applyProtection="1">
      <alignment horizontal="center" vertical="center" wrapText="1"/>
      <protection locked="0"/>
    </xf>
    <xf numFmtId="0" fontId="3" fillId="0" borderId="0" xfId="0" applyFont="1" applyAlignment="1">
      <alignment horizontal="center" vertical="center"/>
    </xf>
    <xf numFmtId="0" fontId="4" fillId="4" borderId="12" xfId="0" applyFont="1" applyFill="1" applyBorder="1" applyAlignment="1">
      <alignment horizontal="left" vertical="top" wrapText="1"/>
    </xf>
    <xf numFmtId="0" fontId="4" fillId="4" borderId="12" xfId="0" applyFont="1" applyFill="1" applyBorder="1" applyAlignment="1">
      <alignment vertical="center" wrapText="1"/>
    </xf>
    <xf numFmtId="0" fontId="4" fillId="4" borderId="14" xfId="0" applyFont="1" applyFill="1" applyBorder="1" applyAlignment="1">
      <alignment vertical="center" wrapText="1"/>
    </xf>
    <xf numFmtId="0" fontId="4" fillId="4" borderId="14" xfId="0" applyFont="1" applyFill="1" applyBorder="1" applyAlignment="1">
      <alignment vertical="top" wrapText="1"/>
    </xf>
    <xf numFmtId="0" fontId="4" fillId="4" borderId="14" xfId="0" applyFont="1" applyFill="1" applyBorder="1" applyAlignment="1">
      <alignment horizontal="left" vertical="center" wrapText="1"/>
    </xf>
    <xf numFmtId="0" fontId="3" fillId="0" borderId="12" xfId="0" applyFont="1" applyBorder="1" applyAlignment="1">
      <alignment horizontal="center" vertical="center"/>
    </xf>
    <xf numFmtId="0" fontId="2" fillId="2" borderId="12" xfId="0" applyFont="1" applyFill="1" applyBorder="1" applyAlignment="1">
      <alignment horizontal="center" vertical="center" wrapText="1"/>
    </xf>
    <xf numFmtId="0" fontId="11" fillId="0" borderId="35" xfId="0" applyFont="1" applyBorder="1" applyAlignment="1">
      <alignment horizontal="center" vertical="center" wrapText="1"/>
    </xf>
    <xf numFmtId="0" fontId="11" fillId="0" borderId="0" xfId="0" applyFont="1" applyAlignment="1">
      <alignment horizontal="center" vertical="center" wrapText="1"/>
    </xf>
    <xf numFmtId="0" fontId="11" fillId="0" borderId="39" xfId="0" applyFont="1" applyBorder="1" applyAlignment="1">
      <alignment horizontal="center" vertical="center"/>
    </xf>
    <xf numFmtId="0" fontId="11" fillId="0" borderId="35" xfId="0" applyFont="1" applyBorder="1" applyAlignment="1">
      <alignment horizontal="center" vertical="center"/>
    </xf>
    <xf numFmtId="0" fontId="4" fillId="0" borderId="12" xfId="0" applyFont="1" applyBorder="1" applyAlignment="1" applyProtection="1">
      <alignment horizontal="center"/>
      <protection locked="0"/>
    </xf>
    <xf numFmtId="0" fontId="4" fillId="0" borderId="12" xfId="0" applyFont="1" applyBorder="1" applyAlignment="1" applyProtection="1">
      <alignment horizontal="center" vertical="center"/>
      <protection locked="0"/>
    </xf>
    <xf numFmtId="14" fontId="4" fillId="0" borderId="12" xfId="0" applyNumberFormat="1" applyFont="1" applyBorder="1" applyAlignment="1" applyProtection="1">
      <alignment horizontal="center" vertical="center"/>
      <protection locked="0"/>
    </xf>
    <xf numFmtId="164" fontId="4" fillId="0" borderId="12" xfId="0" applyNumberFormat="1" applyFont="1" applyBorder="1" applyAlignment="1" applyProtection="1">
      <alignment horizontal="center" vertical="center"/>
      <protection locked="0"/>
    </xf>
    <xf numFmtId="0" fontId="4" fillId="0" borderId="12" xfId="0" applyFont="1" applyBorder="1"/>
    <xf numFmtId="2" fontId="12" fillId="9" borderId="12" xfId="0" applyNumberFormat="1" applyFont="1" applyFill="1" applyBorder="1" applyAlignment="1" applyProtection="1">
      <alignment horizontal="left" vertical="center" wrapText="1"/>
      <protection locked="0"/>
    </xf>
    <xf numFmtId="0" fontId="12" fillId="0" borderId="12" xfId="0" applyFont="1" applyBorder="1" applyAlignment="1" applyProtection="1">
      <alignment horizontal="left" vertical="center"/>
      <protection locked="0"/>
    </xf>
    <xf numFmtId="0" fontId="9" fillId="0" borderId="12" xfId="0" applyFont="1" applyBorder="1" applyAlignment="1" applyProtection="1">
      <alignment horizontal="left" vertical="center"/>
      <protection locked="0"/>
    </xf>
    <xf numFmtId="0" fontId="10" fillId="8" borderId="1" xfId="0" applyFont="1" applyFill="1" applyBorder="1" applyAlignment="1">
      <alignment horizontal="center" vertical="center" wrapText="1"/>
    </xf>
    <xf numFmtId="0" fontId="10" fillId="0" borderId="12" xfId="0" applyFont="1" applyBorder="1" applyAlignment="1">
      <alignment horizontal="center" vertical="center"/>
    </xf>
    <xf numFmtId="2" fontId="12" fillId="9" borderId="12" xfId="0" applyNumberFormat="1" applyFont="1" applyFill="1" applyBorder="1" applyAlignment="1">
      <alignment horizontal="left" vertical="center"/>
    </xf>
    <xf numFmtId="2" fontId="17" fillId="9" borderId="12" xfId="0" applyNumberFormat="1" applyFont="1" applyFill="1" applyBorder="1" applyAlignment="1">
      <alignment horizontal="left" vertical="center"/>
    </xf>
    <xf numFmtId="2" fontId="12" fillId="9" borderId="12" xfId="0" applyNumberFormat="1" applyFont="1" applyFill="1" applyBorder="1" applyAlignment="1">
      <alignment horizontal="left" vertical="center" wrapText="1"/>
    </xf>
    <xf numFmtId="0" fontId="12" fillId="9" borderId="17" xfId="0" applyFont="1" applyFill="1" applyBorder="1" applyAlignment="1">
      <alignment horizontal="left" vertical="center" wrapText="1"/>
    </xf>
    <xf numFmtId="0" fontId="4" fillId="0" borderId="11" xfId="0" applyFont="1" applyBorder="1" applyAlignment="1" applyProtection="1">
      <alignment vertical="center" wrapText="1"/>
      <protection locked="0"/>
    </xf>
    <xf numFmtId="0" fontId="4" fillId="0" borderId="11" xfId="0" applyFont="1" applyBorder="1" applyAlignment="1">
      <alignment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6" borderId="12" xfId="0" applyFont="1" applyFill="1" applyBorder="1" applyAlignment="1">
      <alignment vertical="center"/>
    </xf>
    <xf numFmtId="0" fontId="2" fillId="2" borderId="12" xfId="0" applyFont="1" applyFill="1" applyBorder="1" applyAlignment="1">
      <alignment horizontal="center" vertical="center"/>
    </xf>
    <xf numFmtId="0" fontId="4" fillId="3" borderId="12" xfId="0" applyFont="1" applyFill="1" applyBorder="1" applyAlignment="1">
      <alignment vertical="center" wrapText="1"/>
    </xf>
    <xf numFmtId="0" fontId="4" fillId="0" borderId="12" xfId="0" applyFont="1" applyBorder="1" applyAlignment="1">
      <alignment horizontal="left" vertical="center" wrapText="1"/>
    </xf>
    <xf numFmtId="0" fontId="4" fillId="0" borderId="12" xfId="0" applyFont="1" applyBorder="1" applyAlignment="1">
      <alignment vertical="center" wrapText="1"/>
    </xf>
    <xf numFmtId="0" fontId="4" fillId="3" borderId="12" xfId="0" applyFont="1" applyFill="1" applyBorder="1" applyAlignment="1">
      <alignment horizontal="left" vertical="center" wrapText="1"/>
    </xf>
    <xf numFmtId="0" fontId="4" fillId="0" borderId="12" xfId="0" applyFont="1" applyBorder="1" applyAlignment="1">
      <alignment horizontal="left" vertical="top" wrapText="1"/>
    </xf>
    <xf numFmtId="0" fontId="4" fillId="4" borderId="12" xfId="0" applyFont="1" applyFill="1" applyBorder="1" applyAlignment="1" applyProtection="1">
      <alignment horizontal="left" vertical="center" wrapText="1"/>
      <protection locked="0"/>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0" fillId="7" borderId="31"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9" fillId="0" borderId="31" xfId="0" applyFont="1" applyBorder="1" applyAlignment="1">
      <alignment horizontal="left" vertical="center" wrapText="1"/>
    </xf>
    <xf numFmtId="0" fontId="11" fillId="0" borderId="5" xfId="0" applyFont="1" applyBorder="1" applyAlignment="1">
      <alignment horizontal="left" vertical="center" wrapText="1"/>
    </xf>
    <xf numFmtId="0" fontId="11" fillId="0" borderId="32" xfId="0"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18" xfId="0" applyFont="1" applyBorder="1" applyAlignment="1">
      <alignment horizontal="left" vertical="center" wrapText="1"/>
    </xf>
    <xf numFmtId="0" fontId="11" fillId="0" borderId="52" xfId="0" applyFont="1" applyBorder="1" applyAlignment="1">
      <alignment horizontal="left" vertical="center" wrapText="1"/>
    </xf>
    <xf numFmtId="0" fontId="11" fillId="0" borderId="40" xfId="0" applyFont="1" applyBorder="1" applyAlignment="1">
      <alignment horizontal="left" vertical="center" wrapText="1"/>
    </xf>
    <xf numFmtId="0" fontId="11" fillId="0" borderId="41" xfId="0" applyFont="1" applyBorder="1" applyAlignment="1">
      <alignment horizontal="left" vertical="center" wrapText="1"/>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11" fillId="0" borderId="51" xfId="0" applyFont="1" applyBorder="1" applyAlignment="1">
      <alignment horizontal="center" vertical="center" wrapText="1"/>
    </xf>
    <xf numFmtId="0" fontId="15" fillId="0" borderId="29" xfId="0" applyFont="1" applyBorder="1" applyAlignment="1">
      <alignment horizontal="left" vertical="center" wrapText="1"/>
    </xf>
    <xf numFmtId="0" fontId="15" fillId="0" borderId="43" xfId="0" applyFont="1" applyBorder="1" applyAlignment="1">
      <alignment horizontal="left" vertical="center" wrapText="1"/>
    </xf>
    <xf numFmtId="0" fontId="15" fillId="0" borderId="44" xfId="0" applyFont="1" applyBorder="1" applyAlignment="1">
      <alignment horizontal="left" vertical="center" wrapText="1"/>
    </xf>
    <xf numFmtId="0" fontId="15" fillId="0" borderId="14" xfId="0" applyFont="1" applyBorder="1" applyAlignment="1">
      <alignment horizontal="left" vertical="center" wrapText="1"/>
    </xf>
    <xf numFmtId="0" fontId="15" fillId="0" borderId="12" xfId="0" applyFont="1" applyBorder="1" applyAlignment="1">
      <alignment horizontal="left" vertical="center" wrapText="1"/>
    </xf>
    <xf numFmtId="0" fontId="15" fillId="0" borderId="15" xfId="0" applyFont="1" applyBorder="1" applyAlignment="1">
      <alignment horizontal="left" vertical="center" wrapText="1"/>
    </xf>
    <xf numFmtId="0" fontId="15" fillId="0" borderId="30"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1" fillId="0" borderId="2"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37" xfId="0" applyFont="1" applyBorder="1" applyAlignment="1">
      <alignment horizontal="center" vertical="center" wrapText="1"/>
    </xf>
    <xf numFmtId="0" fontId="9" fillId="0" borderId="4" xfId="0" applyFont="1" applyBorder="1" applyAlignment="1">
      <alignment horizontal="left" vertical="center"/>
    </xf>
    <xf numFmtId="0" fontId="9" fillId="0" borderId="5" xfId="0" applyFont="1" applyBorder="1" applyAlignment="1">
      <alignment horizontal="left" vertical="center"/>
    </xf>
    <xf numFmtId="0" fontId="9" fillId="0" borderId="32" xfId="0" applyFont="1" applyBorder="1" applyAlignment="1">
      <alignment horizontal="left" vertical="center"/>
    </xf>
    <xf numFmtId="0" fontId="9" fillId="0" borderId="34" xfId="0" applyFont="1" applyBorder="1" applyAlignment="1">
      <alignment horizontal="left" vertical="center"/>
    </xf>
    <xf numFmtId="0" fontId="9" fillId="0" borderId="0" xfId="0" applyFont="1" applyAlignment="1">
      <alignment horizontal="left" vertical="center"/>
    </xf>
    <xf numFmtId="0" fontId="9" fillId="0" borderId="18" xfId="0" applyFont="1" applyBorder="1" applyAlignment="1">
      <alignment horizontal="left" vertical="center"/>
    </xf>
    <xf numFmtId="0" fontId="9" fillId="0" borderId="39" xfId="0" applyFont="1" applyBorder="1" applyAlignment="1">
      <alignment horizontal="left" vertical="center"/>
    </xf>
    <xf numFmtId="0" fontId="9" fillId="0" borderId="40" xfId="0" applyFont="1" applyBorder="1" applyAlignment="1">
      <alignment horizontal="left" vertical="center"/>
    </xf>
    <xf numFmtId="0" fontId="9" fillId="0" borderId="41" xfId="0" applyFont="1" applyBorder="1" applyAlignment="1">
      <alignment horizontal="left" vertical="center"/>
    </xf>
    <xf numFmtId="0" fontId="11" fillId="0" borderId="1" xfId="0" applyFont="1" applyBorder="1" applyAlignment="1">
      <alignment horizontal="center" vertical="center"/>
    </xf>
    <xf numFmtId="0" fontId="11" fillId="0" borderId="37" xfId="0" applyFont="1" applyBorder="1" applyAlignment="1">
      <alignment horizontal="center" vertical="center"/>
    </xf>
    <xf numFmtId="0" fontId="11" fillId="0" borderId="0" xfId="0" applyFont="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1" xfId="0" applyFont="1" applyBorder="1" applyAlignment="1">
      <alignment horizontal="center" vertical="center" wrapText="1"/>
    </xf>
    <xf numFmtId="0" fontId="15" fillId="0" borderId="10" xfId="0" applyFont="1" applyBorder="1" applyAlignment="1">
      <alignment horizontal="left" vertical="center" wrapText="1"/>
    </xf>
    <xf numFmtId="0" fontId="15" fillId="0" borderId="7" xfId="0" applyFont="1" applyBorder="1" applyAlignment="1">
      <alignment horizontal="left" vertical="center" wrapText="1"/>
    </xf>
    <xf numFmtId="0" fontId="15" fillId="0" borderId="46" xfId="0" applyFont="1" applyBorder="1" applyAlignment="1">
      <alignment horizontal="left" vertical="center" wrapText="1"/>
    </xf>
    <xf numFmtId="0" fontId="15" fillId="0" borderId="33" xfId="0" applyFont="1" applyBorder="1" applyAlignment="1">
      <alignment horizontal="left" vertical="center" wrapText="1"/>
    </xf>
    <xf numFmtId="0" fontId="15" fillId="0" borderId="17" xfId="0" applyFont="1" applyBorder="1" applyAlignment="1">
      <alignment horizontal="left" vertical="center" wrapText="1"/>
    </xf>
    <xf numFmtId="0" fontId="15" fillId="0" borderId="42" xfId="0" applyFont="1" applyBorder="1" applyAlignment="1">
      <alignment horizontal="left" vertical="center" wrapText="1"/>
    </xf>
    <xf numFmtId="0" fontId="9" fillId="0" borderId="29" xfId="0" applyFont="1" applyBorder="1" applyAlignment="1">
      <alignment horizontal="left" vertical="center"/>
    </xf>
    <xf numFmtId="0" fontId="9" fillId="0" borderId="43" xfId="0" applyFont="1" applyBorder="1" applyAlignment="1">
      <alignment horizontal="left" vertical="center"/>
    </xf>
    <xf numFmtId="0" fontId="9" fillId="0" borderId="44" xfId="0" applyFont="1" applyBorder="1" applyAlignment="1">
      <alignment horizontal="left" vertical="center"/>
    </xf>
    <xf numFmtId="0" fontId="9" fillId="0" borderId="30" xfId="0" applyFont="1" applyBorder="1" applyAlignment="1">
      <alignment horizontal="left" vertical="center"/>
    </xf>
    <xf numFmtId="0" fontId="9" fillId="0" borderId="38" xfId="0" applyFont="1" applyBorder="1" applyAlignment="1">
      <alignment horizontal="left" vertical="center"/>
    </xf>
    <xf numFmtId="0" fontId="9" fillId="0" borderId="45" xfId="0" applyFont="1" applyBorder="1" applyAlignment="1">
      <alignment horizontal="left" vertical="center"/>
    </xf>
    <xf numFmtId="0" fontId="9" fillId="0" borderId="47" xfId="0" applyFont="1" applyBorder="1" applyAlignment="1">
      <alignment horizontal="left" vertical="center" wrapText="1"/>
    </xf>
    <xf numFmtId="0" fontId="9" fillId="0" borderId="43" xfId="0" applyFont="1" applyBorder="1" applyAlignment="1">
      <alignment horizontal="left" vertical="center" wrapText="1"/>
    </xf>
    <xf numFmtId="0" fontId="9" fillId="0" borderId="44"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9" fillId="0" borderId="15" xfId="0" applyFont="1" applyBorder="1" applyAlignment="1">
      <alignment horizontal="left" vertical="center" wrapText="1"/>
    </xf>
    <xf numFmtId="0" fontId="9" fillId="0" borderId="48" xfId="0" applyFont="1" applyBorder="1" applyAlignment="1">
      <alignment horizontal="left" vertical="center" wrapText="1"/>
    </xf>
    <xf numFmtId="0" fontId="9" fillId="0" borderId="38" xfId="0" applyFont="1" applyBorder="1" applyAlignment="1">
      <alignment horizontal="left" vertical="center" wrapText="1"/>
    </xf>
    <xf numFmtId="0" fontId="9" fillId="0" borderId="45" xfId="0" applyFont="1" applyBorder="1" applyAlignment="1">
      <alignment horizontal="left" vertical="center" wrapText="1"/>
    </xf>
    <xf numFmtId="9" fontId="9" fillId="0" borderId="7" xfId="0" applyNumberFormat="1" applyFont="1" applyBorder="1" applyAlignment="1">
      <alignment horizontal="left" vertical="center" wrapText="1"/>
    </xf>
    <xf numFmtId="9" fontId="9" fillId="0" borderId="46" xfId="0" applyNumberFormat="1" applyFont="1" applyBorder="1" applyAlignment="1">
      <alignment horizontal="left" vertical="center" wrapText="1"/>
    </xf>
    <xf numFmtId="9" fontId="9" fillId="0" borderId="12" xfId="0" applyNumberFormat="1" applyFont="1" applyBorder="1" applyAlignment="1">
      <alignment horizontal="left" vertical="center" wrapText="1"/>
    </xf>
    <xf numFmtId="9" fontId="9" fillId="0" borderId="15" xfId="0" applyNumberFormat="1" applyFont="1" applyBorder="1" applyAlignment="1">
      <alignment horizontal="left" vertical="center" wrapText="1"/>
    </xf>
    <xf numFmtId="9" fontId="9" fillId="0" borderId="38" xfId="0" applyNumberFormat="1" applyFont="1" applyBorder="1" applyAlignment="1">
      <alignment horizontal="left" vertical="center" wrapText="1"/>
    </xf>
    <xf numFmtId="9" fontId="9" fillId="0" borderId="45" xfId="0" applyNumberFormat="1" applyFont="1" applyBorder="1" applyAlignment="1">
      <alignment horizontal="left" vertical="center" wrapText="1"/>
    </xf>
    <xf numFmtId="0" fontId="11" fillId="0" borderId="3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55" xfId="0" applyFont="1" applyBorder="1" applyAlignment="1" applyProtection="1">
      <alignment horizontal="left" vertical="center" wrapText="1"/>
      <protection locked="0"/>
    </xf>
    <xf numFmtId="0" fontId="12" fillId="0" borderId="56" xfId="0" applyFont="1" applyBorder="1" applyAlignment="1" applyProtection="1">
      <alignment horizontal="left" vertical="center" wrapText="1"/>
      <protection locked="0"/>
    </xf>
    <xf numFmtId="0" fontId="12" fillId="0" borderId="57" xfId="0" applyFont="1" applyBorder="1" applyAlignment="1" applyProtection="1">
      <alignment horizontal="left" vertical="center" wrapText="1"/>
      <protection locked="0"/>
    </xf>
    <xf numFmtId="0" fontId="12" fillId="0" borderId="12" xfId="0" applyFont="1" applyBorder="1" applyAlignment="1" applyProtection="1">
      <alignment horizontal="left" vertical="center"/>
      <protection locked="0"/>
    </xf>
    <xf numFmtId="0" fontId="10" fillId="8" borderId="12" xfId="0" applyFont="1" applyFill="1" applyBorder="1" applyAlignment="1">
      <alignment horizontal="center" vertical="center" wrapText="1"/>
    </xf>
    <xf numFmtId="0" fontId="10" fillId="0" borderId="12" xfId="0" applyFont="1" applyBorder="1" applyAlignment="1">
      <alignment horizontal="center" vertical="center"/>
    </xf>
    <xf numFmtId="2" fontId="9" fillId="4" borderId="12" xfId="0" applyNumberFormat="1" applyFont="1" applyFill="1" applyBorder="1" applyAlignment="1" applyProtection="1">
      <alignment horizontal="center" vertical="center" wrapText="1"/>
      <protection locked="0"/>
    </xf>
    <xf numFmtId="9" fontId="16" fillId="9" borderId="53" xfId="0" applyNumberFormat="1" applyFont="1" applyFill="1" applyBorder="1" applyAlignment="1">
      <alignment horizontal="center" vertical="center" wrapText="1"/>
    </xf>
    <xf numFmtId="0" fontId="16" fillId="9" borderId="54" xfId="0" applyFont="1" applyFill="1" applyBorder="1" applyAlignment="1">
      <alignment horizontal="center" vertical="center" wrapText="1"/>
    </xf>
    <xf numFmtId="0" fontId="16" fillId="9" borderId="33" xfId="0" applyFont="1" applyFill="1" applyBorder="1" applyAlignment="1">
      <alignment horizontal="center" vertical="center" wrapText="1"/>
    </xf>
    <xf numFmtId="2" fontId="10" fillId="8" borderId="26" xfId="0" applyNumberFormat="1" applyFont="1" applyFill="1" applyBorder="1" applyAlignment="1" applyProtection="1">
      <alignment horizontal="center" vertical="center" wrapText="1"/>
      <protection locked="0"/>
    </xf>
    <xf numFmtId="2" fontId="10" fillId="8" borderId="27" xfId="0" applyNumberFormat="1" applyFont="1" applyFill="1" applyBorder="1" applyAlignment="1" applyProtection="1">
      <alignment horizontal="center" vertical="center" wrapText="1"/>
      <protection locked="0"/>
    </xf>
    <xf numFmtId="2" fontId="10" fillId="8" borderId="28" xfId="0" applyNumberFormat="1" applyFont="1" applyFill="1" applyBorder="1" applyAlignment="1" applyProtection="1">
      <alignment horizontal="center" vertical="center" wrapText="1"/>
      <protection locked="0"/>
    </xf>
    <xf numFmtId="0" fontId="10" fillId="7" borderId="23"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1" fillId="0" borderId="24" xfId="0" applyFont="1" applyBorder="1" applyAlignment="1">
      <alignment horizontal="center" vertical="center" wrapText="1"/>
    </xf>
    <xf numFmtId="165" fontId="9" fillId="9" borderId="16" xfId="0" applyNumberFormat="1" applyFont="1" applyFill="1" applyBorder="1" applyAlignment="1" applyProtection="1">
      <alignment horizontal="center" vertical="center" wrapText="1"/>
      <protection locked="0"/>
    </xf>
    <xf numFmtId="165" fontId="9" fillId="9" borderId="13" xfId="0" applyNumberFormat="1" applyFont="1" applyFill="1" applyBorder="1" applyAlignment="1" applyProtection="1">
      <alignment horizontal="center" vertical="center" wrapText="1"/>
      <protection locked="0"/>
    </xf>
    <xf numFmtId="165" fontId="9" fillId="9" borderId="14" xfId="0" applyNumberFormat="1" applyFont="1" applyFill="1" applyBorder="1" applyAlignment="1" applyProtection="1">
      <alignment horizontal="center" vertical="center" wrapText="1"/>
      <protection locked="0"/>
    </xf>
    <xf numFmtId="0" fontId="10" fillId="8" borderId="23" xfId="0" applyFont="1" applyFill="1" applyBorder="1" applyAlignment="1">
      <alignment horizontal="center" vertical="center"/>
    </xf>
    <xf numFmtId="0" fontId="10" fillId="8" borderId="24" xfId="0" applyFont="1" applyFill="1" applyBorder="1" applyAlignment="1">
      <alignment horizontal="center" vertical="center"/>
    </xf>
    <xf numFmtId="0" fontId="10" fillId="8" borderId="25" xfId="0" applyFont="1" applyFill="1" applyBorder="1" applyAlignment="1">
      <alignment horizontal="center" vertical="center"/>
    </xf>
    <xf numFmtId="0" fontId="4" fillId="0" borderId="12" xfId="0" applyFont="1" applyBorder="1" applyAlignment="1" applyProtection="1">
      <alignment horizontal="left" vertical="center" wrapText="1"/>
      <protection locked="0"/>
    </xf>
    <xf numFmtId="0" fontId="4" fillId="0" borderId="0" xfId="0" applyFont="1" applyAlignment="1" applyProtection="1">
      <alignment horizontal="center" vertical="top"/>
      <protection locked="0"/>
    </xf>
    <xf numFmtId="0" fontId="4" fillId="0" borderId="18" xfId="0" applyFont="1" applyBorder="1" applyAlignment="1" applyProtection="1">
      <alignment horizontal="center" vertical="top"/>
      <protection locked="0"/>
    </xf>
    <xf numFmtId="0" fontId="4" fillId="0" borderId="12" xfId="0" applyFont="1" applyBorder="1" applyAlignment="1" applyProtection="1">
      <alignment horizontal="left" vertical="top" wrapText="1"/>
      <protection locked="0"/>
    </xf>
    <xf numFmtId="0" fontId="2" fillId="2" borderId="16"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5" borderId="20" xfId="0" applyFont="1" applyFill="1" applyBorder="1" applyAlignment="1">
      <alignment horizontal="center" vertical="center" wrapText="1"/>
    </xf>
    <xf numFmtId="9" fontId="8" fillId="0" borderId="21" xfId="0" applyNumberFormat="1" applyFont="1" applyBorder="1" applyAlignment="1">
      <alignment horizontal="center" vertical="center" wrapText="1"/>
    </xf>
    <xf numFmtId="0" fontId="8" fillId="0" borderId="2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4" fillId="0" borderId="12" xfId="0" applyFont="1" applyBorder="1" applyAlignment="1" applyProtection="1">
      <alignment horizontal="left" vertical="center"/>
      <protection locked="0"/>
    </xf>
    <xf numFmtId="0" fontId="2" fillId="2" borderId="16"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920751</xdr:colOff>
      <xdr:row>0</xdr:row>
      <xdr:rowOff>0</xdr:rowOff>
    </xdr:from>
    <xdr:to>
      <xdr:col>0</xdr:col>
      <xdr:colOff>2643189</xdr:colOff>
      <xdr:row>0</xdr:row>
      <xdr:rowOff>675789</xdr:rowOff>
    </xdr:to>
    <xdr:pic>
      <xdr:nvPicPr>
        <xdr:cNvPr id="3" name="Imagen 2">
          <a:extLst>
            <a:ext uri="{FF2B5EF4-FFF2-40B4-BE49-F238E27FC236}">
              <a16:creationId xmlns:a16="http://schemas.microsoft.com/office/drawing/2014/main" id="{DF8CEEEC-5104-6444-085D-C309E46E5F40}"/>
            </a:ext>
          </a:extLst>
        </xdr:cNvPr>
        <xdr:cNvPicPr>
          <a:picLocks noChangeAspect="1"/>
        </xdr:cNvPicPr>
      </xdr:nvPicPr>
      <xdr:blipFill>
        <a:blip xmlns:r="http://schemas.openxmlformats.org/officeDocument/2006/relationships" r:embed="rId1"/>
        <a:stretch>
          <a:fillRect/>
        </a:stretch>
      </xdr:blipFill>
      <xdr:spPr>
        <a:xfrm>
          <a:off x="920751" y="0"/>
          <a:ext cx="1722438" cy="6757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762000</xdr:colOff>
      <xdr:row>0</xdr:row>
      <xdr:rowOff>9525</xdr:rowOff>
    </xdr:from>
    <xdr:to>
      <xdr:col>1</xdr:col>
      <xdr:colOff>171450</xdr:colOff>
      <xdr:row>0</xdr:row>
      <xdr:rowOff>835420</xdr:rowOff>
    </xdr:to>
    <xdr:pic>
      <xdr:nvPicPr>
        <xdr:cNvPr id="3" name="Imagen 2">
          <a:extLst>
            <a:ext uri="{FF2B5EF4-FFF2-40B4-BE49-F238E27FC236}">
              <a16:creationId xmlns:a16="http://schemas.microsoft.com/office/drawing/2014/main" id="{F06A38F3-8E6C-C983-DA68-DCDDB61FD920}"/>
            </a:ext>
          </a:extLst>
        </xdr:cNvPr>
        <xdr:cNvPicPr>
          <a:picLocks noChangeAspect="1"/>
        </xdr:cNvPicPr>
      </xdr:nvPicPr>
      <xdr:blipFill>
        <a:blip xmlns:r="http://schemas.openxmlformats.org/officeDocument/2006/relationships" r:embed="rId1"/>
        <a:stretch>
          <a:fillRect/>
        </a:stretch>
      </xdr:blipFill>
      <xdr:spPr>
        <a:xfrm>
          <a:off x="762000" y="9525"/>
          <a:ext cx="2105025" cy="825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960438</xdr:colOff>
      <xdr:row>0</xdr:row>
      <xdr:rowOff>39688</xdr:rowOff>
    </xdr:from>
    <xdr:to>
      <xdr:col>2</xdr:col>
      <xdr:colOff>547687</xdr:colOff>
      <xdr:row>0</xdr:row>
      <xdr:rowOff>812018</xdr:rowOff>
    </xdr:to>
    <xdr:pic>
      <xdr:nvPicPr>
        <xdr:cNvPr id="4" name="Imagen 3">
          <a:extLst>
            <a:ext uri="{FF2B5EF4-FFF2-40B4-BE49-F238E27FC236}">
              <a16:creationId xmlns:a16="http://schemas.microsoft.com/office/drawing/2014/main" id="{2438C6CB-3BBE-00FF-D366-CF022B251B50}"/>
            </a:ext>
          </a:extLst>
        </xdr:cNvPr>
        <xdr:cNvPicPr>
          <a:picLocks noChangeAspect="1"/>
        </xdr:cNvPicPr>
      </xdr:nvPicPr>
      <xdr:blipFill>
        <a:blip xmlns:r="http://schemas.openxmlformats.org/officeDocument/2006/relationships" r:embed="rId1"/>
        <a:stretch>
          <a:fillRect/>
        </a:stretch>
      </xdr:blipFill>
      <xdr:spPr>
        <a:xfrm>
          <a:off x="1039813" y="39688"/>
          <a:ext cx="1968499" cy="7723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952501</xdr:colOff>
      <xdr:row>0</xdr:row>
      <xdr:rowOff>1</xdr:rowOff>
    </xdr:from>
    <xdr:to>
      <xdr:col>2</xdr:col>
      <xdr:colOff>564173</xdr:colOff>
      <xdr:row>0</xdr:row>
      <xdr:rowOff>781913</xdr:rowOff>
    </xdr:to>
    <xdr:pic>
      <xdr:nvPicPr>
        <xdr:cNvPr id="7" name="Imagen 6">
          <a:extLst>
            <a:ext uri="{FF2B5EF4-FFF2-40B4-BE49-F238E27FC236}">
              <a16:creationId xmlns:a16="http://schemas.microsoft.com/office/drawing/2014/main" id="{52BE3DFE-388C-D3EE-D504-CA0D93AF1A44}"/>
            </a:ext>
          </a:extLst>
        </xdr:cNvPr>
        <xdr:cNvPicPr>
          <a:picLocks noChangeAspect="1"/>
        </xdr:cNvPicPr>
      </xdr:nvPicPr>
      <xdr:blipFill>
        <a:blip xmlns:r="http://schemas.openxmlformats.org/officeDocument/2006/relationships" r:embed="rId1"/>
        <a:stretch>
          <a:fillRect/>
        </a:stretch>
      </xdr:blipFill>
      <xdr:spPr>
        <a:xfrm>
          <a:off x="1245578" y="1"/>
          <a:ext cx="1992922" cy="78191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205740</xdr:colOff>
      <xdr:row>69</xdr:row>
      <xdr:rowOff>18984</xdr:rowOff>
    </xdr:from>
    <xdr:to>
      <xdr:col>2</xdr:col>
      <xdr:colOff>1754505</xdr:colOff>
      <xdr:row>70</xdr:row>
      <xdr:rowOff>0</xdr:rowOff>
    </xdr:to>
    <xdr:pic>
      <xdr:nvPicPr>
        <xdr:cNvPr id="2" name="Picture 1">
          <a:extLst>
            <a:ext uri="{FF2B5EF4-FFF2-40B4-BE49-F238E27FC236}">
              <a16:creationId xmlns:a16="http://schemas.microsoft.com/office/drawing/2014/main" id="{161D3E02-2AC0-44DC-8BCE-18F572079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51760" y="57321384"/>
          <a:ext cx="1548765" cy="1771716"/>
        </a:xfrm>
        <a:prstGeom prst="rect">
          <a:avLst/>
        </a:prstGeom>
      </xdr:spPr>
    </xdr:pic>
    <xdr:clientData/>
  </xdr:twoCellAnchor>
  <xdr:twoCellAnchor editAs="oneCell">
    <xdr:from>
      <xdr:col>1</xdr:col>
      <xdr:colOff>968375</xdr:colOff>
      <xdr:row>0</xdr:row>
      <xdr:rowOff>1</xdr:rowOff>
    </xdr:from>
    <xdr:to>
      <xdr:col>2</xdr:col>
      <xdr:colOff>642938</xdr:colOff>
      <xdr:row>0</xdr:row>
      <xdr:rowOff>806589</xdr:rowOff>
    </xdr:to>
    <xdr:pic>
      <xdr:nvPicPr>
        <xdr:cNvPr id="5" name="Imagen 4">
          <a:extLst>
            <a:ext uri="{FF2B5EF4-FFF2-40B4-BE49-F238E27FC236}">
              <a16:creationId xmlns:a16="http://schemas.microsoft.com/office/drawing/2014/main" id="{2EB0236E-A951-EE90-D289-89EB14EFA2BE}"/>
            </a:ext>
          </a:extLst>
        </xdr:cNvPr>
        <xdr:cNvPicPr>
          <a:picLocks noChangeAspect="1"/>
        </xdr:cNvPicPr>
      </xdr:nvPicPr>
      <xdr:blipFill>
        <a:blip xmlns:r="http://schemas.openxmlformats.org/officeDocument/2006/relationships" r:embed="rId2"/>
        <a:stretch>
          <a:fillRect/>
        </a:stretch>
      </xdr:blipFill>
      <xdr:spPr>
        <a:xfrm>
          <a:off x="1301750" y="1"/>
          <a:ext cx="2055813" cy="8065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6"/>
  <sheetViews>
    <sheetView tabSelected="1" zoomScale="120" zoomScaleNormal="120" workbookViewId="0">
      <selection activeCell="B26" sqref="B26"/>
    </sheetView>
  </sheetViews>
  <sheetFormatPr baseColWidth="10" defaultColWidth="11" defaultRowHeight="14.4" x14ac:dyDescent="0.3"/>
  <cols>
    <col min="1" max="1" width="40.44140625" customWidth="1"/>
    <col min="13" max="14" width="11" hidden="1" customWidth="1"/>
  </cols>
  <sheetData>
    <row r="1" spans="1:14" ht="57" customHeight="1" x14ac:dyDescent="0.3">
      <c r="A1" s="61" t="s">
        <v>0</v>
      </c>
      <c r="B1" s="62"/>
      <c r="C1" s="62"/>
      <c r="D1" s="62"/>
      <c r="E1" s="62"/>
      <c r="F1" s="62"/>
      <c r="G1" s="62"/>
      <c r="H1" s="62"/>
      <c r="I1" s="62"/>
      <c r="J1" s="62"/>
      <c r="K1" s="17"/>
    </row>
    <row r="2" spans="1:14" ht="15" thickBot="1" x14ac:dyDescent="0.35">
      <c r="A2" s="18"/>
      <c r="B2" s="18"/>
      <c r="C2" s="18"/>
      <c r="D2" s="17"/>
      <c r="E2" s="17"/>
      <c r="F2" s="17"/>
      <c r="G2" s="18"/>
      <c r="H2" s="17"/>
      <c r="I2" s="17"/>
      <c r="J2" s="17"/>
      <c r="K2" s="17"/>
    </row>
    <row r="3" spans="1:14" ht="33" customHeight="1" thickBot="1" x14ac:dyDescent="0.35">
      <c r="A3" s="63" t="s">
        <v>174</v>
      </c>
      <c r="B3" s="64"/>
      <c r="C3" s="64"/>
      <c r="D3" s="64"/>
      <c r="E3" s="64"/>
      <c r="F3" s="64"/>
      <c r="G3" s="64"/>
      <c r="H3" s="64"/>
      <c r="I3" s="64"/>
      <c r="J3" s="65"/>
      <c r="K3" s="17"/>
    </row>
    <row r="4" spans="1:14" x14ac:dyDescent="0.3">
      <c r="A4" s="75" t="s">
        <v>230</v>
      </c>
      <c r="B4" s="66" t="s">
        <v>231</v>
      </c>
      <c r="C4" s="67"/>
      <c r="D4" s="67"/>
      <c r="E4" s="67"/>
      <c r="F4" s="67"/>
      <c r="G4" s="67"/>
      <c r="H4" s="67"/>
      <c r="I4" s="67"/>
      <c r="J4" s="68"/>
      <c r="K4" s="17"/>
    </row>
    <row r="5" spans="1:14" ht="15.6" customHeight="1" x14ac:dyDescent="0.3">
      <c r="A5" s="76"/>
      <c r="B5" s="69"/>
      <c r="C5" s="70"/>
      <c r="D5" s="70"/>
      <c r="E5" s="70"/>
      <c r="F5" s="70"/>
      <c r="G5" s="70"/>
      <c r="H5" s="70"/>
      <c r="I5" s="70"/>
      <c r="J5" s="71"/>
      <c r="K5" s="17"/>
    </row>
    <row r="6" spans="1:14" ht="15.6" thickBot="1" x14ac:dyDescent="0.35">
      <c r="A6" s="77"/>
      <c r="B6" s="72"/>
      <c r="C6" s="73"/>
      <c r="D6" s="73"/>
      <c r="E6" s="73"/>
      <c r="F6" s="73"/>
      <c r="G6" s="73"/>
      <c r="H6" s="73"/>
      <c r="I6" s="73"/>
      <c r="J6" s="74"/>
      <c r="K6" s="19"/>
    </row>
    <row r="7" spans="1:14" ht="30.75" customHeight="1" x14ac:dyDescent="0.3">
      <c r="A7" s="75" t="s">
        <v>175</v>
      </c>
      <c r="B7" s="78" t="s">
        <v>245</v>
      </c>
      <c r="C7" s="79"/>
      <c r="D7" s="79"/>
      <c r="E7" s="79"/>
      <c r="F7" s="79"/>
      <c r="G7" s="79"/>
      <c r="H7" s="79"/>
      <c r="I7" s="79"/>
      <c r="J7" s="80"/>
      <c r="K7" s="18"/>
    </row>
    <row r="8" spans="1:14" ht="15" customHeight="1" x14ac:dyDescent="0.3">
      <c r="A8" s="76"/>
      <c r="B8" s="81"/>
      <c r="C8" s="82"/>
      <c r="D8" s="82"/>
      <c r="E8" s="82"/>
      <c r="F8" s="82"/>
      <c r="G8" s="82"/>
      <c r="H8" s="82"/>
      <c r="I8" s="82"/>
      <c r="J8" s="83"/>
      <c r="K8" s="18"/>
    </row>
    <row r="9" spans="1:14" ht="15" thickBot="1" x14ac:dyDescent="0.35">
      <c r="A9" s="76"/>
      <c r="B9" s="84"/>
      <c r="C9" s="85"/>
      <c r="D9" s="85"/>
      <c r="E9" s="85"/>
      <c r="F9" s="85"/>
      <c r="G9" s="85"/>
      <c r="H9" s="85"/>
      <c r="I9" s="85"/>
      <c r="J9" s="86"/>
      <c r="K9" s="18"/>
      <c r="M9" t="s">
        <v>5</v>
      </c>
      <c r="N9" t="s">
        <v>6</v>
      </c>
    </row>
    <row r="10" spans="1:14" x14ac:dyDescent="0.3">
      <c r="A10" s="76"/>
      <c r="B10" s="105" t="s">
        <v>239</v>
      </c>
      <c r="C10" s="106"/>
      <c r="D10" s="106"/>
      <c r="E10" s="106"/>
      <c r="F10" s="106"/>
      <c r="G10" s="106"/>
      <c r="H10" s="106"/>
      <c r="I10" s="106"/>
      <c r="J10" s="107"/>
      <c r="K10" s="18"/>
      <c r="M10" t="s">
        <v>8</v>
      </c>
      <c r="N10" t="s">
        <v>9</v>
      </c>
    </row>
    <row r="11" spans="1:14" x14ac:dyDescent="0.3">
      <c r="A11" s="76"/>
      <c r="B11" s="81"/>
      <c r="C11" s="82"/>
      <c r="D11" s="82"/>
      <c r="E11" s="82"/>
      <c r="F11" s="82"/>
      <c r="G11" s="82"/>
      <c r="H11" s="82"/>
      <c r="I11" s="82"/>
      <c r="J11" s="83"/>
      <c r="K11" s="18"/>
      <c r="M11" t="s">
        <v>11</v>
      </c>
      <c r="N11" t="s">
        <v>12</v>
      </c>
    </row>
    <row r="12" spans="1:14" ht="15" thickBot="1" x14ac:dyDescent="0.35">
      <c r="A12" s="76"/>
      <c r="B12" s="108"/>
      <c r="C12" s="109"/>
      <c r="D12" s="109"/>
      <c r="E12" s="109"/>
      <c r="F12" s="109"/>
      <c r="G12" s="109"/>
      <c r="H12" s="109"/>
      <c r="I12" s="109"/>
      <c r="J12" s="110"/>
      <c r="K12" s="18"/>
      <c r="M12" t="s">
        <v>14</v>
      </c>
      <c r="N12" t="s">
        <v>15</v>
      </c>
    </row>
    <row r="13" spans="1:14" x14ac:dyDescent="0.3">
      <c r="A13" s="76"/>
      <c r="B13" s="111" t="s">
        <v>232</v>
      </c>
      <c r="C13" s="112"/>
      <c r="D13" s="112"/>
      <c r="E13" s="112"/>
      <c r="F13" s="112"/>
      <c r="G13" s="112"/>
      <c r="H13" s="112"/>
      <c r="I13" s="112"/>
      <c r="J13" s="113"/>
      <c r="K13" s="18"/>
      <c r="M13" t="s">
        <v>17</v>
      </c>
      <c r="N13" t="s">
        <v>18</v>
      </c>
    </row>
    <row r="14" spans="1:14" ht="15" thickBot="1" x14ac:dyDescent="0.35">
      <c r="A14" s="77"/>
      <c r="B14" s="114"/>
      <c r="C14" s="115"/>
      <c r="D14" s="115"/>
      <c r="E14" s="115"/>
      <c r="F14" s="115"/>
      <c r="G14" s="115"/>
      <c r="H14" s="115"/>
      <c r="I14" s="115"/>
      <c r="J14" s="116"/>
      <c r="K14" s="18"/>
      <c r="M14" t="s">
        <v>18</v>
      </c>
    </row>
    <row r="15" spans="1:14" ht="47.4" customHeight="1" x14ac:dyDescent="0.3">
      <c r="A15" s="132" t="s">
        <v>233</v>
      </c>
      <c r="B15" s="117" t="s">
        <v>237</v>
      </c>
      <c r="C15" s="118"/>
      <c r="D15" s="118"/>
      <c r="E15" s="118"/>
      <c r="F15" s="118"/>
      <c r="G15" s="118"/>
      <c r="H15" s="118"/>
      <c r="I15" s="118"/>
      <c r="J15" s="119"/>
      <c r="K15" s="17"/>
    </row>
    <row r="16" spans="1:14" x14ac:dyDescent="0.3">
      <c r="A16" s="133"/>
      <c r="B16" s="120"/>
      <c r="C16" s="121"/>
      <c r="D16" s="121"/>
      <c r="E16" s="121"/>
      <c r="F16" s="121"/>
      <c r="G16" s="121"/>
      <c r="H16" s="121"/>
      <c r="I16" s="121"/>
      <c r="J16" s="122"/>
      <c r="K16" s="17"/>
    </row>
    <row r="17" spans="1:11" ht="15" thickBot="1" x14ac:dyDescent="0.35">
      <c r="A17" s="133"/>
      <c r="B17" s="123"/>
      <c r="C17" s="124"/>
      <c r="D17" s="124"/>
      <c r="E17" s="124"/>
      <c r="F17" s="124"/>
      <c r="G17" s="124"/>
      <c r="H17" s="124"/>
      <c r="I17" s="124"/>
      <c r="J17" s="125"/>
      <c r="K17" s="17"/>
    </row>
    <row r="18" spans="1:11" x14ac:dyDescent="0.3">
      <c r="A18" s="88"/>
      <c r="B18" s="126" t="s">
        <v>234</v>
      </c>
      <c r="C18" s="126"/>
      <c r="D18" s="126"/>
      <c r="E18" s="126"/>
      <c r="F18" s="126"/>
      <c r="G18" s="126"/>
      <c r="H18" s="126"/>
      <c r="I18" s="126"/>
      <c r="J18" s="127"/>
      <c r="K18" s="17"/>
    </row>
    <row r="19" spans="1:11" ht="15" customHeight="1" x14ac:dyDescent="0.3">
      <c r="A19" s="88"/>
      <c r="B19" s="128"/>
      <c r="C19" s="128"/>
      <c r="D19" s="128"/>
      <c r="E19" s="128"/>
      <c r="F19" s="128"/>
      <c r="G19" s="128"/>
      <c r="H19" s="128"/>
      <c r="I19" s="128"/>
      <c r="J19" s="129"/>
      <c r="K19" s="17"/>
    </row>
    <row r="20" spans="1:11" ht="15" thickBot="1" x14ac:dyDescent="0.35">
      <c r="A20" s="89"/>
      <c r="B20" s="130"/>
      <c r="C20" s="130"/>
      <c r="D20" s="130"/>
      <c r="E20" s="130"/>
      <c r="F20" s="130"/>
      <c r="G20" s="130"/>
      <c r="H20" s="130"/>
      <c r="I20" s="130"/>
      <c r="J20" s="131"/>
      <c r="K20" s="17"/>
    </row>
    <row r="21" spans="1:11" x14ac:dyDescent="0.3">
      <c r="A21" s="87" t="s">
        <v>235</v>
      </c>
      <c r="B21" s="90" t="s">
        <v>240</v>
      </c>
      <c r="C21" s="91"/>
      <c r="D21" s="91"/>
      <c r="E21" s="91"/>
      <c r="F21" s="91"/>
      <c r="G21" s="91"/>
      <c r="H21" s="91"/>
      <c r="I21" s="91"/>
      <c r="J21" s="92"/>
      <c r="K21" s="17"/>
    </row>
    <row r="22" spans="1:11" x14ac:dyDescent="0.3">
      <c r="A22" s="88"/>
      <c r="B22" s="93"/>
      <c r="C22" s="94"/>
      <c r="D22" s="94"/>
      <c r="E22" s="94"/>
      <c r="F22" s="94"/>
      <c r="G22" s="94"/>
      <c r="H22" s="94"/>
      <c r="I22" s="94"/>
      <c r="J22" s="95"/>
      <c r="K22" s="17"/>
    </row>
    <row r="23" spans="1:11" x14ac:dyDescent="0.3">
      <c r="A23" s="88"/>
      <c r="B23" s="93"/>
      <c r="C23" s="94"/>
      <c r="D23" s="94"/>
      <c r="E23" s="94"/>
      <c r="F23" s="94"/>
      <c r="G23" s="94"/>
      <c r="H23" s="94"/>
      <c r="I23" s="94"/>
      <c r="J23" s="95"/>
      <c r="K23" s="17"/>
    </row>
    <row r="24" spans="1:11" ht="15" thickBot="1" x14ac:dyDescent="0.35">
      <c r="A24" s="89"/>
      <c r="B24" s="96"/>
      <c r="C24" s="97"/>
      <c r="D24" s="97"/>
      <c r="E24" s="97"/>
      <c r="F24" s="97"/>
      <c r="G24" s="97"/>
      <c r="H24" s="97"/>
      <c r="I24" s="97"/>
      <c r="J24" s="98"/>
    </row>
    <row r="25" spans="1:11" ht="15" thickBot="1" x14ac:dyDescent="0.35">
      <c r="A25" s="99" t="s">
        <v>236</v>
      </c>
      <c r="B25" s="31" t="s">
        <v>176</v>
      </c>
      <c r="C25" s="32" t="s">
        <v>177</v>
      </c>
      <c r="D25" s="31" t="s">
        <v>178</v>
      </c>
      <c r="E25" s="101"/>
      <c r="F25" s="101"/>
      <c r="G25" s="101"/>
      <c r="H25" s="101"/>
      <c r="I25" s="101"/>
      <c r="J25" s="102"/>
    </row>
    <row r="26" spans="1:11" ht="15" thickBot="1" x14ac:dyDescent="0.35">
      <c r="A26" s="100"/>
      <c r="B26" s="33">
        <v>1</v>
      </c>
      <c r="C26" s="34">
        <v>-1</v>
      </c>
      <c r="D26" s="34">
        <v>0</v>
      </c>
      <c r="E26" s="103"/>
      <c r="F26" s="103"/>
      <c r="G26" s="103"/>
      <c r="H26" s="103"/>
      <c r="I26" s="103"/>
      <c r="J26" s="104"/>
    </row>
  </sheetData>
  <mergeCells count="15">
    <mergeCell ref="A21:A24"/>
    <mergeCell ref="B21:J24"/>
    <mergeCell ref="A25:A26"/>
    <mergeCell ref="E25:J26"/>
    <mergeCell ref="B10:J12"/>
    <mergeCell ref="B13:J14"/>
    <mergeCell ref="A7:A14"/>
    <mergeCell ref="B15:J17"/>
    <mergeCell ref="B18:J20"/>
    <mergeCell ref="A15:A20"/>
    <mergeCell ref="A1:J1"/>
    <mergeCell ref="A3:J3"/>
    <mergeCell ref="B4:J6"/>
    <mergeCell ref="A4:A6"/>
    <mergeCell ref="B7:J9"/>
  </mergeCells>
  <pageMargins left="0.7" right="0.7" top="0.75" bottom="0.75" header="0.3" footer="0.3"/>
  <pageSetup paperSize="9" scale="62"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7"/>
  <sheetViews>
    <sheetView workbookViewId="0">
      <selection activeCell="B16" sqref="B16:J16"/>
    </sheetView>
  </sheetViews>
  <sheetFormatPr baseColWidth="10" defaultColWidth="11" defaultRowHeight="14.4" x14ac:dyDescent="0.3"/>
  <cols>
    <col min="1" max="1" width="40.44140625" customWidth="1"/>
    <col min="13" max="13" width="31.33203125" hidden="1" customWidth="1"/>
    <col min="14" max="14" width="11" hidden="1" customWidth="1"/>
  </cols>
  <sheetData>
    <row r="1" spans="1:14" ht="71.25" customHeight="1" x14ac:dyDescent="0.3">
      <c r="A1" s="61" t="s">
        <v>0</v>
      </c>
      <c r="B1" s="62"/>
      <c r="C1" s="62"/>
      <c r="D1" s="62"/>
      <c r="E1" s="62"/>
      <c r="F1" s="62"/>
      <c r="G1" s="62"/>
      <c r="H1" s="62"/>
      <c r="I1" s="62"/>
      <c r="J1" s="62"/>
      <c r="K1" s="17"/>
    </row>
    <row r="2" spans="1:14" ht="15" thickBot="1" x14ac:dyDescent="0.35">
      <c r="A2" s="18"/>
      <c r="B2" s="18"/>
      <c r="C2" s="18"/>
      <c r="D2" s="17"/>
      <c r="E2" s="17"/>
      <c r="F2" s="17"/>
      <c r="G2" s="18"/>
      <c r="H2" s="17"/>
      <c r="I2" s="17"/>
      <c r="J2" s="17"/>
      <c r="K2" s="17"/>
    </row>
    <row r="3" spans="1:14" ht="33" customHeight="1" thickBot="1" x14ac:dyDescent="0.35">
      <c r="A3" s="147" t="s">
        <v>243</v>
      </c>
      <c r="B3" s="148"/>
      <c r="C3" s="148"/>
      <c r="D3" s="148"/>
      <c r="E3" s="148"/>
      <c r="F3" s="148"/>
      <c r="G3" s="148"/>
      <c r="H3" s="148"/>
      <c r="I3" s="148"/>
      <c r="J3" s="149"/>
      <c r="K3" s="17"/>
    </row>
    <row r="4" spans="1:14" ht="15" thickBot="1" x14ac:dyDescent="0.35">
      <c r="A4" s="150"/>
      <c r="B4" s="150"/>
      <c r="C4" s="150"/>
      <c r="D4" s="150"/>
      <c r="E4" s="150"/>
      <c r="F4" s="150"/>
      <c r="G4" s="150"/>
      <c r="H4" s="150"/>
      <c r="I4" s="150"/>
      <c r="J4" s="150"/>
      <c r="K4" s="17"/>
    </row>
    <row r="5" spans="1:14" ht="16.2" thickBot="1" x14ac:dyDescent="0.35">
      <c r="A5" s="154" t="s">
        <v>1</v>
      </c>
      <c r="B5" s="155"/>
      <c r="C5" s="155"/>
      <c r="D5" s="155"/>
      <c r="E5" s="155"/>
      <c r="F5" s="155"/>
      <c r="G5" s="155"/>
      <c r="H5" s="155"/>
      <c r="I5" s="155"/>
      <c r="J5" s="156"/>
      <c r="K5" s="17"/>
    </row>
    <row r="6" spans="1:14" ht="15.6" thickBot="1" x14ac:dyDescent="0.35">
      <c r="A6" s="40" t="s">
        <v>249</v>
      </c>
      <c r="B6" s="151"/>
      <c r="C6" s="152"/>
      <c r="D6" s="152"/>
      <c r="E6" s="152"/>
      <c r="F6" s="152"/>
      <c r="G6" s="152"/>
      <c r="H6" s="152"/>
      <c r="I6" s="152"/>
      <c r="J6" s="153"/>
      <c r="K6" s="19"/>
    </row>
    <row r="7" spans="1:14" ht="30.75" customHeight="1" x14ac:dyDescent="0.3">
      <c r="A7" s="144" t="s">
        <v>2</v>
      </c>
      <c r="B7" s="145"/>
      <c r="C7" s="145"/>
      <c r="D7" s="145"/>
      <c r="E7" s="145"/>
      <c r="F7" s="145"/>
      <c r="G7" s="145"/>
      <c r="H7" s="145"/>
      <c r="I7" s="145"/>
      <c r="J7" s="146"/>
      <c r="K7" s="18"/>
    </row>
    <row r="8" spans="1:14" ht="20.100000000000001" customHeight="1" x14ac:dyDescent="0.3">
      <c r="A8" s="45" t="s">
        <v>3</v>
      </c>
      <c r="B8" s="140"/>
      <c r="C8" s="140"/>
      <c r="D8" s="140"/>
      <c r="E8" s="140"/>
      <c r="F8" s="140"/>
      <c r="G8" s="140"/>
      <c r="H8" s="140"/>
      <c r="I8" s="140"/>
      <c r="J8" s="140"/>
      <c r="K8" s="18"/>
    </row>
    <row r="9" spans="1:14" ht="20.100000000000001" customHeight="1" x14ac:dyDescent="0.3">
      <c r="A9" s="46" t="s">
        <v>4</v>
      </c>
      <c r="B9" s="140"/>
      <c r="C9" s="140"/>
      <c r="D9" s="140"/>
      <c r="E9" s="140"/>
      <c r="F9" s="140"/>
      <c r="G9" s="140"/>
      <c r="H9" s="140"/>
      <c r="I9" s="140"/>
      <c r="J9" s="140"/>
      <c r="K9" s="18"/>
    </row>
    <row r="10" spans="1:14" ht="20.100000000000001" customHeight="1" x14ac:dyDescent="0.3">
      <c r="A10" s="45" t="s">
        <v>7</v>
      </c>
      <c r="B10" s="140"/>
      <c r="C10" s="140"/>
      <c r="D10" s="140"/>
      <c r="E10" s="140"/>
      <c r="F10" s="140"/>
      <c r="G10" s="140"/>
      <c r="H10" s="140"/>
      <c r="I10" s="140"/>
      <c r="J10" s="140"/>
      <c r="K10" s="18"/>
      <c r="M10" t="s">
        <v>5</v>
      </c>
      <c r="N10" t="s">
        <v>6</v>
      </c>
    </row>
    <row r="11" spans="1:14" ht="20.100000000000001" customHeight="1" x14ac:dyDescent="0.3">
      <c r="A11" s="45" t="s">
        <v>10</v>
      </c>
      <c r="B11" s="140"/>
      <c r="C11" s="140"/>
      <c r="D11" s="140"/>
      <c r="E11" s="140"/>
      <c r="F11" s="140"/>
      <c r="G11" s="140"/>
      <c r="H11" s="140"/>
      <c r="I11" s="140"/>
      <c r="J11" s="140"/>
      <c r="K11" s="18"/>
      <c r="M11" t="s">
        <v>247</v>
      </c>
      <c r="N11" t="s">
        <v>12</v>
      </c>
    </row>
    <row r="12" spans="1:14" ht="20.100000000000001" customHeight="1" x14ac:dyDescent="0.3">
      <c r="A12" s="45" t="s">
        <v>13</v>
      </c>
      <c r="B12" s="140"/>
      <c r="C12" s="140"/>
      <c r="D12" s="140"/>
      <c r="E12" s="140"/>
      <c r="F12" s="140"/>
      <c r="G12" s="140"/>
      <c r="H12" s="140"/>
      <c r="I12" s="140"/>
      <c r="J12" s="140"/>
      <c r="K12" s="18"/>
      <c r="M12" t="s">
        <v>14</v>
      </c>
      <c r="N12" t="s">
        <v>15</v>
      </c>
    </row>
    <row r="13" spans="1:14" ht="20.100000000000001" customHeight="1" x14ac:dyDescent="0.3">
      <c r="A13" s="45" t="s">
        <v>16</v>
      </c>
      <c r="B13" s="140"/>
      <c r="C13" s="140"/>
      <c r="D13" s="140"/>
      <c r="E13" s="140"/>
      <c r="F13" s="140"/>
      <c r="G13" s="140"/>
      <c r="H13" s="140"/>
      <c r="I13" s="140"/>
      <c r="J13" s="140"/>
      <c r="K13" s="18"/>
      <c r="M13" t="s">
        <v>17</v>
      </c>
      <c r="N13" t="s">
        <v>18</v>
      </c>
    </row>
    <row r="14" spans="1:14" ht="20.100000000000001" customHeight="1" x14ac:dyDescent="0.3">
      <c r="A14" s="45" t="s">
        <v>19</v>
      </c>
      <c r="B14" s="140"/>
      <c r="C14" s="140"/>
      <c r="D14" s="140"/>
      <c r="E14" s="140"/>
      <c r="F14" s="140"/>
      <c r="G14" s="140"/>
      <c r="H14" s="140"/>
      <c r="I14" s="140"/>
      <c r="J14" s="140"/>
      <c r="K14" s="18"/>
      <c r="M14" t="s">
        <v>18</v>
      </c>
    </row>
    <row r="15" spans="1:14" ht="45" x14ac:dyDescent="0.3">
      <c r="A15" s="47" t="s">
        <v>20</v>
      </c>
      <c r="B15" s="140"/>
      <c r="C15" s="140"/>
      <c r="D15" s="140"/>
      <c r="E15" s="140"/>
      <c r="F15" s="140"/>
      <c r="G15" s="140"/>
      <c r="H15" s="140"/>
      <c r="I15" s="140"/>
      <c r="J15" s="140"/>
      <c r="K15" s="17"/>
    </row>
    <row r="16" spans="1:14" ht="30.9" customHeight="1" x14ac:dyDescent="0.3">
      <c r="A16" s="47" t="s">
        <v>21</v>
      </c>
      <c r="B16" s="140"/>
      <c r="C16" s="140"/>
      <c r="D16" s="140"/>
      <c r="E16" s="140"/>
      <c r="F16" s="140"/>
      <c r="G16" s="140"/>
      <c r="H16" s="140"/>
      <c r="I16" s="140"/>
      <c r="J16" s="140"/>
      <c r="K16" s="17"/>
    </row>
    <row r="17" spans="1:11" ht="30" x14ac:dyDescent="0.3">
      <c r="A17" s="47" t="s">
        <v>238</v>
      </c>
      <c r="B17" s="140"/>
      <c r="C17" s="140"/>
      <c r="D17" s="140"/>
      <c r="E17" s="140"/>
      <c r="F17" s="140"/>
      <c r="G17" s="140"/>
      <c r="H17" s="140"/>
      <c r="I17" s="140"/>
      <c r="J17" s="140"/>
      <c r="K17" s="17"/>
    </row>
    <row r="18" spans="1:11" ht="29.25" customHeight="1" x14ac:dyDescent="0.3">
      <c r="A18" s="48" t="s">
        <v>22</v>
      </c>
      <c r="B18" s="141">
        <f>IF(('1-Cx y cert'!E8)+('si respondio SI a Cx oCert'!F46)+('Si respondio NO a CX o Cert'!F96)&gt;100%,"ERROR",('1-Cx y cert'!E8)+('si respondio SI a Cx oCert'!F46)+('Si respondio NO a CX o Cert'!F96))</f>
        <v>0</v>
      </c>
      <c r="C18" s="142"/>
      <c r="D18" s="142"/>
      <c r="E18" s="142"/>
      <c r="F18" s="142"/>
      <c r="G18" s="142"/>
      <c r="H18" s="142"/>
      <c r="I18" s="142"/>
      <c r="J18" s="143"/>
      <c r="K18" s="17"/>
    </row>
    <row r="19" spans="1:11" ht="15" customHeight="1" x14ac:dyDescent="0.3">
      <c r="A19" s="138" t="s">
        <v>23</v>
      </c>
      <c r="B19" s="138"/>
      <c r="C19" s="138"/>
      <c r="D19" s="138"/>
      <c r="E19" s="138"/>
      <c r="F19" s="138"/>
      <c r="G19" s="138"/>
      <c r="H19" s="138"/>
      <c r="I19" s="138"/>
      <c r="J19" s="138"/>
      <c r="K19" s="17"/>
    </row>
    <row r="20" spans="1:11" ht="20.100000000000001" customHeight="1" x14ac:dyDescent="0.3">
      <c r="A20" s="44" t="s">
        <v>24</v>
      </c>
      <c r="B20" s="139" t="s">
        <v>25</v>
      </c>
      <c r="C20" s="139"/>
      <c r="D20" s="139"/>
      <c r="E20" s="139"/>
      <c r="F20" s="139" t="s">
        <v>26</v>
      </c>
      <c r="G20" s="139"/>
      <c r="H20" s="139"/>
      <c r="I20" s="139" t="s">
        <v>27</v>
      </c>
      <c r="J20" s="139"/>
      <c r="K20" s="17"/>
    </row>
    <row r="21" spans="1:11" ht="20.100000000000001" customHeight="1" x14ac:dyDescent="0.3">
      <c r="A21" s="41"/>
      <c r="B21" s="137"/>
      <c r="C21" s="137"/>
      <c r="D21" s="137"/>
      <c r="E21" s="137"/>
      <c r="F21" s="137"/>
      <c r="G21" s="137"/>
      <c r="H21" s="137"/>
      <c r="I21" s="137"/>
      <c r="J21" s="137"/>
      <c r="K21" s="17"/>
    </row>
    <row r="22" spans="1:11" ht="20.100000000000001" customHeight="1" x14ac:dyDescent="0.3">
      <c r="A22" s="41"/>
      <c r="B22" s="137"/>
      <c r="C22" s="137"/>
      <c r="D22" s="137"/>
      <c r="E22" s="137"/>
      <c r="F22" s="137"/>
      <c r="G22" s="137"/>
      <c r="H22" s="137"/>
      <c r="I22" s="137"/>
      <c r="J22" s="137"/>
      <c r="K22" s="17"/>
    </row>
    <row r="23" spans="1:11" ht="20.100000000000001" customHeight="1" x14ac:dyDescent="0.3">
      <c r="A23" s="41"/>
      <c r="B23" s="137"/>
      <c r="C23" s="137"/>
      <c r="D23" s="137"/>
      <c r="E23" s="137"/>
      <c r="F23" s="137"/>
      <c r="G23" s="137"/>
      <c r="H23" s="137"/>
      <c r="I23" s="137"/>
      <c r="J23" s="137"/>
      <c r="K23" s="17"/>
    </row>
    <row r="24" spans="1:11" ht="20.100000000000001" customHeight="1" x14ac:dyDescent="0.3">
      <c r="A24" s="41"/>
      <c r="B24" s="137"/>
      <c r="C24" s="137"/>
      <c r="D24" s="137"/>
      <c r="E24" s="137"/>
      <c r="F24" s="137"/>
      <c r="G24" s="137"/>
      <c r="H24" s="137"/>
      <c r="I24" s="137"/>
      <c r="J24" s="137"/>
      <c r="K24" s="17"/>
    </row>
    <row r="25" spans="1:11" ht="20.100000000000001" customHeight="1" x14ac:dyDescent="0.3">
      <c r="A25" s="41"/>
      <c r="B25" s="137"/>
      <c r="C25" s="137"/>
      <c r="D25" s="137"/>
      <c r="E25" s="137"/>
      <c r="F25" s="137"/>
      <c r="G25" s="137"/>
      <c r="H25" s="137"/>
      <c r="I25" s="137"/>
      <c r="J25" s="137"/>
      <c r="K25" s="17"/>
    </row>
    <row r="26" spans="1:11" ht="20.100000000000001" customHeight="1" x14ac:dyDescent="0.3">
      <c r="A26" s="41"/>
      <c r="B26" s="137"/>
      <c r="C26" s="137"/>
      <c r="D26" s="137"/>
      <c r="E26" s="137"/>
      <c r="F26" s="137"/>
      <c r="G26" s="137"/>
      <c r="H26" s="137"/>
      <c r="I26" s="137"/>
      <c r="J26" s="137"/>
    </row>
    <row r="27" spans="1:11" ht="15.6" x14ac:dyDescent="0.3">
      <c r="A27" s="138" t="s">
        <v>2</v>
      </c>
      <c r="B27" s="138"/>
      <c r="C27" s="138"/>
      <c r="D27" s="138"/>
      <c r="E27" s="138"/>
      <c r="F27" s="138"/>
      <c r="G27" s="138"/>
      <c r="H27" s="138"/>
      <c r="I27" s="138"/>
      <c r="J27" s="138"/>
    </row>
    <row r="28" spans="1:11" ht="20.100000000000001" customHeight="1" x14ac:dyDescent="0.3">
      <c r="A28" s="44" t="s">
        <v>24</v>
      </c>
      <c r="B28" s="139" t="s">
        <v>25</v>
      </c>
      <c r="C28" s="139"/>
      <c r="D28" s="139"/>
      <c r="E28" s="139"/>
      <c r="F28" s="139" t="s">
        <v>26</v>
      </c>
      <c r="G28" s="139"/>
      <c r="H28" s="139"/>
      <c r="I28" s="139" t="s">
        <v>27</v>
      </c>
      <c r="J28" s="139"/>
    </row>
    <row r="29" spans="1:11" ht="20.100000000000001" customHeight="1" x14ac:dyDescent="0.3">
      <c r="A29" s="41"/>
      <c r="B29" s="137"/>
      <c r="C29" s="137"/>
      <c r="D29" s="137"/>
      <c r="E29" s="137"/>
      <c r="F29" s="137"/>
      <c r="G29" s="137"/>
      <c r="H29" s="137"/>
      <c r="I29" s="137"/>
      <c r="J29" s="137"/>
    </row>
    <row r="30" spans="1:11" ht="20.100000000000001" customHeight="1" x14ac:dyDescent="0.3">
      <c r="A30" s="41"/>
      <c r="B30" s="137"/>
      <c r="C30" s="137"/>
      <c r="D30" s="137"/>
      <c r="E30" s="137"/>
      <c r="F30" s="137"/>
      <c r="G30" s="137"/>
      <c r="H30" s="137"/>
      <c r="I30" s="137"/>
      <c r="J30" s="137"/>
    </row>
    <row r="31" spans="1:11" ht="20.100000000000001" customHeight="1" x14ac:dyDescent="0.3">
      <c r="A31" s="41"/>
      <c r="B31" s="137"/>
      <c r="C31" s="137"/>
      <c r="D31" s="137"/>
      <c r="E31" s="137"/>
      <c r="F31" s="137"/>
      <c r="G31" s="137"/>
      <c r="H31" s="137"/>
      <c r="I31" s="137"/>
      <c r="J31" s="137"/>
    </row>
    <row r="32" spans="1:11" ht="20.100000000000001" customHeight="1" x14ac:dyDescent="0.3">
      <c r="A32" s="41"/>
      <c r="B32" s="137"/>
      <c r="C32" s="137"/>
      <c r="D32" s="137"/>
      <c r="E32" s="137"/>
      <c r="F32" s="137"/>
      <c r="G32" s="137"/>
      <c r="H32" s="137"/>
      <c r="I32" s="137"/>
      <c r="J32" s="137"/>
    </row>
    <row r="33" spans="1:10" ht="20.100000000000001" customHeight="1" x14ac:dyDescent="0.3">
      <c r="A33" s="41"/>
      <c r="B33" s="137"/>
      <c r="C33" s="137"/>
      <c r="D33" s="137"/>
      <c r="E33" s="137"/>
      <c r="F33" s="137"/>
      <c r="G33" s="137"/>
      <c r="H33" s="137"/>
      <c r="I33" s="137"/>
      <c r="J33" s="137"/>
    </row>
    <row r="34" spans="1:10" ht="20.100000000000001" customHeight="1" x14ac:dyDescent="0.3">
      <c r="A34" s="41"/>
      <c r="B34" s="137"/>
      <c r="C34" s="137"/>
      <c r="D34" s="137"/>
      <c r="E34" s="137"/>
      <c r="F34" s="137"/>
      <c r="G34" s="137"/>
      <c r="H34" s="137"/>
      <c r="I34" s="137"/>
      <c r="J34" s="137"/>
    </row>
    <row r="35" spans="1:10" ht="20.100000000000001" customHeight="1" x14ac:dyDescent="0.3">
      <c r="A35" s="41"/>
      <c r="B35" s="137"/>
      <c r="C35" s="137"/>
      <c r="D35" s="137"/>
      <c r="E35" s="137"/>
      <c r="F35" s="137"/>
      <c r="G35" s="137"/>
      <c r="H35" s="137"/>
      <c r="I35" s="137"/>
      <c r="J35" s="137"/>
    </row>
    <row r="36" spans="1:10" ht="20.100000000000001" customHeight="1" x14ac:dyDescent="0.3">
      <c r="A36" s="42"/>
      <c r="B36" s="137"/>
      <c r="C36" s="137"/>
      <c r="D36" s="137"/>
      <c r="E36" s="137"/>
      <c r="F36" s="137"/>
      <c r="G36" s="137"/>
      <c r="H36" s="137"/>
      <c r="I36" s="137"/>
      <c r="J36" s="137"/>
    </row>
    <row r="37" spans="1:10" ht="263.25" customHeight="1" x14ac:dyDescent="0.3">
      <c r="A37" s="43" t="s">
        <v>28</v>
      </c>
      <c r="B37" s="134"/>
      <c r="C37" s="135"/>
      <c r="D37" s="135"/>
      <c r="E37" s="135"/>
      <c r="F37" s="135"/>
      <c r="G37" s="135"/>
      <c r="H37" s="135"/>
      <c r="I37" s="135"/>
      <c r="J37" s="136"/>
    </row>
  </sheetData>
  <sheetProtection algorithmName="SHA-512" hashValue="4cJIsfdbb3YkjgIQjSF1eI9RPNIIx9WF07Wg2mxJWyPEhN3tIbdlakdqMypkH1N7VdGs9Wc/0KcffcB0sDhhZQ==" saltValue="r9VAhdz+6SKaGSkF4mkZUw==" spinCount="100000" sheet="1" formatCells="0"/>
  <mergeCells count="68">
    <mergeCell ref="B8:J8"/>
    <mergeCell ref="A7:J7"/>
    <mergeCell ref="A1:J1"/>
    <mergeCell ref="A3:J3"/>
    <mergeCell ref="A4:J4"/>
    <mergeCell ref="B6:J6"/>
    <mergeCell ref="A5:J5"/>
    <mergeCell ref="A19:J19"/>
    <mergeCell ref="B9:J9"/>
    <mergeCell ref="B10:J10"/>
    <mergeCell ref="B11:J11"/>
    <mergeCell ref="B12:J12"/>
    <mergeCell ref="B13:J13"/>
    <mergeCell ref="B14:J14"/>
    <mergeCell ref="B15:J15"/>
    <mergeCell ref="B16:J16"/>
    <mergeCell ref="B17:J17"/>
    <mergeCell ref="B18:J18"/>
    <mergeCell ref="B20:E20"/>
    <mergeCell ref="F20:H20"/>
    <mergeCell ref="I20:J20"/>
    <mergeCell ref="B21:E21"/>
    <mergeCell ref="F21:H21"/>
    <mergeCell ref="I21:J21"/>
    <mergeCell ref="B22:E22"/>
    <mergeCell ref="F22:H22"/>
    <mergeCell ref="I22:J22"/>
    <mergeCell ref="B25:E25"/>
    <mergeCell ref="F25:H25"/>
    <mergeCell ref="I25:J25"/>
    <mergeCell ref="B23:E23"/>
    <mergeCell ref="B24:E24"/>
    <mergeCell ref="F23:H23"/>
    <mergeCell ref="F24:H24"/>
    <mergeCell ref="I23:J23"/>
    <mergeCell ref="I24:J24"/>
    <mergeCell ref="B26:E26"/>
    <mergeCell ref="F26:H26"/>
    <mergeCell ref="I26:J26"/>
    <mergeCell ref="A27:J27"/>
    <mergeCell ref="B28:E28"/>
    <mergeCell ref="F28:H28"/>
    <mergeCell ref="I28:J28"/>
    <mergeCell ref="B29:E29"/>
    <mergeCell ref="F29:H29"/>
    <mergeCell ref="I29:J29"/>
    <mergeCell ref="B33:E33"/>
    <mergeCell ref="F33:H33"/>
    <mergeCell ref="I33:J33"/>
    <mergeCell ref="B30:E30"/>
    <mergeCell ref="B31:E31"/>
    <mergeCell ref="B32:E32"/>
    <mergeCell ref="F30:H30"/>
    <mergeCell ref="F31:H31"/>
    <mergeCell ref="F32:H32"/>
    <mergeCell ref="I30:J30"/>
    <mergeCell ref="I31:J31"/>
    <mergeCell ref="I32:J32"/>
    <mergeCell ref="B37:J37"/>
    <mergeCell ref="B34:E34"/>
    <mergeCell ref="F34:H34"/>
    <mergeCell ref="I34:J34"/>
    <mergeCell ref="B35:E35"/>
    <mergeCell ref="B36:E36"/>
    <mergeCell ref="F36:H36"/>
    <mergeCell ref="I36:J36"/>
    <mergeCell ref="F35:H35"/>
    <mergeCell ref="I35:J35"/>
  </mergeCells>
  <dataValidations count="2">
    <dataValidation type="list" allowBlank="1" showInputMessage="1" showErrorMessage="1" sqref="B9:J9" xr:uid="{00000000-0002-0000-0100-000000000000}">
      <formula1>$M$10:$M$14</formula1>
    </dataValidation>
    <dataValidation type="list" allowBlank="1" showInputMessage="1" showErrorMessage="1" sqref="B10:J10" xr:uid="{00000000-0002-0000-0100-000001000000}">
      <formula1>$N$10:$N$13</formula1>
    </dataValidation>
  </dataValidations>
  <pageMargins left="0.7" right="0.7" top="0.75" bottom="0.75" header="0.3" footer="0.3"/>
  <pageSetup paperSize="9" scale="6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9"/>
  <sheetViews>
    <sheetView showGridLines="0" zoomScale="120" zoomScaleNormal="120" workbookViewId="0">
      <pane ySplit="3" topLeftCell="A4" activePane="bottomLeft" state="frozen"/>
      <selection pane="bottomLeft" activeCell="F6" sqref="F6"/>
    </sheetView>
  </sheetViews>
  <sheetFormatPr baseColWidth="10" defaultColWidth="11" defaultRowHeight="13.5" customHeight="1" x14ac:dyDescent="0.3"/>
  <cols>
    <col min="1" max="1" width="1.109375" style="2" customWidth="1"/>
    <col min="2" max="2" width="35.6640625" style="3" customWidth="1"/>
    <col min="3" max="3" width="50.109375" style="3" customWidth="1"/>
    <col min="4" max="4" width="7.88671875" style="3" customWidth="1"/>
    <col min="5" max="5" width="7" style="3" customWidth="1"/>
    <col min="6" max="6" width="45.33203125" style="3" customWidth="1"/>
    <col min="7" max="7" width="11" style="2" hidden="1" customWidth="1"/>
    <col min="8" max="9" width="11" style="2"/>
    <col min="10" max="10" width="11" style="2" customWidth="1"/>
    <col min="11" max="16384" width="11" style="2"/>
  </cols>
  <sheetData>
    <row r="1" spans="1:7" ht="66.75" customHeight="1" x14ac:dyDescent="0.3">
      <c r="A1" s="62" t="s">
        <v>0</v>
      </c>
      <c r="B1" s="62"/>
      <c r="C1" s="62"/>
      <c r="D1" s="62"/>
      <c r="E1" s="62"/>
      <c r="F1" s="62"/>
    </row>
    <row r="2" spans="1:7" ht="13.5" customHeight="1" thickBot="1" x14ac:dyDescent="0.35"/>
    <row r="3" spans="1:7" ht="41.4" customHeight="1" x14ac:dyDescent="0.3">
      <c r="B3" s="169" t="s">
        <v>29</v>
      </c>
      <c r="C3" s="163" t="s">
        <v>30</v>
      </c>
      <c r="D3" s="171" t="s">
        <v>190</v>
      </c>
      <c r="E3" s="172"/>
      <c r="F3" s="163" t="s">
        <v>31</v>
      </c>
    </row>
    <row r="4" spans="1:7" ht="15" customHeight="1" x14ac:dyDescent="0.3">
      <c r="B4" s="170"/>
      <c r="C4" s="164"/>
      <c r="D4" s="51" t="s">
        <v>32</v>
      </c>
      <c r="E4" s="52" t="s">
        <v>33</v>
      </c>
      <c r="F4" s="164"/>
    </row>
    <row r="5" spans="1:7" ht="40.5" customHeight="1" x14ac:dyDescent="0.3">
      <c r="B5" s="50" t="s">
        <v>241</v>
      </c>
      <c r="C5" s="50" t="s">
        <v>110</v>
      </c>
      <c r="D5" s="22"/>
      <c r="E5" s="22"/>
      <c r="F5" s="49"/>
      <c r="G5" s="3"/>
    </row>
    <row r="6" spans="1:7" ht="41.25" customHeight="1" thickBot="1" x14ac:dyDescent="0.35">
      <c r="B6" s="50" t="s">
        <v>242</v>
      </c>
      <c r="C6" s="50" t="s">
        <v>141</v>
      </c>
      <c r="D6" s="22"/>
      <c r="E6" s="22"/>
      <c r="F6" s="49"/>
      <c r="G6" s="3" t="e">
        <f>OR(D6="X",E6="X",#REF!="x")</f>
        <v>#REF!</v>
      </c>
    </row>
    <row r="7" spans="1:7" ht="8.25" hidden="1" customHeight="1" x14ac:dyDescent="0.3">
      <c r="B7" s="9"/>
      <c r="C7" s="10"/>
      <c r="D7" s="1">
        <f>COUNTIF(D5:D6,"x")</f>
        <v>0</v>
      </c>
      <c r="E7" s="1"/>
      <c r="F7" s="11"/>
      <c r="G7" s="12"/>
    </row>
    <row r="8" spans="1:7" ht="15" hidden="1" customHeight="1" thickBot="1" x14ac:dyDescent="0.35">
      <c r="B8" s="20"/>
      <c r="C8" s="10"/>
      <c r="D8" s="1"/>
      <c r="E8" s="21">
        <f>IF(OR(D5="X",D6="X"),0.5,0)</f>
        <v>0</v>
      </c>
      <c r="F8" s="1"/>
      <c r="G8" s="12"/>
    </row>
    <row r="9" spans="1:7" ht="16.2" thickBot="1" x14ac:dyDescent="0.35">
      <c r="B9" s="165" t="s">
        <v>88</v>
      </c>
      <c r="C9" s="166"/>
      <c r="D9" s="167">
        <f>E8</f>
        <v>0</v>
      </c>
      <c r="E9" s="168"/>
      <c r="F9" s="13"/>
      <c r="G9" s="12"/>
    </row>
    <row r="10" spans="1:7" ht="14.4" x14ac:dyDescent="0.3">
      <c r="B10" s="14" t="s">
        <v>89</v>
      </c>
      <c r="C10" s="158"/>
      <c r="D10" s="158"/>
      <c r="E10" s="158"/>
      <c r="F10" s="159"/>
    </row>
    <row r="11" spans="1:7" ht="14.4" x14ac:dyDescent="0.3">
      <c r="B11" s="160"/>
      <c r="C11" s="160"/>
      <c r="D11" s="160"/>
      <c r="E11" s="160"/>
      <c r="F11" s="160"/>
    </row>
    <row r="12" spans="1:7" ht="14.4" x14ac:dyDescent="0.3">
      <c r="B12" s="160"/>
      <c r="C12" s="160"/>
      <c r="D12" s="160"/>
      <c r="E12" s="160"/>
      <c r="F12" s="160"/>
    </row>
    <row r="13" spans="1:7" ht="14.4" x14ac:dyDescent="0.3">
      <c r="B13" s="160"/>
      <c r="C13" s="160"/>
      <c r="D13" s="160"/>
      <c r="E13" s="160"/>
      <c r="F13" s="160"/>
    </row>
    <row r="14" spans="1:7" ht="14.4" x14ac:dyDescent="0.3">
      <c r="B14" s="160"/>
      <c r="C14" s="160"/>
      <c r="D14" s="160"/>
      <c r="E14" s="160"/>
      <c r="F14" s="160"/>
    </row>
    <row r="15" spans="1:7" ht="14.4" x14ac:dyDescent="0.3">
      <c r="B15" s="160"/>
      <c r="C15" s="160"/>
      <c r="D15" s="160"/>
      <c r="E15" s="160"/>
      <c r="F15" s="160"/>
    </row>
    <row r="16" spans="1:7" ht="14.4" x14ac:dyDescent="0.3">
      <c r="B16" s="160"/>
      <c r="C16" s="160"/>
      <c r="D16" s="160"/>
      <c r="E16" s="160"/>
      <c r="F16" s="160"/>
    </row>
    <row r="17" spans="2:6" ht="15" customHeight="1" x14ac:dyDescent="0.3">
      <c r="B17" s="53" t="s">
        <v>90</v>
      </c>
      <c r="C17" s="161" t="s">
        <v>147</v>
      </c>
      <c r="D17" s="162"/>
      <c r="E17" s="162"/>
      <c r="F17" s="54" t="s">
        <v>91</v>
      </c>
    </row>
    <row r="18" spans="2:6" ht="24.9" customHeight="1" x14ac:dyDescent="0.3">
      <c r="B18" s="36"/>
      <c r="C18" s="157"/>
      <c r="D18" s="157"/>
      <c r="E18" s="157"/>
      <c r="F18" s="37"/>
    </row>
    <row r="19" spans="2:6" ht="24.9" customHeight="1" x14ac:dyDescent="0.3">
      <c r="B19" s="36"/>
      <c r="C19" s="157"/>
      <c r="D19" s="157"/>
      <c r="E19" s="157"/>
      <c r="F19" s="37"/>
    </row>
    <row r="20" spans="2:6" ht="24.9" customHeight="1" x14ac:dyDescent="0.3">
      <c r="B20" s="36"/>
      <c r="C20" s="157"/>
      <c r="D20" s="157"/>
      <c r="E20" s="157"/>
      <c r="F20" s="37"/>
    </row>
    <row r="21" spans="2:6" ht="24.9" customHeight="1" x14ac:dyDescent="0.3">
      <c r="B21" s="36"/>
      <c r="C21" s="157"/>
      <c r="D21" s="157"/>
      <c r="E21" s="157"/>
      <c r="F21" s="37"/>
    </row>
    <row r="22" spans="2:6" ht="24.9" customHeight="1" x14ac:dyDescent="0.3">
      <c r="B22" s="36"/>
      <c r="C22" s="157"/>
      <c r="D22" s="157"/>
      <c r="E22" s="157"/>
      <c r="F22" s="37"/>
    </row>
    <row r="23" spans="2:6" ht="24.9" customHeight="1" x14ac:dyDescent="0.3">
      <c r="B23" s="36"/>
      <c r="C23" s="157"/>
      <c r="D23" s="157"/>
      <c r="E23" s="157"/>
      <c r="F23" s="37"/>
    </row>
    <row r="24" spans="2:6" ht="24.9" customHeight="1" x14ac:dyDescent="0.3">
      <c r="B24" s="36"/>
      <c r="C24" s="157"/>
      <c r="D24" s="157"/>
      <c r="E24" s="157"/>
      <c r="F24" s="37"/>
    </row>
    <row r="25" spans="2:6" ht="24.9" customHeight="1" x14ac:dyDescent="0.3">
      <c r="B25" s="36"/>
      <c r="C25" s="157"/>
      <c r="D25" s="157"/>
      <c r="E25" s="157"/>
      <c r="F25" s="37"/>
    </row>
    <row r="26" spans="2:6" ht="24.9" customHeight="1" x14ac:dyDescent="0.3">
      <c r="B26" s="36"/>
      <c r="C26" s="157"/>
      <c r="D26" s="157"/>
      <c r="E26" s="157"/>
      <c r="F26" s="37"/>
    </row>
    <row r="27" spans="2:6" ht="24.9" customHeight="1" x14ac:dyDescent="0.3">
      <c r="B27" s="36"/>
      <c r="C27" s="157"/>
      <c r="D27" s="157"/>
      <c r="E27" s="157"/>
      <c r="F27" s="37"/>
    </row>
    <row r="28" spans="2:6" ht="24.9" customHeight="1" x14ac:dyDescent="0.3">
      <c r="B28" s="36"/>
      <c r="C28" s="157"/>
      <c r="D28" s="157"/>
      <c r="E28" s="157"/>
      <c r="F28" s="37"/>
    </row>
    <row r="29" spans="2:6" ht="24.9" customHeight="1" x14ac:dyDescent="0.3">
      <c r="B29" s="36"/>
      <c r="C29" s="157"/>
      <c r="D29" s="157"/>
      <c r="E29" s="157"/>
      <c r="F29" s="37"/>
    </row>
    <row r="30" spans="2:6" ht="24.9" customHeight="1" x14ac:dyDescent="0.3">
      <c r="B30" s="36"/>
      <c r="C30" s="157"/>
      <c r="D30" s="157"/>
      <c r="E30" s="157"/>
      <c r="F30" s="37"/>
    </row>
    <row r="31" spans="2:6" ht="24.9" customHeight="1" x14ac:dyDescent="0.3">
      <c r="B31" s="36"/>
      <c r="C31" s="157"/>
      <c r="D31" s="157"/>
      <c r="E31" s="157"/>
      <c r="F31" s="37"/>
    </row>
    <row r="32" spans="2:6" ht="24.9" customHeight="1" x14ac:dyDescent="0.3">
      <c r="B32" s="36"/>
      <c r="C32" s="157"/>
      <c r="D32" s="157"/>
      <c r="E32" s="157"/>
      <c r="F32" s="37"/>
    </row>
    <row r="33" spans="2:6" ht="24.9" customHeight="1" x14ac:dyDescent="0.3">
      <c r="B33" s="36"/>
      <c r="C33" s="157"/>
      <c r="D33" s="157"/>
      <c r="E33" s="157"/>
      <c r="F33" s="37"/>
    </row>
    <row r="34" spans="2:6" ht="24.9" customHeight="1" x14ac:dyDescent="0.3">
      <c r="B34" s="36"/>
      <c r="C34" s="157"/>
      <c r="D34" s="157"/>
      <c r="E34" s="157"/>
      <c r="F34" s="37"/>
    </row>
    <row r="35" spans="2:6" ht="24.9" customHeight="1" x14ac:dyDescent="0.3">
      <c r="B35" s="36"/>
      <c r="C35" s="157"/>
      <c r="D35" s="157"/>
      <c r="E35" s="157"/>
      <c r="F35" s="37"/>
    </row>
    <row r="36" spans="2:6" ht="24.9" customHeight="1" x14ac:dyDescent="0.3">
      <c r="B36" s="36"/>
      <c r="C36" s="157"/>
      <c r="D36" s="157"/>
      <c r="E36" s="157"/>
      <c r="F36" s="37"/>
    </row>
    <row r="37" spans="2:6" ht="24.9" customHeight="1" x14ac:dyDescent="0.3">
      <c r="B37" s="36"/>
      <c r="C37" s="157"/>
      <c r="D37" s="157"/>
      <c r="E37" s="157"/>
      <c r="F37" s="37"/>
    </row>
    <row r="38" spans="2:6" ht="24.9" customHeight="1" x14ac:dyDescent="0.3">
      <c r="B38" s="36"/>
      <c r="C38" s="157"/>
      <c r="D38" s="157"/>
      <c r="E38" s="157"/>
      <c r="F38" s="37"/>
    </row>
    <row r="39" spans="2:6" ht="24.9" customHeight="1" x14ac:dyDescent="0.3">
      <c r="B39" s="36"/>
      <c r="C39" s="157"/>
      <c r="D39" s="157"/>
      <c r="E39" s="157"/>
      <c r="F39" s="37"/>
    </row>
    <row r="40" spans="2:6" ht="24.9" customHeight="1" x14ac:dyDescent="0.3">
      <c r="B40" s="36"/>
      <c r="C40" s="157"/>
      <c r="D40" s="157"/>
      <c r="E40" s="157"/>
      <c r="F40" s="37"/>
    </row>
    <row r="41" spans="2:6" ht="24.9" customHeight="1" x14ac:dyDescent="0.3">
      <c r="B41" s="36"/>
      <c r="C41" s="157"/>
      <c r="D41" s="157"/>
      <c r="E41" s="157"/>
      <c r="F41" s="37"/>
    </row>
    <row r="42" spans="2:6" ht="24.9" customHeight="1" x14ac:dyDescent="0.3">
      <c r="B42" s="36"/>
      <c r="C42" s="157"/>
      <c r="D42" s="157"/>
      <c r="E42" s="157"/>
      <c r="F42" s="37"/>
    </row>
    <row r="43" spans="2:6" ht="24.9" customHeight="1" x14ac:dyDescent="0.3">
      <c r="B43" s="36"/>
      <c r="C43" s="157"/>
      <c r="D43" s="157"/>
      <c r="E43" s="157"/>
      <c r="F43" s="37"/>
    </row>
    <row r="44" spans="2:6" ht="24.9" customHeight="1" x14ac:dyDescent="0.3">
      <c r="B44" s="36"/>
      <c r="C44" s="157"/>
      <c r="D44" s="157"/>
      <c r="E44" s="157"/>
      <c r="F44" s="37"/>
    </row>
    <row r="45" spans="2:6" ht="24.9" customHeight="1" x14ac:dyDescent="0.3">
      <c r="B45" s="36"/>
      <c r="C45" s="157"/>
      <c r="D45" s="157"/>
      <c r="E45" s="157"/>
      <c r="F45" s="37"/>
    </row>
    <row r="46" spans="2:6" ht="24.9" customHeight="1" x14ac:dyDescent="0.3">
      <c r="B46" s="36"/>
      <c r="C46" s="157"/>
      <c r="D46" s="157"/>
      <c r="E46" s="157"/>
      <c r="F46" s="37"/>
    </row>
    <row r="47" spans="2:6" ht="24.9" customHeight="1" x14ac:dyDescent="0.3">
      <c r="B47" s="36"/>
      <c r="C47" s="157"/>
      <c r="D47" s="157"/>
      <c r="E47" s="157"/>
      <c r="F47" s="37"/>
    </row>
    <row r="48" spans="2:6" ht="24.9" customHeight="1" x14ac:dyDescent="0.3">
      <c r="B48" s="36"/>
      <c r="C48" s="157"/>
      <c r="D48" s="157"/>
      <c r="E48" s="157"/>
      <c r="F48" s="37"/>
    </row>
    <row r="49" spans="2:6" ht="24.9" customHeight="1" x14ac:dyDescent="0.3">
      <c r="B49" s="36"/>
      <c r="C49" s="157"/>
      <c r="D49" s="157"/>
      <c r="E49" s="157"/>
      <c r="F49" s="37"/>
    </row>
  </sheetData>
  <sheetProtection algorithmName="SHA-512" hashValue="158k2NREFfnTQPVM2sMOTHzCAbQcT8sivbREkLa1CIVrcizm4/ZnNplJRg7INCILlLcIDvZmtdBxSHcV5FksxA==" saltValue="YpjjYFxSIcCat1ZyUJdg4g==" spinCount="100000" sheet="1" formatCells="0" formatColumns="0" formatRows="0" insertRows="0" selectLockedCells="1" sort="0" autoFilter="0"/>
  <autoFilter ref="D4:E10" xr:uid="{00000000-0009-0000-0000-000002000000}"/>
  <mergeCells count="42">
    <mergeCell ref="F3:F4"/>
    <mergeCell ref="B9:C9"/>
    <mergeCell ref="D9:E9"/>
    <mergeCell ref="B3:B4"/>
    <mergeCell ref="C3:C4"/>
    <mergeCell ref="D3:E3"/>
    <mergeCell ref="C23:E23"/>
    <mergeCell ref="C24:E24"/>
    <mergeCell ref="C25:E25"/>
    <mergeCell ref="C31:E31"/>
    <mergeCell ref="C32:E32"/>
    <mergeCell ref="C18:E18"/>
    <mergeCell ref="C19:E19"/>
    <mergeCell ref="C20:E20"/>
    <mergeCell ref="C21:E21"/>
    <mergeCell ref="C22:E22"/>
    <mergeCell ref="C33:E33"/>
    <mergeCell ref="C34:E34"/>
    <mergeCell ref="C35:E35"/>
    <mergeCell ref="A1:F1"/>
    <mergeCell ref="C46:E46"/>
    <mergeCell ref="C38:E38"/>
    <mergeCell ref="C27:E27"/>
    <mergeCell ref="C28:E28"/>
    <mergeCell ref="C29:E29"/>
    <mergeCell ref="C30:E30"/>
    <mergeCell ref="C36:E36"/>
    <mergeCell ref="C37:E37"/>
    <mergeCell ref="C26:E26"/>
    <mergeCell ref="C10:F10"/>
    <mergeCell ref="B11:F16"/>
    <mergeCell ref="C17:E17"/>
    <mergeCell ref="C47:E47"/>
    <mergeCell ref="C48:E48"/>
    <mergeCell ref="C49:E49"/>
    <mergeCell ref="C39:E39"/>
    <mergeCell ref="C40:E40"/>
    <mergeCell ref="C41:E41"/>
    <mergeCell ref="C42:E42"/>
    <mergeCell ref="C43:E43"/>
    <mergeCell ref="C44:E44"/>
    <mergeCell ref="C45:E45"/>
  </mergeCells>
  <printOptions horizontalCentered="1" verticalCentered="1"/>
  <pageMargins left="0.39305555555555599" right="0.39305555555555599" top="0.39305555555555599" bottom="0.39305555555555599" header="0" footer="0"/>
  <pageSetup scale="6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87"/>
  <sheetViews>
    <sheetView showGridLines="0" zoomScale="130" zoomScaleNormal="130" workbookViewId="0">
      <pane ySplit="4" topLeftCell="A5" activePane="bottomLeft" state="frozen"/>
      <selection pane="bottomLeft" activeCell="B49" sqref="B49:G54"/>
    </sheetView>
  </sheetViews>
  <sheetFormatPr baseColWidth="10" defaultColWidth="11" defaultRowHeight="13.5" customHeight="1" x14ac:dyDescent="0.3"/>
  <cols>
    <col min="1" max="1" width="4.44140625" style="23" customWidth="1"/>
    <col min="2" max="2" width="35.6640625" style="3" customWidth="1"/>
    <col min="3" max="3" width="50.109375" style="3" customWidth="1"/>
    <col min="4" max="4" width="7.88671875" style="3" customWidth="1"/>
    <col min="5" max="5" width="7" style="3" customWidth="1"/>
    <col min="6" max="6" width="7.88671875" style="3" customWidth="1"/>
    <col min="7" max="7" width="51.88671875" style="3" customWidth="1"/>
    <col min="8" max="8" width="11" style="2" hidden="1" customWidth="1"/>
    <col min="9" max="9" width="11" style="2"/>
    <col min="10" max="10" width="0" style="2" hidden="1" customWidth="1"/>
    <col min="11" max="11" width="11" style="2" hidden="1" customWidth="1"/>
    <col min="12" max="16384" width="11" style="2"/>
  </cols>
  <sheetData>
    <row r="1" spans="1:11" ht="66.75" customHeight="1" x14ac:dyDescent="0.3">
      <c r="A1" s="62" t="s">
        <v>0</v>
      </c>
      <c r="B1" s="62"/>
      <c r="C1" s="62"/>
      <c r="D1" s="62"/>
      <c r="E1" s="62"/>
      <c r="F1" s="62"/>
      <c r="G1" s="62"/>
    </row>
    <row r="3" spans="1:11" ht="41.4" customHeight="1" x14ac:dyDescent="0.3">
      <c r="A3" s="173" t="s">
        <v>229</v>
      </c>
      <c r="B3" s="173" t="s">
        <v>29</v>
      </c>
      <c r="C3" s="173" t="s">
        <v>30</v>
      </c>
      <c r="D3" s="173" t="s">
        <v>190</v>
      </c>
      <c r="E3" s="173"/>
      <c r="F3" s="173"/>
      <c r="G3" s="173" t="s">
        <v>31</v>
      </c>
    </row>
    <row r="4" spans="1:11" ht="15" customHeight="1" x14ac:dyDescent="0.3">
      <c r="A4" s="173"/>
      <c r="B4" s="173"/>
      <c r="C4" s="173"/>
      <c r="D4" s="30" t="s">
        <v>32</v>
      </c>
      <c r="E4" s="30" t="s">
        <v>33</v>
      </c>
      <c r="F4" s="30" t="s">
        <v>34</v>
      </c>
      <c r="G4" s="173"/>
    </row>
    <row r="5" spans="1:11" ht="81" customHeight="1" x14ac:dyDescent="0.3">
      <c r="A5" s="29">
        <v>1</v>
      </c>
      <c r="B5" s="55" t="s">
        <v>149</v>
      </c>
      <c r="C5" s="56" t="s">
        <v>150</v>
      </c>
      <c r="D5" s="22"/>
      <c r="E5" s="22"/>
      <c r="F5" s="22"/>
      <c r="G5" s="60"/>
      <c r="H5" s="3" t="b">
        <f>OR(D5="X",E5="X",F5="x")</f>
        <v>0</v>
      </c>
      <c r="J5" s="2" t="s">
        <v>246</v>
      </c>
      <c r="K5" s="2">
        <f>COUNTA(A5:A44)</f>
        <v>40</v>
      </c>
    </row>
    <row r="6" spans="1:11" ht="95.25" customHeight="1" x14ac:dyDescent="0.3">
      <c r="A6" s="29">
        <v>2</v>
      </c>
      <c r="B6" s="55" t="s">
        <v>148</v>
      </c>
      <c r="C6" s="56" t="s">
        <v>152</v>
      </c>
      <c r="D6" s="22"/>
      <c r="E6" s="22"/>
      <c r="F6" s="22"/>
      <c r="G6" s="60"/>
      <c r="H6" s="3" t="b">
        <f t="shared" ref="H6:H33" si="0">OR(D6="X",E6="X",F6="x")</f>
        <v>0</v>
      </c>
      <c r="K6" s="2">
        <f>COUNTIF(F5:F44,"X")</f>
        <v>0</v>
      </c>
    </row>
    <row r="7" spans="1:11" ht="82.5" customHeight="1" x14ac:dyDescent="0.3">
      <c r="A7" s="29">
        <v>3</v>
      </c>
      <c r="B7" s="55" t="s">
        <v>35</v>
      </c>
      <c r="C7" s="7" t="s">
        <v>210</v>
      </c>
      <c r="D7" s="22"/>
      <c r="E7" s="22"/>
      <c r="F7" s="22"/>
      <c r="G7" s="60"/>
      <c r="H7" s="3" t="b">
        <f t="shared" si="0"/>
        <v>0</v>
      </c>
    </row>
    <row r="8" spans="1:11" ht="38.25" customHeight="1" x14ac:dyDescent="0.3">
      <c r="A8" s="29">
        <v>4</v>
      </c>
      <c r="B8" s="57" t="s">
        <v>126</v>
      </c>
      <c r="C8" s="56" t="s">
        <v>36</v>
      </c>
      <c r="D8" s="22"/>
      <c r="E8" s="22"/>
      <c r="F8" s="22"/>
      <c r="G8" s="60"/>
      <c r="H8" s="3" t="b">
        <f>OR(D8="X",E8="X",F8="x")</f>
        <v>0</v>
      </c>
    </row>
    <row r="9" spans="1:11" ht="83.25" customHeight="1" x14ac:dyDescent="0.3">
      <c r="A9" s="29">
        <v>5</v>
      </c>
      <c r="B9" s="57" t="s">
        <v>180</v>
      </c>
      <c r="C9" s="56" t="s">
        <v>151</v>
      </c>
      <c r="D9" s="22"/>
      <c r="E9" s="22"/>
      <c r="F9" s="22"/>
      <c r="G9" s="60"/>
      <c r="H9" s="3" t="b">
        <f t="shared" si="0"/>
        <v>0</v>
      </c>
    </row>
    <row r="10" spans="1:11" ht="80.25" customHeight="1" x14ac:dyDescent="0.3">
      <c r="A10" s="29">
        <v>6</v>
      </c>
      <c r="B10" s="57" t="s">
        <v>37</v>
      </c>
      <c r="C10" s="56" t="s">
        <v>127</v>
      </c>
      <c r="D10" s="22"/>
      <c r="E10" s="22"/>
      <c r="F10" s="22"/>
      <c r="G10" s="60"/>
      <c r="H10" s="3" t="e">
        <f>OR(D10="X",#REF!="X",E10="x")</f>
        <v>#REF!</v>
      </c>
    </row>
    <row r="11" spans="1:11" ht="45" customHeight="1" x14ac:dyDescent="0.3">
      <c r="A11" s="29">
        <v>7</v>
      </c>
      <c r="B11" s="57" t="s">
        <v>38</v>
      </c>
      <c r="C11" s="56" t="s">
        <v>92</v>
      </c>
      <c r="D11" s="22"/>
      <c r="E11" s="22"/>
      <c r="F11" s="22"/>
      <c r="G11" s="60"/>
      <c r="H11" s="3" t="b">
        <f t="shared" si="0"/>
        <v>0</v>
      </c>
    </row>
    <row r="12" spans="1:11" ht="59.4" customHeight="1" x14ac:dyDescent="0.3">
      <c r="A12" s="29">
        <v>8</v>
      </c>
      <c r="B12" s="55" t="s">
        <v>128</v>
      </c>
      <c r="C12" s="56" t="s">
        <v>181</v>
      </c>
      <c r="D12" s="22"/>
      <c r="E12" s="22"/>
      <c r="F12" s="22"/>
      <c r="G12" s="60"/>
      <c r="H12" s="3" t="b">
        <f t="shared" si="0"/>
        <v>0</v>
      </c>
    </row>
    <row r="13" spans="1:11" s="6" customFormat="1" ht="76.5" customHeight="1" x14ac:dyDescent="0.3">
      <c r="A13" s="29">
        <v>9</v>
      </c>
      <c r="B13" s="55" t="s">
        <v>182</v>
      </c>
      <c r="C13" s="56" t="s">
        <v>153</v>
      </c>
      <c r="D13" s="22"/>
      <c r="E13" s="22"/>
      <c r="F13" s="22"/>
      <c r="G13" s="60"/>
      <c r="H13" s="5" t="b">
        <f t="shared" si="0"/>
        <v>0</v>
      </c>
    </row>
    <row r="14" spans="1:11" ht="72.75" customHeight="1" x14ac:dyDescent="0.3">
      <c r="A14" s="29">
        <v>10</v>
      </c>
      <c r="B14" s="55" t="s">
        <v>39</v>
      </c>
      <c r="C14" s="56" t="s">
        <v>40</v>
      </c>
      <c r="D14" s="22"/>
      <c r="E14" s="22"/>
      <c r="F14" s="22"/>
      <c r="G14" s="60"/>
      <c r="H14" s="3" t="b">
        <f t="shared" si="0"/>
        <v>0</v>
      </c>
    </row>
    <row r="15" spans="1:11" ht="71.25" customHeight="1" x14ac:dyDescent="0.3">
      <c r="A15" s="29">
        <v>11</v>
      </c>
      <c r="B15" s="57" t="s">
        <v>154</v>
      </c>
      <c r="C15" s="7" t="s">
        <v>41</v>
      </c>
      <c r="D15" s="22"/>
      <c r="E15" s="22"/>
      <c r="F15" s="22"/>
      <c r="G15" s="60"/>
      <c r="H15" s="3" t="b">
        <f t="shared" si="0"/>
        <v>0</v>
      </c>
    </row>
    <row r="16" spans="1:11" ht="61.95" customHeight="1" x14ac:dyDescent="0.3">
      <c r="A16" s="29">
        <v>12</v>
      </c>
      <c r="B16" s="57" t="s">
        <v>172</v>
      </c>
      <c r="C16" s="56" t="s">
        <v>155</v>
      </c>
      <c r="D16" s="22"/>
      <c r="E16" s="22"/>
      <c r="F16" s="22"/>
      <c r="G16" s="60"/>
      <c r="H16" s="3" t="b">
        <f t="shared" si="0"/>
        <v>0</v>
      </c>
    </row>
    <row r="17" spans="1:8" s="6" customFormat="1" ht="90" customHeight="1" x14ac:dyDescent="0.3">
      <c r="A17" s="29">
        <v>13</v>
      </c>
      <c r="B17" s="57" t="s">
        <v>42</v>
      </c>
      <c r="C17" s="24" t="s">
        <v>183</v>
      </c>
      <c r="D17" s="22"/>
      <c r="E17" s="22"/>
      <c r="F17" s="22"/>
      <c r="G17" s="60"/>
      <c r="H17" s="5" t="b">
        <f t="shared" si="0"/>
        <v>0</v>
      </c>
    </row>
    <row r="18" spans="1:8" ht="45" customHeight="1" x14ac:dyDescent="0.3">
      <c r="A18" s="29">
        <v>14</v>
      </c>
      <c r="B18" s="57" t="s">
        <v>43</v>
      </c>
      <c r="C18" s="56" t="s">
        <v>44</v>
      </c>
      <c r="D18" s="22"/>
      <c r="E18" s="22"/>
      <c r="F18" s="22"/>
      <c r="G18" s="60"/>
      <c r="H18" s="3" t="b">
        <f t="shared" si="0"/>
        <v>0</v>
      </c>
    </row>
    <row r="19" spans="1:8" ht="45" customHeight="1" x14ac:dyDescent="0.3">
      <c r="A19" s="29">
        <v>15</v>
      </c>
      <c r="B19" s="57" t="s">
        <v>45</v>
      </c>
      <c r="C19" s="56" t="s">
        <v>184</v>
      </c>
      <c r="D19" s="22"/>
      <c r="E19" s="22"/>
      <c r="F19" s="22"/>
      <c r="G19" s="60"/>
      <c r="H19" s="3" t="b">
        <f t="shared" si="0"/>
        <v>0</v>
      </c>
    </row>
    <row r="20" spans="1:8" ht="60" customHeight="1" x14ac:dyDescent="0.3">
      <c r="A20" s="29">
        <v>16</v>
      </c>
      <c r="B20" s="57" t="s">
        <v>93</v>
      </c>
      <c r="C20" s="56" t="s">
        <v>185</v>
      </c>
      <c r="D20" s="22"/>
      <c r="E20" s="22"/>
      <c r="F20" s="22"/>
      <c r="G20" s="60"/>
      <c r="H20" s="3" t="b">
        <f t="shared" si="0"/>
        <v>0</v>
      </c>
    </row>
    <row r="21" spans="1:8" ht="45" customHeight="1" x14ac:dyDescent="0.3">
      <c r="A21" s="29">
        <v>17</v>
      </c>
      <c r="B21" s="57" t="s">
        <v>156</v>
      </c>
      <c r="C21" s="56" t="s">
        <v>46</v>
      </c>
      <c r="D21" s="22"/>
      <c r="E21" s="22"/>
      <c r="F21" s="22"/>
      <c r="G21" s="60"/>
      <c r="H21" s="3" t="e">
        <f>OR(D21="X",#REF!="X",E21="x")</f>
        <v>#REF!</v>
      </c>
    </row>
    <row r="22" spans="1:8" ht="85.5" customHeight="1" x14ac:dyDescent="0.3">
      <c r="A22" s="29">
        <v>18</v>
      </c>
      <c r="B22" s="57" t="s">
        <v>47</v>
      </c>
      <c r="C22" s="56" t="s">
        <v>157</v>
      </c>
      <c r="D22" s="22"/>
      <c r="E22" s="22"/>
      <c r="F22" s="22"/>
      <c r="G22" s="60"/>
      <c r="H22" s="3" t="b">
        <f t="shared" si="0"/>
        <v>0</v>
      </c>
    </row>
    <row r="23" spans="1:8" ht="46.5" customHeight="1" x14ac:dyDescent="0.3">
      <c r="A23" s="29">
        <v>19</v>
      </c>
      <c r="B23" s="57" t="s">
        <v>48</v>
      </c>
      <c r="C23" s="56" t="s">
        <v>158</v>
      </c>
      <c r="D23" s="22"/>
      <c r="E23" s="22"/>
      <c r="F23" s="22"/>
      <c r="G23" s="60"/>
      <c r="H23" s="3" t="b">
        <f t="shared" si="0"/>
        <v>0</v>
      </c>
    </row>
    <row r="24" spans="1:8" ht="42.75" customHeight="1" x14ac:dyDescent="0.3">
      <c r="A24" s="29">
        <v>20</v>
      </c>
      <c r="B24" s="55" t="s">
        <v>49</v>
      </c>
      <c r="C24" s="56" t="s">
        <v>159</v>
      </c>
      <c r="D24" s="22"/>
      <c r="E24" s="22"/>
      <c r="F24" s="22"/>
      <c r="G24" s="60"/>
      <c r="H24" s="3" t="b">
        <f t="shared" si="0"/>
        <v>0</v>
      </c>
    </row>
    <row r="25" spans="1:8" ht="79.2" customHeight="1" x14ac:dyDescent="0.3">
      <c r="A25" s="29">
        <v>21</v>
      </c>
      <c r="B25" s="57" t="s">
        <v>50</v>
      </c>
      <c r="C25" s="56" t="s">
        <v>129</v>
      </c>
      <c r="D25" s="22"/>
      <c r="E25" s="22"/>
      <c r="F25" s="22"/>
      <c r="G25" s="60"/>
      <c r="H25" s="3" t="b">
        <f t="shared" si="0"/>
        <v>0</v>
      </c>
    </row>
    <row r="26" spans="1:8" ht="56.25" customHeight="1" x14ac:dyDescent="0.3">
      <c r="A26" s="29">
        <v>22</v>
      </c>
      <c r="B26" s="57" t="s">
        <v>192</v>
      </c>
      <c r="C26" s="56" t="s">
        <v>51</v>
      </c>
      <c r="D26" s="22"/>
      <c r="E26" s="22"/>
      <c r="F26" s="22"/>
      <c r="G26" s="60"/>
      <c r="H26" s="3" t="b">
        <f t="shared" si="0"/>
        <v>0</v>
      </c>
    </row>
    <row r="27" spans="1:8" ht="51.75" customHeight="1" x14ac:dyDescent="0.3">
      <c r="A27" s="29">
        <v>23</v>
      </c>
      <c r="B27" s="57" t="s">
        <v>162</v>
      </c>
      <c r="C27" s="56" t="s">
        <v>191</v>
      </c>
      <c r="D27" s="22"/>
      <c r="E27" s="22"/>
      <c r="F27" s="22"/>
      <c r="G27" s="60"/>
      <c r="H27" s="3" t="b">
        <f t="shared" si="0"/>
        <v>0</v>
      </c>
    </row>
    <row r="28" spans="1:8" ht="66" customHeight="1" x14ac:dyDescent="0.3">
      <c r="A28" s="29">
        <v>24</v>
      </c>
      <c r="B28" s="57" t="s">
        <v>163</v>
      </c>
      <c r="C28" s="56" t="s">
        <v>52</v>
      </c>
      <c r="D28" s="22"/>
      <c r="E28" s="22"/>
      <c r="F28" s="22"/>
      <c r="G28" s="60"/>
      <c r="H28" s="3" t="b">
        <f t="shared" si="0"/>
        <v>0</v>
      </c>
    </row>
    <row r="29" spans="1:8" ht="90.75" customHeight="1" x14ac:dyDescent="0.3">
      <c r="A29" s="29">
        <v>25</v>
      </c>
      <c r="B29" s="58" t="s">
        <v>94</v>
      </c>
      <c r="C29" s="56" t="s">
        <v>130</v>
      </c>
      <c r="D29" s="22"/>
      <c r="E29" s="22"/>
      <c r="F29" s="22"/>
      <c r="G29" s="60"/>
      <c r="H29" s="3" t="b">
        <f t="shared" si="0"/>
        <v>0</v>
      </c>
    </row>
    <row r="30" spans="1:8" ht="95.4" customHeight="1" x14ac:dyDescent="0.3">
      <c r="A30" s="29">
        <v>26</v>
      </c>
      <c r="B30" s="55" t="s">
        <v>54</v>
      </c>
      <c r="C30" s="59" t="s">
        <v>187</v>
      </c>
      <c r="D30" s="22"/>
      <c r="E30" s="22"/>
      <c r="F30" s="22"/>
      <c r="G30" s="60"/>
      <c r="H30" s="3" t="b">
        <f t="shared" si="0"/>
        <v>0</v>
      </c>
    </row>
    <row r="31" spans="1:8" ht="61.95" customHeight="1" x14ac:dyDescent="0.3">
      <c r="A31" s="29">
        <v>27</v>
      </c>
      <c r="B31" s="55" t="s">
        <v>193</v>
      </c>
      <c r="C31" s="59" t="s">
        <v>55</v>
      </c>
      <c r="D31" s="22"/>
      <c r="E31" s="22"/>
      <c r="F31" s="22"/>
      <c r="G31" s="60"/>
      <c r="H31" s="3" t="b">
        <f t="shared" si="0"/>
        <v>0</v>
      </c>
    </row>
    <row r="32" spans="1:8" ht="109.5" customHeight="1" x14ac:dyDescent="0.3">
      <c r="A32" s="29">
        <v>28</v>
      </c>
      <c r="B32" s="55" t="s">
        <v>131</v>
      </c>
      <c r="C32" s="59" t="s">
        <v>166</v>
      </c>
      <c r="D32" s="22"/>
      <c r="E32" s="22"/>
      <c r="F32" s="22"/>
      <c r="G32" s="60"/>
      <c r="H32" s="3" t="b">
        <f t="shared" si="0"/>
        <v>0</v>
      </c>
    </row>
    <row r="33" spans="1:8" ht="109.5" customHeight="1" x14ac:dyDescent="0.3">
      <c r="A33" s="29">
        <v>29</v>
      </c>
      <c r="B33" s="57" t="s">
        <v>95</v>
      </c>
      <c r="C33" s="56" t="s">
        <v>132</v>
      </c>
      <c r="D33" s="22"/>
      <c r="E33" s="22"/>
      <c r="F33" s="22"/>
      <c r="G33" s="60"/>
      <c r="H33" s="3" t="b">
        <f t="shared" si="0"/>
        <v>0</v>
      </c>
    </row>
    <row r="34" spans="1:8" ht="119.25" customHeight="1" x14ac:dyDescent="0.3">
      <c r="A34" s="29">
        <v>30</v>
      </c>
      <c r="B34" s="57" t="s">
        <v>203</v>
      </c>
      <c r="C34" s="56" t="s">
        <v>204</v>
      </c>
      <c r="D34" s="22"/>
      <c r="E34" s="22"/>
      <c r="F34" s="22"/>
      <c r="G34" s="60"/>
      <c r="H34" s="3" t="b">
        <f t="shared" ref="H34:H43" si="1">OR(D34="X",E34="X",F34="x")</f>
        <v>0</v>
      </c>
    </row>
    <row r="35" spans="1:8" ht="58.95" customHeight="1" x14ac:dyDescent="0.3">
      <c r="A35" s="29">
        <v>31</v>
      </c>
      <c r="B35" s="57" t="s">
        <v>107</v>
      </c>
      <c r="C35" s="56" t="s">
        <v>202</v>
      </c>
      <c r="D35" s="22"/>
      <c r="E35" s="22"/>
      <c r="F35" s="22"/>
      <c r="G35" s="60"/>
      <c r="H35" s="3" t="b">
        <f t="shared" si="1"/>
        <v>0</v>
      </c>
    </row>
    <row r="36" spans="1:8" ht="60" customHeight="1" x14ac:dyDescent="0.3">
      <c r="A36" s="29">
        <v>32</v>
      </c>
      <c r="B36" s="57" t="s">
        <v>82</v>
      </c>
      <c r="C36" s="56" t="s">
        <v>143</v>
      </c>
      <c r="D36" s="22"/>
      <c r="E36" s="22"/>
      <c r="F36" s="22"/>
      <c r="G36" s="60"/>
      <c r="H36" s="3" t="b">
        <f t="shared" si="1"/>
        <v>0</v>
      </c>
    </row>
    <row r="37" spans="1:8" ht="52.5" customHeight="1" x14ac:dyDescent="0.3">
      <c r="A37" s="29">
        <v>33</v>
      </c>
      <c r="B37" s="57" t="s">
        <v>144</v>
      </c>
      <c r="C37" s="56" t="s">
        <v>116</v>
      </c>
      <c r="D37" s="22"/>
      <c r="E37" s="22"/>
      <c r="F37" s="22"/>
      <c r="G37" s="60"/>
      <c r="H37" s="3" t="b">
        <f t="shared" si="1"/>
        <v>0</v>
      </c>
    </row>
    <row r="38" spans="1:8" ht="51" customHeight="1" x14ac:dyDescent="0.3">
      <c r="A38" s="29">
        <v>34</v>
      </c>
      <c r="B38" s="57" t="s">
        <v>83</v>
      </c>
      <c r="C38" s="56" t="s">
        <v>117</v>
      </c>
      <c r="D38" s="22"/>
      <c r="E38" s="22"/>
      <c r="F38" s="22"/>
      <c r="G38" s="60"/>
      <c r="H38" s="3" t="b">
        <f t="shared" si="1"/>
        <v>0</v>
      </c>
    </row>
    <row r="39" spans="1:8" ht="65.25" customHeight="1" x14ac:dyDescent="0.3">
      <c r="A39" s="29">
        <v>35</v>
      </c>
      <c r="B39" s="57" t="s">
        <v>84</v>
      </c>
      <c r="C39" s="56" t="s">
        <v>118</v>
      </c>
      <c r="D39" s="22"/>
      <c r="E39" s="22"/>
      <c r="F39" s="22"/>
      <c r="G39" s="60"/>
      <c r="H39" s="3" t="b">
        <f t="shared" si="1"/>
        <v>0</v>
      </c>
    </row>
    <row r="40" spans="1:8" ht="74.25" customHeight="1" x14ac:dyDescent="0.3">
      <c r="A40" s="29">
        <v>36</v>
      </c>
      <c r="B40" s="57" t="s">
        <v>207</v>
      </c>
      <c r="C40" s="56" t="s">
        <v>227</v>
      </c>
      <c r="D40" s="22"/>
      <c r="E40" s="22"/>
      <c r="F40" s="22"/>
      <c r="G40" s="60"/>
      <c r="H40" s="3" t="b">
        <f t="shared" si="1"/>
        <v>0</v>
      </c>
    </row>
    <row r="41" spans="1:8" ht="91.5" customHeight="1" x14ac:dyDescent="0.3">
      <c r="A41" s="29">
        <v>37</v>
      </c>
      <c r="B41" s="57" t="s">
        <v>120</v>
      </c>
      <c r="C41" s="56" t="s">
        <v>173</v>
      </c>
      <c r="D41" s="22"/>
      <c r="E41" s="22"/>
      <c r="F41" s="22"/>
      <c r="G41" s="60"/>
      <c r="H41" s="3" t="e">
        <f>OR(#REF!="X",D41="X",F41="x")</f>
        <v>#REF!</v>
      </c>
    </row>
    <row r="42" spans="1:8" ht="91.5" customHeight="1" x14ac:dyDescent="0.3">
      <c r="A42" s="29">
        <v>38</v>
      </c>
      <c r="B42" s="57" t="s">
        <v>121</v>
      </c>
      <c r="C42" s="56" t="s">
        <v>208</v>
      </c>
      <c r="D42" s="22"/>
      <c r="E42" s="22"/>
      <c r="F42" s="22"/>
      <c r="G42" s="60"/>
      <c r="H42" s="3" t="e">
        <f>OR(#REF!="X",D42="X",F42="x")</f>
        <v>#REF!</v>
      </c>
    </row>
    <row r="43" spans="1:8" ht="55.5" customHeight="1" x14ac:dyDescent="0.3">
      <c r="A43" s="29">
        <v>39</v>
      </c>
      <c r="B43" s="57" t="s">
        <v>86</v>
      </c>
      <c r="C43" s="56" t="s">
        <v>145</v>
      </c>
      <c r="D43" s="22"/>
      <c r="E43" s="22"/>
      <c r="F43" s="22"/>
      <c r="G43" s="60"/>
      <c r="H43" s="3" t="b">
        <f t="shared" si="1"/>
        <v>0</v>
      </c>
    </row>
    <row r="44" spans="1:8" ht="54" customHeight="1" thickBot="1" x14ac:dyDescent="0.35">
      <c r="A44" s="29">
        <v>40</v>
      </c>
      <c r="B44" s="57" t="s">
        <v>87</v>
      </c>
      <c r="C44" s="56" t="s">
        <v>122</v>
      </c>
      <c r="D44" s="22"/>
      <c r="E44" s="22"/>
      <c r="F44" s="22"/>
      <c r="G44" s="60"/>
      <c r="H44" s="3"/>
    </row>
    <row r="45" spans="1:8" ht="14.25" hidden="1" customHeight="1" x14ac:dyDescent="0.3">
      <c r="B45" s="9"/>
      <c r="C45" s="10"/>
      <c r="D45" s="1">
        <f>COUNTIF(D5:D44,"x")</f>
        <v>0</v>
      </c>
      <c r="E45" s="1">
        <f>COUNTIF(E5:E44,"X")</f>
        <v>0</v>
      </c>
      <c r="F45" s="1">
        <f>K5-K6</f>
        <v>40</v>
      </c>
      <c r="G45" s="1"/>
      <c r="H45" s="12"/>
    </row>
    <row r="46" spans="1:8" ht="16.5" hidden="1" customHeight="1" thickBot="1" x14ac:dyDescent="0.35">
      <c r="B46" s="20"/>
      <c r="C46" s="10"/>
      <c r="D46" s="1"/>
      <c r="E46" s="1"/>
      <c r="F46" s="21">
        <f>IFERROR((D45/F45)/2,"0")</f>
        <v>0</v>
      </c>
      <c r="G46" s="1"/>
      <c r="H46" s="12"/>
    </row>
    <row r="47" spans="1:8" ht="16.2" thickBot="1" x14ac:dyDescent="0.35">
      <c r="B47" s="165" t="s">
        <v>88</v>
      </c>
      <c r="C47" s="166"/>
      <c r="D47" s="167" t="str">
        <f>IF(OR('1-Cx y cert'!D5="X",'1-Cx y cert'!D6="X"),F46,"ERROR")</f>
        <v>ERROR</v>
      </c>
      <c r="E47" s="168"/>
      <c r="F47" s="168"/>
      <c r="G47" s="13"/>
      <c r="H47" s="12"/>
    </row>
    <row r="48" spans="1:8" ht="14.4" x14ac:dyDescent="0.3">
      <c r="B48" s="14" t="s">
        <v>89</v>
      </c>
      <c r="C48" s="158"/>
      <c r="D48" s="158"/>
      <c r="E48" s="158"/>
      <c r="F48" s="158"/>
      <c r="G48" s="159"/>
    </row>
    <row r="49" spans="2:7" ht="14.4" x14ac:dyDescent="0.3">
      <c r="B49" s="160"/>
      <c r="C49" s="160"/>
      <c r="D49" s="160"/>
      <c r="E49" s="160"/>
      <c r="F49" s="160"/>
      <c r="G49" s="160"/>
    </row>
    <row r="50" spans="2:7" ht="14.4" x14ac:dyDescent="0.3">
      <c r="B50" s="160"/>
      <c r="C50" s="160"/>
      <c r="D50" s="160"/>
      <c r="E50" s="160"/>
      <c r="F50" s="160"/>
      <c r="G50" s="160"/>
    </row>
    <row r="51" spans="2:7" ht="14.4" x14ac:dyDescent="0.3">
      <c r="B51" s="160"/>
      <c r="C51" s="160"/>
      <c r="D51" s="160"/>
      <c r="E51" s="160"/>
      <c r="F51" s="160"/>
      <c r="G51" s="160"/>
    </row>
    <row r="52" spans="2:7" ht="14.4" x14ac:dyDescent="0.3">
      <c r="B52" s="160"/>
      <c r="C52" s="160"/>
      <c r="D52" s="160"/>
      <c r="E52" s="160"/>
      <c r="F52" s="160"/>
      <c r="G52" s="160"/>
    </row>
    <row r="53" spans="2:7" ht="14.4" x14ac:dyDescent="0.3">
      <c r="B53" s="160"/>
      <c r="C53" s="160"/>
      <c r="D53" s="160"/>
      <c r="E53" s="160"/>
      <c r="F53" s="160"/>
      <c r="G53" s="160"/>
    </row>
    <row r="54" spans="2:7" ht="14.4" x14ac:dyDescent="0.3">
      <c r="B54" s="160"/>
      <c r="C54" s="160"/>
      <c r="D54" s="160"/>
      <c r="E54" s="160"/>
      <c r="F54" s="160"/>
      <c r="G54" s="160"/>
    </row>
    <row r="55" spans="2:7" ht="15" customHeight="1" x14ac:dyDescent="0.3">
      <c r="B55" s="53" t="s">
        <v>90</v>
      </c>
      <c r="C55" s="161" t="s">
        <v>147</v>
      </c>
      <c r="D55" s="162"/>
      <c r="E55" s="162"/>
      <c r="F55" s="162"/>
      <c r="G55" s="54" t="s">
        <v>91</v>
      </c>
    </row>
    <row r="56" spans="2:7" ht="24.9" customHeight="1" x14ac:dyDescent="0.3">
      <c r="B56" s="36"/>
      <c r="C56" s="157"/>
      <c r="D56" s="157"/>
      <c r="E56" s="157"/>
      <c r="F56" s="157"/>
      <c r="G56" s="38"/>
    </row>
    <row r="57" spans="2:7" ht="24.9" customHeight="1" x14ac:dyDescent="0.3">
      <c r="B57" s="36"/>
      <c r="C57" s="157"/>
      <c r="D57" s="157"/>
      <c r="E57" s="157"/>
      <c r="F57" s="157"/>
      <c r="G57" s="38"/>
    </row>
    <row r="58" spans="2:7" ht="24.9" customHeight="1" x14ac:dyDescent="0.3">
      <c r="B58" s="36"/>
      <c r="C58" s="157"/>
      <c r="D58" s="157"/>
      <c r="E58" s="157"/>
      <c r="F58" s="157"/>
      <c r="G58" s="38"/>
    </row>
    <row r="59" spans="2:7" ht="24.9" customHeight="1" x14ac:dyDescent="0.3">
      <c r="B59" s="36"/>
      <c r="C59" s="157"/>
      <c r="D59" s="157"/>
      <c r="E59" s="157"/>
      <c r="F59" s="157"/>
      <c r="G59" s="38"/>
    </row>
    <row r="60" spans="2:7" ht="24.9" customHeight="1" x14ac:dyDescent="0.3">
      <c r="B60" s="36"/>
      <c r="C60" s="157"/>
      <c r="D60" s="157"/>
      <c r="E60" s="157"/>
      <c r="F60" s="157"/>
      <c r="G60" s="38"/>
    </row>
    <row r="61" spans="2:7" ht="24.9" customHeight="1" x14ac:dyDescent="0.3">
      <c r="B61" s="36"/>
      <c r="C61" s="157"/>
      <c r="D61" s="157"/>
      <c r="E61" s="157"/>
      <c r="F61" s="157"/>
      <c r="G61" s="38"/>
    </row>
    <row r="62" spans="2:7" ht="24.9" customHeight="1" x14ac:dyDescent="0.3">
      <c r="B62" s="36"/>
      <c r="C62" s="157"/>
      <c r="D62" s="157"/>
      <c r="E62" s="157"/>
      <c r="F62" s="157"/>
      <c r="G62" s="38"/>
    </row>
    <row r="63" spans="2:7" ht="24.9" customHeight="1" x14ac:dyDescent="0.3">
      <c r="B63" s="36"/>
      <c r="C63" s="157"/>
      <c r="D63" s="157"/>
      <c r="E63" s="157"/>
      <c r="F63" s="157"/>
      <c r="G63" s="38"/>
    </row>
    <row r="64" spans="2:7" ht="24.9" customHeight="1" x14ac:dyDescent="0.3">
      <c r="B64" s="36"/>
      <c r="C64" s="157"/>
      <c r="D64" s="157"/>
      <c r="E64" s="157"/>
      <c r="F64" s="157"/>
      <c r="G64" s="38"/>
    </row>
    <row r="65" spans="2:7" ht="24.9" customHeight="1" x14ac:dyDescent="0.3">
      <c r="B65" s="36"/>
      <c r="C65" s="157"/>
      <c r="D65" s="157"/>
      <c r="E65" s="157"/>
      <c r="F65" s="157"/>
      <c r="G65" s="38"/>
    </row>
    <row r="66" spans="2:7" ht="24.9" customHeight="1" x14ac:dyDescent="0.3">
      <c r="B66" s="36"/>
      <c r="C66" s="157"/>
      <c r="D66" s="157"/>
      <c r="E66" s="157"/>
      <c r="F66" s="157"/>
      <c r="G66" s="38"/>
    </row>
    <row r="67" spans="2:7" ht="24.9" customHeight="1" x14ac:dyDescent="0.3">
      <c r="B67" s="36"/>
      <c r="C67" s="157"/>
      <c r="D67" s="157"/>
      <c r="E67" s="157"/>
      <c r="F67" s="157"/>
      <c r="G67" s="38"/>
    </row>
    <row r="68" spans="2:7" ht="24.9" customHeight="1" x14ac:dyDescent="0.3">
      <c r="B68" s="36"/>
      <c r="C68" s="157"/>
      <c r="D68" s="157"/>
      <c r="E68" s="157"/>
      <c r="F68" s="157"/>
      <c r="G68" s="38"/>
    </row>
    <row r="69" spans="2:7" ht="24.9" customHeight="1" x14ac:dyDescent="0.3">
      <c r="B69" s="35"/>
      <c r="C69" s="157"/>
      <c r="D69" s="157"/>
      <c r="E69" s="157"/>
      <c r="F69" s="157"/>
      <c r="G69" s="38"/>
    </row>
    <row r="70" spans="2:7" ht="24.9" customHeight="1" x14ac:dyDescent="0.3">
      <c r="B70" s="35"/>
      <c r="C70" s="157"/>
      <c r="D70" s="157"/>
      <c r="E70" s="157"/>
      <c r="F70" s="157"/>
      <c r="G70" s="38"/>
    </row>
    <row r="71" spans="2:7" ht="24.9" customHeight="1" x14ac:dyDescent="0.3">
      <c r="B71" s="35"/>
      <c r="C71" s="157"/>
      <c r="D71" s="157"/>
      <c r="E71" s="157"/>
      <c r="F71" s="157"/>
      <c r="G71" s="38"/>
    </row>
    <row r="72" spans="2:7" ht="24.9" customHeight="1" x14ac:dyDescent="0.3">
      <c r="B72" s="35"/>
      <c r="C72" s="157"/>
      <c r="D72" s="157"/>
      <c r="E72" s="157"/>
      <c r="F72" s="157"/>
      <c r="G72" s="38"/>
    </row>
    <row r="73" spans="2:7" ht="24.9" customHeight="1" x14ac:dyDescent="0.3">
      <c r="B73" s="35"/>
      <c r="C73" s="157"/>
      <c r="D73" s="157"/>
      <c r="E73" s="157"/>
      <c r="F73" s="157"/>
      <c r="G73" s="38"/>
    </row>
    <row r="74" spans="2:7" ht="24.9" customHeight="1" x14ac:dyDescent="0.3">
      <c r="B74" s="35"/>
      <c r="C74" s="157"/>
      <c r="D74" s="157"/>
      <c r="E74" s="157"/>
      <c r="F74" s="157"/>
      <c r="G74" s="38"/>
    </row>
    <row r="75" spans="2:7" ht="24.9" customHeight="1" x14ac:dyDescent="0.3">
      <c r="B75" s="35"/>
      <c r="C75" s="157"/>
      <c r="D75" s="157"/>
      <c r="E75" s="157"/>
      <c r="F75" s="157"/>
      <c r="G75" s="38"/>
    </row>
    <row r="76" spans="2:7" ht="24.9" customHeight="1" x14ac:dyDescent="0.3">
      <c r="B76" s="35"/>
      <c r="C76" s="157"/>
      <c r="D76" s="157"/>
      <c r="E76" s="157"/>
      <c r="F76" s="157"/>
      <c r="G76" s="38"/>
    </row>
    <row r="77" spans="2:7" ht="24.9" customHeight="1" x14ac:dyDescent="0.3">
      <c r="B77" s="35"/>
      <c r="C77" s="157"/>
      <c r="D77" s="157"/>
      <c r="E77" s="157"/>
      <c r="F77" s="157"/>
      <c r="G77" s="38"/>
    </row>
    <row r="78" spans="2:7" ht="24.9" customHeight="1" x14ac:dyDescent="0.3">
      <c r="B78" s="35"/>
      <c r="C78" s="157"/>
      <c r="D78" s="157"/>
      <c r="E78" s="157"/>
      <c r="F78" s="157"/>
      <c r="G78" s="38"/>
    </row>
    <row r="79" spans="2:7" ht="24.9" customHeight="1" x14ac:dyDescent="0.3">
      <c r="B79" s="35"/>
      <c r="C79" s="157"/>
      <c r="D79" s="157"/>
      <c r="E79" s="157"/>
      <c r="F79" s="157"/>
      <c r="G79" s="38"/>
    </row>
    <row r="80" spans="2:7" ht="24.9" customHeight="1" x14ac:dyDescent="0.3">
      <c r="B80" s="35"/>
      <c r="C80" s="157"/>
      <c r="D80" s="157"/>
      <c r="E80" s="157"/>
      <c r="F80" s="157"/>
      <c r="G80" s="38"/>
    </row>
    <row r="81" spans="2:7" ht="24.9" customHeight="1" x14ac:dyDescent="0.3">
      <c r="B81" s="35"/>
      <c r="C81" s="157"/>
      <c r="D81" s="157"/>
      <c r="E81" s="157"/>
      <c r="F81" s="157"/>
      <c r="G81" s="38"/>
    </row>
    <row r="82" spans="2:7" ht="24.9" customHeight="1" x14ac:dyDescent="0.3">
      <c r="B82" s="35"/>
      <c r="C82" s="157"/>
      <c r="D82" s="157"/>
      <c r="E82" s="157"/>
      <c r="F82" s="157"/>
      <c r="G82" s="38"/>
    </row>
    <row r="83" spans="2:7" ht="24.9" customHeight="1" x14ac:dyDescent="0.3">
      <c r="B83" s="35"/>
      <c r="C83" s="157"/>
      <c r="D83" s="157"/>
      <c r="E83" s="157"/>
      <c r="F83" s="157"/>
      <c r="G83" s="38"/>
    </row>
    <row r="84" spans="2:7" ht="24.9" customHeight="1" x14ac:dyDescent="0.3">
      <c r="B84" s="35"/>
      <c r="C84" s="157"/>
      <c r="D84" s="157"/>
      <c r="E84" s="157"/>
      <c r="F84" s="157"/>
      <c r="G84" s="38"/>
    </row>
    <row r="85" spans="2:7" ht="24.9" customHeight="1" x14ac:dyDescent="0.3">
      <c r="B85" s="35"/>
      <c r="C85" s="157"/>
      <c r="D85" s="157"/>
      <c r="E85" s="157"/>
      <c r="F85" s="157"/>
      <c r="G85" s="38"/>
    </row>
    <row r="86" spans="2:7" ht="24.9" customHeight="1" x14ac:dyDescent="0.3">
      <c r="B86" s="35"/>
      <c r="C86" s="157"/>
      <c r="D86" s="157"/>
      <c r="E86" s="157"/>
      <c r="F86" s="157"/>
      <c r="G86" s="38"/>
    </row>
    <row r="87" spans="2:7" ht="24.9" customHeight="1" x14ac:dyDescent="0.3">
      <c r="B87" s="35"/>
      <c r="C87" s="157"/>
      <c r="D87" s="157"/>
      <c r="E87" s="157"/>
      <c r="F87" s="157"/>
      <c r="G87" s="38"/>
    </row>
  </sheetData>
  <sheetProtection algorithmName="SHA-512" hashValue="8YuXMafKwkUTm66tCqFhUf7tAvryf3NyDYEwBbwS4eDFaHRtFwuVldKjTENqBAOPbHAnFywtMUiseDqlWbqrpQ==" saltValue="vNH8QenL02gKl/8wNJLF3g==" spinCount="100000" sheet="1" objects="1" scenarios="1" formatCells="0" formatColumns="0" formatRows="0" selectLockedCells="1" sort="0" autoFilter="0"/>
  <autoFilter ref="D4:F48" xr:uid="{00000000-0009-0000-0000-000003000000}"/>
  <mergeCells count="43">
    <mergeCell ref="C84:F84"/>
    <mergeCell ref="C85:F85"/>
    <mergeCell ref="C86:F86"/>
    <mergeCell ref="C87:F87"/>
    <mergeCell ref="C77:F77"/>
    <mergeCell ref="C78:F78"/>
    <mergeCell ref="C79:F79"/>
    <mergeCell ref="C80:F80"/>
    <mergeCell ref="C81:F81"/>
    <mergeCell ref="C82:F82"/>
    <mergeCell ref="C83:F83"/>
    <mergeCell ref="C76:F76"/>
    <mergeCell ref="C65:F65"/>
    <mergeCell ref="C66:F66"/>
    <mergeCell ref="C67:F67"/>
    <mergeCell ref="C68:F68"/>
    <mergeCell ref="C69:F69"/>
    <mergeCell ref="C70:F70"/>
    <mergeCell ref="C71:F71"/>
    <mergeCell ref="C72:F72"/>
    <mergeCell ref="C73:F73"/>
    <mergeCell ref="C74:F74"/>
    <mergeCell ref="C75:F75"/>
    <mergeCell ref="C64:F64"/>
    <mergeCell ref="C48:G48"/>
    <mergeCell ref="B49:G54"/>
    <mergeCell ref="C55:F55"/>
    <mergeCell ref="C56:F56"/>
    <mergeCell ref="C57:F57"/>
    <mergeCell ref="C58:F58"/>
    <mergeCell ref="C59:F59"/>
    <mergeCell ref="C60:F60"/>
    <mergeCell ref="C61:F61"/>
    <mergeCell ref="C62:F62"/>
    <mergeCell ref="C63:F63"/>
    <mergeCell ref="A1:G1"/>
    <mergeCell ref="A3:A4"/>
    <mergeCell ref="B47:C47"/>
    <mergeCell ref="D47:F47"/>
    <mergeCell ref="B3:B4"/>
    <mergeCell ref="C3:C4"/>
    <mergeCell ref="D3:F3"/>
    <mergeCell ref="G3:G4"/>
  </mergeCells>
  <dataValidations count="1">
    <dataValidation type="list" allowBlank="1" showInputMessage="1" showErrorMessage="1" sqref="D5:F44" xr:uid="{00000000-0002-0000-0300-000000000000}">
      <formula1>$J$5</formula1>
    </dataValidation>
  </dataValidations>
  <printOptions horizontalCentered="1" verticalCentered="1"/>
  <pageMargins left="0.39305555555555599" right="0.39305555555555599" top="0.39305555555555599" bottom="0.39305555555555599" header="0" footer="0"/>
  <pageSetup scale="61"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37"/>
  <sheetViews>
    <sheetView showGridLines="0" zoomScale="120" zoomScaleNormal="120" zoomScaleSheetLayoutView="130" workbookViewId="0">
      <pane ySplit="4" topLeftCell="A5" activePane="bottomLeft" state="frozen"/>
      <selection pane="bottomLeft" activeCell="C108" sqref="C108:F108"/>
    </sheetView>
  </sheetViews>
  <sheetFormatPr baseColWidth="10" defaultColWidth="11" defaultRowHeight="13.5" customHeight="1" x14ac:dyDescent="0.3"/>
  <cols>
    <col min="1" max="1" width="5" style="23" customWidth="1"/>
    <col min="2" max="2" width="35.6640625" style="3" customWidth="1"/>
    <col min="3" max="3" width="50.109375" style="3" customWidth="1"/>
    <col min="4" max="5" width="9" style="3" customWidth="1"/>
    <col min="6" max="6" width="8.6640625" style="3" customWidth="1"/>
    <col min="7" max="7" width="58.109375" style="3" customWidth="1"/>
    <col min="8" max="8" width="11" style="2" hidden="1" customWidth="1"/>
    <col min="9" max="9" width="11" style="2"/>
    <col min="10" max="10" width="0" style="2" hidden="1" customWidth="1"/>
    <col min="11" max="11" width="11" style="2" hidden="1" customWidth="1"/>
    <col min="12" max="16384" width="11" style="2"/>
  </cols>
  <sheetData>
    <row r="1" spans="1:11" ht="66.75" customHeight="1" x14ac:dyDescent="0.3">
      <c r="A1" s="62" t="s">
        <v>0</v>
      </c>
      <c r="B1" s="62"/>
      <c r="C1" s="62"/>
      <c r="D1" s="62"/>
      <c r="E1" s="62"/>
      <c r="F1" s="62"/>
      <c r="G1" s="62"/>
    </row>
    <row r="3" spans="1:11" ht="41.4" customHeight="1" x14ac:dyDescent="0.3">
      <c r="A3" s="173" t="s">
        <v>244</v>
      </c>
      <c r="B3" s="173" t="s">
        <v>29</v>
      </c>
      <c r="C3" s="173" t="s">
        <v>30</v>
      </c>
      <c r="D3" s="174" t="s">
        <v>189</v>
      </c>
      <c r="E3" s="174"/>
      <c r="F3" s="174"/>
      <c r="G3" s="173" t="s">
        <v>31</v>
      </c>
    </row>
    <row r="4" spans="1:11" ht="15" customHeight="1" x14ac:dyDescent="0.3">
      <c r="A4" s="173"/>
      <c r="B4" s="173"/>
      <c r="C4" s="173"/>
      <c r="D4" s="30" t="s">
        <v>32</v>
      </c>
      <c r="E4" s="30" t="s">
        <v>33</v>
      </c>
      <c r="F4" s="30" t="s">
        <v>34</v>
      </c>
      <c r="G4" s="173"/>
    </row>
    <row r="5" spans="1:11" ht="36" x14ac:dyDescent="0.3">
      <c r="A5" s="29">
        <v>1</v>
      </c>
      <c r="B5" s="26" t="s">
        <v>149</v>
      </c>
      <c r="C5" s="7" t="s">
        <v>150</v>
      </c>
      <c r="D5" s="22"/>
      <c r="E5" s="22"/>
      <c r="F5" s="22"/>
      <c r="G5" s="4"/>
      <c r="H5" s="3" t="b">
        <f>OR(D5="X",E5="X",F5="x")</f>
        <v>0</v>
      </c>
      <c r="J5" s="2" t="s">
        <v>248</v>
      </c>
    </row>
    <row r="6" spans="1:11" ht="48" x14ac:dyDescent="0.3">
      <c r="A6" s="29">
        <v>2</v>
      </c>
      <c r="B6" s="26" t="s">
        <v>148</v>
      </c>
      <c r="C6" s="7" t="s">
        <v>152</v>
      </c>
      <c r="D6" s="22"/>
      <c r="E6" s="22"/>
      <c r="F6" s="22"/>
      <c r="G6" s="4"/>
      <c r="H6" s="3" t="b">
        <f t="shared" ref="H6:H47" si="0">OR(D6="X",E6="X",F6="x")</f>
        <v>0</v>
      </c>
      <c r="K6" s="2">
        <f>COUNTA(B5:B94)</f>
        <v>90</v>
      </c>
    </row>
    <row r="7" spans="1:11" ht="60" x14ac:dyDescent="0.3">
      <c r="A7" s="29">
        <v>3</v>
      </c>
      <c r="B7" s="26" t="s">
        <v>35</v>
      </c>
      <c r="C7" s="7" t="s">
        <v>210</v>
      </c>
      <c r="D7" s="22"/>
      <c r="E7" s="22"/>
      <c r="F7" s="22"/>
      <c r="G7" s="4"/>
      <c r="H7" s="3" t="b">
        <f t="shared" si="0"/>
        <v>0</v>
      </c>
      <c r="K7" s="2">
        <f>COUNTIF(F5:F94,"X")</f>
        <v>0</v>
      </c>
    </row>
    <row r="8" spans="1:11" ht="38.25" customHeight="1" x14ac:dyDescent="0.3">
      <c r="A8" s="29">
        <v>4</v>
      </c>
      <c r="B8" s="26" t="s">
        <v>126</v>
      </c>
      <c r="C8" s="7" t="s">
        <v>36</v>
      </c>
      <c r="D8" s="22"/>
      <c r="E8" s="22"/>
      <c r="F8" s="22"/>
      <c r="G8" s="4"/>
      <c r="H8" s="3" t="b">
        <f>OR(D8="X",E8="X",F8="x")</f>
        <v>0</v>
      </c>
    </row>
    <row r="9" spans="1:11" ht="89.25" customHeight="1" x14ac:dyDescent="0.3">
      <c r="A9" s="29">
        <v>5</v>
      </c>
      <c r="B9" s="26" t="s">
        <v>180</v>
      </c>
      <c r="C9" s="7" t="s">
        <v>151</v>
      </c>
      <c r="D9" s="22"/>
      <c r="E9" s="22"/>
      <c r="F9" s="22"/>
      <c r="G9" s="4"/>
      <c r="H9" s="3" t="b">
        <f t="shared" si="0"/>
        <v>0</v>
      </c>
    </row>
    <row r="10" spans="1:11" ht="80.25" customHeight="1" x14ac:dyDescent="0.3">
      <c r="A10" s="29">
        <v>6</v>
      </c>
      <c r="B10" s="26" t="s">
        <v>37</v>
      </c>
      <c r="C10" s="7" t="s">
        <v>127</v>
      </c>
      <c r="D10" s="22"/>
      <c r="E10" s="22"/>
      <c r="F10" s="22"/>
      <c r="G10" s="4"/>
      <c r="H10" s="3" t="e">
        <f>OR(D10="X",#REF!="X",E10="x")</f>
        <v>#REF!</v>
      </c>
    </row>
    <row r="11" spans="1:11" ht="81" customHeight="1" x14ac:dyDescent="0.3">
      <c r="A11" s="29">
        <v>7</v>
      </c>
      <c r="B11" s="26" t="s">
        <v>38</v>
      </c>
      <c r="C11" s="7" t="s">
        <v>92</v>
      </c>
      <c r="D11" s="22"/>
      <c r="E11" s="22"/>
      <c r="F11" s="22"/>
      <c r="G11" s="4"/>
      <c r="H11" s="3" t="b">
        <f t="shared" si="0"/>
        <v>0</v>
      </c>
    </row>
    <row r="12" spans="1:11" ht="59.4" customHeight="1" x14ac:dyDescent="0.3">
      <c r="A12" s="29">
        <v>8</v>
      </c>
      <c r="B12" s="26" t="s">
        <v>128</v>
      </c>
      <c r="C12" s="7" t="s">
        <v>181</v>
      </c>
      <c r="D12" s="22"/>
      <c r="E12" s="22"/>
      <c r="F12" s="22"/>
      <c r="G12" s="4"/>
      <c r="H12" s="3" t="b">
        <f t="shared" si="0"/>
        <v>0</v>
      </c>
    </row>
    <row r="13" spans="1:11" s="6" customFormat="1" ht="76.5" customHeight="1" x14ac:dyDescent="0.3">
      <c r="A13" s="29">
        <v>9</v>
      </c>
      <c r="B13" s="26" t="s">
        <v>182</v>
      </c>
      <c r="C13" s="7" t="s">
        <v>153</v>
      </c>
      <c r="D13" s="22"/>
      <c r="E13" s="22"/>
      <c r="F13" s="22"/>
      <c r="G13" s="4"/>
      <c r="H13" s="5" t="b">
        <f t="shared" si="0"/>
        <v>0</v>
      </c>
    </row>
    <row r="14" spans="1:11" ht="72.75" customHeight="1" x14ac:dyDescent="0.3">
      <c r="A14" s="29">
        <v>10</v>
      </c>
      <c r="B14" s="26" t="s">
        <v>39</v>
      </c>
      <c r="C14" s="7" t="s">
        <v>40</v>
      </c>
      <c r="D14" s="22"/>
      <c r="E14" s="22"/>
      <c r="F14" s="22"/>
      <c r="G14" s="4"/>
      <c r="H14" s="3" t="b">
        <f t="shared" si="0"/>
        <v>0</v>
      </c>
    </row>
    <row r="15" spans="1:11" ht="71.25" customHeight="1" x14ac:dyDescent="0.3">
      <c r="A15" s="29">
        <v>11</v>
      </c>
      <c r="B15" s="26" t="s">
        <v>154</v>
      </c>
      <c r="C15" s="7" t="s">
        <v>41</v>
      </c>
      <c r="D15" s="22"/>
      <c r="E15" s="22"/>
      <c r="F15" s="22"/>
      <c r="G15" s="4"/>
      <c r="H15" s="3" t="b">
        <f t="shared" si="0"/>
        <v>0</v>
      </c>
    </row>
    <row r="16" spans="1:11" ht="61.95" customHeight="1" x14ac:dyDescent="0.3">
      <c r="A16" s="29">
        <v>12</v>
      </c>
      <c r="B16" s="26" t="s">
        <v>172</v>
      </c>
      <c r="C16" s="7" t="s">
        <v>155</v>
      </c>
      <c r="D16" s="22"/>
      <c r="E16" s="22"/>
      <c r="F16" s="22"/>
      <c r="G16" s="4"/>
      <c r="H16" s="3" t="b">
        <f t="shared" si="0"/>
        <v>0</v>
      </c>
    </row>
    <row r="17" spans="1:8" s="6" customFormat="1" ht="90" customHeight="1" x14ac:dyDescent="0.3">
      <c r="A17" s="29">
        <v>13</v>
      </c>
      <c r="B17" s="26" t="s">
        <v>42</v>
      </c>
      <c r="C17" s="24" t="s">
        <v>183</v>
      </c>
      <c r="D17" s="22"/>
      <c r="E17" s="22"/>
      <c r="F17" s="22"/>
      <c r="G17" s="4"/>
      <c r="H17" s="5" t="b">
        <f t="shared" si="0"/>
        <v>0</v>
      </c>
    </row>
    <row r="18" spans="1:8" ht="45" customHeight="1" x14ac:dyDescent="0.3">
      <c r="A18" s="29">
        <v>14</v>
      </c>
      <c r="B18" s="26" t="s">
        <v>43</v>
      </c>
      <c r="C18" s="7" t="s">
        <v>44</v>
      </c>
      <c r="D18" s="22"/>
      <c r="E18" s="22"/>
      <c r="F18" s="22"/>
      <c r="G18" s="4"/>
      <c r="H18" s="3" t="b">
        <f t="shared" si="0"/>
        <v>0</v>
      </c>
    </row>
    <row r="19" spans="1:8" ht="63" customHeight="1" x14ac:dyDescent="0.3">
      <c r="A19" s="29">
        <v>15</v>
      </c>
      <c r="B19" s="26" t="s">
        <v>45</v>
      </c>
      <c r="C19" s="7" t="s">
        <v>184</v>
      </c>
      <c r="D19" s="22"/>
      <c r="E19" s="22"/>
      <c r="F19" s="22"/>
      <c r="G19" s="4"/>
      <c r="H19" s="3" t="b">
        <f t="shared" si="0"/>
        <v>0</v>
      </c>
    </row>
    <row r="20" spans="1:8" ht="60" customHeight="1" x14ac:dyDescent="0.3">
      <c r="A20" s="29">
        <v>16</v>
      </c>
      <c r="B20" s="26" t="s">
        <v>93</v>
      </c>
      <c r="C20" s="7" t="s">
        <v>185</v>
      </c>
      <c r="D20" s="22"/>
      <c r="E20" s="22"/>
      <c r="F20" s="22"/>
      <c r="G20" s="4"/>
      <c r="H20" s="3" t="b">
        <f t="shared" si="0"/>
        <v>0</v>
      </c>
    </row>
    <row r="21" spans="1:8" ht="45" customHeight="1" x14ac:dyDescent="0.3">
      <c r="A21" s="29">
        <v>17</v>
      </c>
      <c r="B21" s="26" t="s">
        <v>156</v>
      </c>
      <c r="C21" s="7" t="s">
        <v>46</v>
      </c>
      <c r="D21" s="22"/>
      <c r="E21" s="22"/>
      <c r="F21" s="22"/>
      <c r="G21" s="4"/>
      <c r="H21" s="3" t="e">
        <f>OR(D21="X",#REF!="X",E21="x")</f>
        <v>#REF!</v>
      </c>
    </row>
    <row r="22" spans="1:8" ht="85.5" customHeight="1" x14ac:dyDescent="0.3">
      <c r="A22" s="29">
        <v>18</v>
      </c>
      <c r="B22" s="26" t="s">
        <v>47</v>
      </c>
      <c r="C22" s="7" t="s">
        <v>157</v>
      </c>
      <c r="D22" s="22"/>
      <c r="E22" s="22"/>
      <c r="F22" s="22"/>
      <c r="G22" s="4"/>
      <c r="H22" s="3" t="b">
        <f t="shared" si="0"/>
        <v>0</v>
      </c>
    </row>
    <row r="23" spans="1:8" ht="46.5" customHeight="1" x14ac:dyDescent="0.3">
      <c r="A23" s="29">
        <v>19</v>
      </c>
      <c r="B23" s="26" t="s">
        <v>48</v>
      </c>
      <c r="C23" s="7" t="s">
        <v>158</v>
      </c>
      <c r="D23" s="22"/>
      <c r="E23" s="22"/>
      <c r="F23" s="22"/>
      <c r="G23" s="4"/>
      <c r="H23" s="3" t="b">
        <f t="shared" si="0"/>
        <v>0</v>
      </c>
    </row>
    <row r="24" spans="1:8" ht="42.75" customHeight="1" x14ac:dyDescent="0.3">
      <c r="A24" s="29">
        <v>20</v>
      </c>
      <c r="B24" s="26" t="s">
        <v>49</v>
      </c>
      <c r="C24" s="7" t="s">
        <v>159</v>
      </c>
      <c r="D24" s="22"/>
      <c r="E24" s="22"/>
      <c r="F24" s="22"/>
      <c r="G24" s="4"/>
      <c r="H24" s="3" t="b">
        <f t="shared" si="0"/>
        <v>0</v>
      </c>
    </row>
    <row r="25" spans="1:8" ht="93" customHeight="1" x14ac:dyDescent="0.3">
      <c r="A25" s="29">
        <v>21</v>
      </c>
      <c r="B25" s="26" t="s">
        <v>161</v>
      </c>
      <c r="C25" s="7" t="s">
        <v>160</v>
      </c>
      <c r="D25" s="22"/>
      <c r="E25" s="22"/>
      <c r="F25" s="22"/>
      <c r="G25" s="4"/>
      <c r="H25" s="3" t="b">
        <f t="shared" si="0"/>
        <v>0</v>
      </c>
    </row>
    <row r="26" spans="1:8" ht="118.5" customHeight="1" x14ac:dyDescent="0.3">
      <c r="A26" s="29">
        <v>22</v>
      </c>
      <c r="B26" s="26" t="s">
        <v>211</v>
      </c>
      <c r="C26" s="7" t="s">
        <v>212</v>
      </c>
      <c r="D26" s="22"/>
      <c r="E26" s="22"/>
      <c r="F26" s="22"/>
      <c r="G26" s="4"/>
      <c r="H26" s="3" t="b">
        <f t="shared" si="0"/>
        <v>0</v>
      </c>
    </row>
    <row r="27" spans="1:8" ht="79.2" customHeight="1" x14ac:dyDescent="0.3">
      <c r="A27" s="29">
        <v>23</v>
      </c>
      <c r="B27" s="26" t="s">
        <v>50</v>
      </c>
      <c r="C27" s="7" t="s">
        <v>129</v>
      </c>
      <c r="D27" s="22"/>
      <c r="E27" s="22"/>
      <c r="F27" s="22"/>
      <c r="G27" s="4"/>
      <c r="H27" s="3" t="b">
        <f t="shared" si="0"/>
        <v>0</v>
      </c>
    </row>
    <row r="28" spans="1:8" ht="56.25" customHeight="1" x14ac:dyDescent="0.3">
      <c r="A28" s="29">
        <v>24</v>
      </c>
      <c r="B28" s="26" t="s">
        <v>192</v>
      </c>
      <c r="C28" s="7" t="s">
        <v>51</v>
      </c>
      <c r="D28" s="22"/>
      <c r="E28" s="22"/>
      <c r="F28" s="22"/>
      <c r="G28" s="4"/>
      <c r="H28" s="3" t="b">
        <f t="shared" si="0"/>
        <v>0</v>
      </c>
    </row>
    <row r="29" spans="1:8" ht="51.75" customHeight="1" x14ac:dyDescent="0.3">
      <c r="A29" s="29">
        <v>25</v>
      </c>
      <c r="B29" s="26" t="s">
        <v>162</v>
      </c>
      <c r="C29" s="7" t="s">
        <v>191</v>
      </c>
      <c r="D29" s="22"/>
      <c r="E29" s="22"/>
      <c r="F29" s="22"/>
      <c r="G29" s="4"/>
      <c r="H29" s="3" t="b">
        <f t="shared" si="0"/>
        <v>0</v>
      </c>
    </row>
    <row r="30" spans="1:8" ht="66" customHeight="1" x14ac:dyDescent="0.3">
      <c r="A30" s="29">
        <v>26</v>
      </c>
      <c r="B30" s="26" t="s">
        <v>163</v>
      </c>
      <c r="C30" s="7" t="s">
        <v>52</v>
      </c>
      <c r="D30" s="22"/>
      <c r="E30" s="22"/>
      <c r="F30" s="22"/>
      <c r="G30" s="4"/>
      <c r="H30" s="3" t="b">
        <f t="shared" si="0"/>
        <v>0</v>
      </c>
    </row>
    <row r="31" spans="1:8" ht="63" customHeight="1" x14ac:dyDescent="0.3">
      <c r="A31" s="29">
        <v>27</v>
      </c>
      <c r="B31" s="27" t="s">
        <v>53</v>
      </c>
      <c r="C31" s="7" t="s">
        <v>186</v>
      </c>
      <c r="D31" s="22"/>
      <c r="E31" s="22"/>
      <c r="F31" s="22"/>
      <c r="G31" s="4"/>
      <c r="H31" s="3" t="b">
        <f t="shared" si="0"/>
        <v>0</v>
      </c>
    </row>
    <row r="32" spans="1:8" ht="103.5" customHeight="1" x14ac:dyDescent="0.3">
      <c r="A32" s="29">
        <v>28</v>
      </c>
      <c r="B32" s="28" t="s">
        <v>94</v>
      </c>
      <c r="C32" s="7" t="s">
        <v>228</v>
      </c>
      <c r="D32" s="22"/>
      <c r="E32" s="22"/>
      <c r="F32" s="22"/>
      <c r="G32" s="4"/>
      <c r="H32" s="3" t="b">
        <f t="shared" si="0"/>
        <v>0</v>
      </c>
    </row>
    <row r="33" spans="1:8" ht="90.75" customHeight="1" x14ac:dyDescent="0.3">
      <c r="A33" s="29">
        <v>29</v>
      </c>
      <c r="B33" s="26" t="s">
        <v>213</v>
      </c>
      <c r="C33" s="7" t="s">
        <v>214</v>
      </c>
      <c r="D33" s="22"/>
      <c r="E33" s="22"/>
      <c r="F33" s="22"/>
      <c r="G33" s="4"/>
      <c r="H33" s="3" t="b">
        <f t="shared" si="0"/>
        <v>0</v>
      </c>
    </row>
    <row r="34" spans="1:8" ht="95.4" customHeight="1" x14ac:dyDescent="0.3">
      <c r="A34" s="29">
        <v>30</v>
      </c>
      <c r="B34" s="26" t="s">
        <v>54</v>
      </c>
      <c r="C34" s="24" t="s">
        <v>187</v>
      </c>
      <c r="D34" s="22"/>
      <c r="E34" s="22"/>
      <c r="F34" s="22"/>
      <c r="G34" s="4"/>
      <c r="H34" s="3" t="b">
        <f t="shared" si="0"/>
        <v>0</v>
      </c>
    </row>
    <row r="35" spans="1:8" ht="61.95" customHeight="1" x14ac:dyDescent="0.3">
      <c r="A35" s="29">
        <v>31</v>
      </c>
      <c r="B35" s="26" t="s">
        <v>193</v>
      </c>
      <c r="C35" s="24" t="s">
        <v>55</v>
      </c>
      <c r="D35" s="22"/>
      <c r="E35" s="22"/>
      <c r="F35" s="22"/>
      <c r="G35" s="4"/>
      <c r="H35" s="3" t="b">
        <f t="shared" si="0"/>
        <v>0</v>
      </c>
    </row>
    <row r="36" spans="1:8" ht="45" customHeight="1" x14ac:dyDescent="0.3">
      <c r="A36" s="29">
        <v>32</v>
      </c>
      <c r="B36" s="26" t="s">
        <v>164</v>
      </c>
      <c r="C36" s="7" t="s">
        <v>168</v>
      </c>
      <c r="D36" s="22"/>
      <c r="E36" s="22"/>
      <c r="F36" s="22"/>
      <c r="G36" s="4"/>
      <c r="H36" s="3" t="b">
        <f t="shared" si="0"/>
        <v>0</v>
      </c>
    </row>
    <row r="37" spans="1:8" s="6" customFormat="1" ht="82.5" customHeight="1" x14ac:dyDescent="0.3">
      <c r="A37" s="29">
        <v>33</v>
      </c>
      <c r="B37" s="26" t="s">
        <v>165</v>
      </c>
      <c r="C37" s="24" t="s">
        <v>167</v>
      </c>
      <c r="D37" s="22"/>
      <c r="E37" s="22"/>
      <c r="F37" s="22"/>
      <c r="G37" s="4"/>
      <c r="H37" s="5" t="b">
        <f t="shared" si="0"/>
        <v>0</v>
      </c>
    </row>
    <row r="38" spans="1:8" ht="109.5" customHeight="1" x14ac:dyDescent="0.3">
      <c r="A38" s="29">
        <v>34</v>
      </c>
      <c r="B38" s="26" t="s">
        <v>131</v>
      </c>
      <c r="C38" s="24" t="s">
        <v>166</v>
      </c>
      <c r="D38" s="22"/>
      <c r="E38" s="22"/>
      <c r="F38" s="22"/>
      <c r="G38" s="4"/>
      <c r="H38" s="3" t="b">
        <f t="shared" si="0"/>
        <v>0</v>
      </c>
    </row>
    <row r="39" spans="1:8" ht="109.5" customHeight="1" x14ac:dyDescent="0.3">
      <c r="A39" s="29">
        <v>35</v>
      </c>
      <c r="B39" s="26" t="s">
        <v>95</v>
      </c>
      <c r="C39" s="7" t="s">
        <v>132</v>
      </c>
      <c r="D39" s="22"/>
      <c r="E39" s="22"/>
      <c r="F39" s="22"/>
      <c r="G39" s="4"/>
      <c r="H39" s="3" t="b">
        <f t="shared" si="0"/>
        <v>0</v>
      </c>
    </row>
    <row r="40" spans="1:8" ht="78" customHeight="1" x14ac:dyDescent="0.3">
      <c r="A40" s="29">
        <v>36</v>
      </c>
      <c r="B40" s="26" t="s">
        <v>56</v>
      </c>
      <c r="C40" s="7" t="s">
        <v>57</v>
      </c>
      <c r="D40" s="22"/>
      <c r="E40" s="22"/>
      <c r="F40" s="22"/>
      <c r="G40" s="4"/>
      <c r="H40" s="3" t="b">
        <f t="shared" si="0"/>
        <v>0</v>
      </c>
    </row>
    <row r="41" spans="1:8" ht="35.25" customHeight="1" x14ac:dyDescent="0.3">
      <c r="A41" s="29">
        <v>37</v>
      </c>
      <c r="B41" s="26" t="s">
        <v>96</v>
      </c>
      <c r="C41" s="7" t="s">
        <v>169</v>
      </c>
      <c r="D41" s="22"/>
      <c r="E41" s="22"/>
      <c r="F41" s="22"/>
      <c r="G41" s="4"/>
      <c r="H41" s="3" t="b">
        <f t="shared" si="0"/>
        <v>0</v>
      </c>
    </row>
    <row r="42" spans="1:8" ht="45" customHeight="1" x14ac:dyDescent="0.3">
      <c r="A42" s="29">
        <v>38</v>
      </c>
      <c r="B42" s="26" t="s">
        <v>194</v>
      </c>
      <c r="C42" s="7" t="s">
        <v>195</v>
      </c>
      <c r="D42" s="22"/>
      <c r="E42" s="22"/>
      <c r="F42" s="22"/>
      <c r="G42" s="4"/>
      <c r="H42" s="3" t="b">
        <f t="shared" si="0"/>
        <v>0</v>
      </c>
    </row>
    <row r="43" spans="1:8" ht="62.4" customHeight="1" x14ac:dyDescent="0.3">
      <c r="A43" s="29">
        <v>39</v>
      </c>
      <c r="B43" s="26" t="s">
        <v>58</v>
      </c>
      <c r="C43" s="7" t="s">
        <v>146</v>
      </c>
      <c r="D43" s="22"/>
      <c r="E43" s="22"/>
      <c r="F43" s="22"/>
      <c r="G43" s="4"/>
      <c r="H43" s="3" t="b">
        <f t="shared" si="0"/>
        <v>0</v>
      </c>
    </row>
    <row r="44" spans="1:8" ht="59.25" customHeight="1" x14ac:dyDescent="0.3">
      <c r="A44" s="29">
        <v>40</v>
      </c>
      <c r="B44" s="26" t="s">
        <v>133</v>
      </c>
      <c r="C44" s="7" t="s">
        <v>97</v>
      </c>
      <c r="D44" s="22"/>
      <c r="E44" s="22"/>
      <c r="F44" s="22"/>
      <c r="G44" s="4"/>
      <c r="H44" s="3" t="b">
        <f t="shared" si="0"/>
        <v>0</v>
      </c>
    </row>
    <row r="45" spans="1:8" ht="73.5" customHeight="1" x14ac:dyDescent="0.3">
      <c r="A45" s="29">
        <v>41</v>
      </c>
      <c r="B45" s="26" t="s">
        <v>170</v>
      </c>
      <c r="C45" s="8" t="s">
        <v>196</v>
      </c>
      <c r="D45" s="22"/>
      <c r="E45" s="22"/>
      <c r="F45" s="22"/>
      <c r="G45" s="4"/>
      <c r="H45" s="3" t="b">
        <f t="shared" si="0"/>
        <v>0</v>
      </c>
    </row>
    <row r="46" spans="1:8" ht="52.5" customHeight="1" x14ac:dyDescent="0.3">
      <c r="A46" s="29">
        <v>42</v>
      </c>
      <c r="B46" s="26" t="s">
        <v>197</v>
      </c>
      <c r="C46" s="7" t="s">
        <v>171</v>
      </c>
      <c r="D46" s="22"/>
      <c r="E46" s="22"/>
      <c r="F46" s="22"/>
      <c r="G46" s="4"/>
      <c r="H46" s="3" t="b">
        <f t="shared" si="0"/>
        <v>0</v>
      </c>
    </row>
    <row r="47" spans="1:8" ht="97.5" customHeight="1" x14ac:dyDescent="0.3">
      <c r="A47" s="29">
        <v>43</v>
      </c>
      <c r="B47" s="26" t="s">
        <v>59</v>
      </c>
      <c r="C47" s="7" t="s">
        <v>98</v>
      </c>
      <c r="D47" s="22"/>
      <c r="E47" s="22"/>
      <c r="F47" s="22"/>
      <c r="G47" s="4"/>
      <c r="H47" s="3" t="b">
        <f t="shared" si="0"/>
        <v>0</v>
      </c>
    </row>
    <row r="48" spans="1:8" ht="70.2" customHeight="1" x14ac:dyDescent="0.3">
      <c r="A48" s="29">
        <v>44</v>
      </c>
      <c r="B48" s="26" t="s">
        <v>60</v>
      </c>
      <c r="C48" s="7" t="s">
        <v>198</v>
      </c>
      <c r="D48" s="22"/>
      <c r="E48" s="22"/>
      <c r="F48" s="22"/>
      <c r="G48" s="4"/>
      <c r="H48" s="3" t="e">
        <f>OR(#REF!="X",D48="X",F48="x")</f>
        <v>#REF!</v>
      </c>
    </row>
    <row r="49" spans="1:8" ht="45" customHeight="1" x14ac:dyDescent="0.3">
      <c r="A49" s="29">
        <v>45</v>
      </c>
      <c r="B49" s="26" t="s">
        <v>61</v>
      </c>
      <c r="C49" s="7" t="s">
        <v>134</v>
      </c>
      <c r="D49" s="22"/>
      <c r="E49" s="22"/>
      <c r="F49" s="22"/>
      <c r="G49" s="4"/>
      <c r="H49" s="3" t="e">
        <f>OR(#REF!="X",D49="X",F49="x")</f>
        <v>#REF!</v>
      </c>
    </row>
    <row r="50" spans="1:8" ht="45" customHeight="1" x14ac:dyDescent="0.3">
      <c r="A50" s="29">
        <v>46</v>
      </c>
      <c r="B50" s="26" t="s">
        <v>99</v>
      </c>
      <c r="C50" s="7" t="s">
        <v>100</v>
      </c>
      <c r="D50" s="22"/>
      <c r="E50" s="22"/>
      <c r="F50" s="22"/>
      <c r="G50" s="4"/>
      <c r="H50" s="3" t="b">
        <f>OR(D50="X",E50="X",F50="x")</f>
        <v>0</v>
      </c>
    </row>
    <row r="51" spans="1:8" ht="82.95" customHeight="1" x14ac:dyDescent="0.3">
      <c r="A51" s="29">
        <v>47</v>
      </c>
      <c r="B51" s="26" t="s">
        <v>62</v>
      </c>
      <c r="C51" s="7" t="s">
        <v>215</v>
      </c>
      <c r="D51" s="22"/>
      <c r="E51" s="22"/>
      <c r="F51" s="22"/>
      <c r="G51" s="4"/>
      <c r="H51" s="3" t="e">
        <f>OR(#REF!="X",D51="X",F51="x")</f>
        <v>#REF!</v>
      </c>
    </row>
    <row r="52" spans="1:8" ht="38.25" customHeight="1" x14ac:dyDescent="0.3">
      <c r="A52" s="29">
        <v>48</v>
      </c>
      <c r="B52" s="26" t="s">
        <v>101</v>
      </c>
      <c r="C52" s="7" t="s">
        <v>63</v>
      </c>
      <c r="D52" s="22"/>
      <c r="E52" s="22"/>
      <c r="F52" s="22"/>
      <c r="G52" s="4"/>
      <c r="H52" s="3" t="b">
        <f>OR(D52="X",E52="X",F52="x")</f>
        <v>0</v>
      </c>
    </row>
    <row r="53" spans="1:8" ht="33" customHeight="1" x14ac:dyDescent="0.3">
      <c r="A53" s="29">
        <v>49</v>
      </c>
      <c r="B53" s="26" t="s">
        <v>64</v>
      </c>
      <c r="C53" s="7" t="s">
        <v>65</v>
      </c>
      <c r="D53" s="22"/>
      <c r="E53" s="22"/>
      <c r="F53" s="22"/>
      <c r="G53" s="4"/>
      <c r="H53" s="3" t="b">
        <f>OR(D53="X",E53="X",F53="x")</f>
        <v>0</v>
      </c>
    </row>
    <row r="54" spans="1:8" ht="74.25" customHeight="1" x14ac:dyDescent="0.3">
      <c r="A54" s="29">
        <v>50</v>
      </c>
      <c r="B54" s="26" t="s">
        <v>135</v>
      </c>
      <c r="C54" s="7" t="s">
        <v>216</v>
      </c>
      <c r="D54" s="22"/>
      <c r="E54" s="22"/>
      <c r="F54" s="22"/>
      <c r="G54" s="4"/>
      <c r="H54" s="3" t="b">
        <f t="shared" ref="H54:H94" si="1">OR(D54="X",E54="X",F54="x")</f>
        <v>0</v>
      </c>
    </row>
    <row r="55" spans="1:8" ht="69" customHeight="1" x14ac:dyDescent="0.3">
      <c r="A55" s="29">
        <v>51</v>
      </c>
      <c r="B55" s="26" t="s">
        <v>136</v>
      </c>
      <c r="C55" s="7" t="s">
        <v>66</v>
      </c>
      <c r="D55" s="22"/>
      <c r="E55" s="22"/>
      <c r="F55" s="22"/>
      <c r="G55" s="4"/>
      <c r="H55" s="3" t="b">
        <f t="shared" si="1"/>
        <v>0</v>
      </c>
    </row>
    <row r="56" spans="1:8" ht="50.25" customHeight="1" x14ac:dyDescent="0.3">
      <c r="A56" s="29">
        <v>52</v>
      </c>
      <c r="B56" s="26" t="s">
        <v>67</v>
      </c>
      <c r="C56" s="7" t="s">
        <v>137</v>
      </c>
      <c r="D56" s="22"/>
      <c r="E56" s="22"/>
      <c r="F56" s="22"/>
      <c r="G56" s="4"/>
      <c r="H56" s="3" t="b">
        <f t="shared" si="1"/>
        <v>0</v>
      </c>
    </row>
    <row r="57" spans="1:8" ht="57.75" customHeight="1" x14ac:dyDescent="0.3">
      <c r="A57" s="29">
        <v>53</v>
      </c>
      <c r="B57" s="26" t="s">
        <v>68</v>
      </c>
      <c r="C57" s="7" t="s">
        <v>199</v>
      </c>
      <c r="D57" s="22"/>
      <c r="E57" s="22"/>
      <c r="F57" s="22"/>
      <c r="G57" s="4"/>
      <c r="H57" s="3" t="b">
        <f t="shared" si="1"/>
        <v>0</v>
      </c>
    </row>
    <row r="58" spans="1:8" ht="45" customHeight="1" x14ac:dyDescent="0.3">
      <c r="A58" s="29">
        <v>54</v>
      </c>
      <c r="B58" s="26" t="s">
        <v>69</v>
      </c>
      <c r="C58" s="7" t="s">
        <v>102</v>
      </c>
      <c r="D58" s="22"/>
      <c r="E58" s="22"/>
      <c r="F58" s="22"/>
      <c r="G58" s="4"/>
      <c r="H58" s="3" t="b">
        <f t="shared" si="1"/>
        <v>0</v>
      </c>
    </row>
    <row r="59" spans="1:8" ht="45" customHeight="1" x14ac:dyDescent="0.3">
      <c r="A59" s="29">
        <v>55</v>
      </c>
      <c r="B59" s="26" t="s">
        <v>138</v>
      </c>
      <c r="C59" s="7" t="s">
        <v>103</v>
      </c>
      <c r="D59" s="22"/>
      <c r="E59" s="22"/>
      <c r="F59" s="22"/>
      <c r="G59" s="4"/>
      <c r="H59" s="3" t="b">
        <f t="shared" si="1"/>
        <v>0</v>
      </c>
    </row>
    <row r="60" spans="1:8" ht="60.6" customHeight="1" x14ac:dyDescent="0.3">
      <c r="A60" s="29">
        <v>56</v>
      </c>
      <c r="B60" s="26" t="s">
        <v>217</v>
      </c>
      <c r="C60" s="7" t="s">
        <v>218</v>
      </c>
      <c r="D60" s="22"/>
      <c r="E60" s="22"/>
      <c r="F60" s="22"/>
      <c r="G60" s="4"/>
      <c r="H60" s="3" t="b">
        <f t="shared" si="1"/>
        <v>0</v>
      </c>
    </row>
    <row r="61" spans="1:8" ht="63.6" customHeight="1" x14ac:dyDescent="0.3">
      <c r="A61" s="29">
        <v>57</v>
      </c>
      <c r="B61" s="26" t="s">
        <v>219</v>
      </c>
      <c r="C61" s="7" t="s">
        <v>104</v>
      </c>
      <c r="D61" s="22"/>
      <c r="E61" s="22"/>
      <c r="F61" s="22"/>
      <c r="G61" s="4"/>
      <c r="H61" s="3" t="b">
        <f t="shared" si="1"/>
        <v>0</v>
      </c>
    </row>
    <row r="62" spans="1:8" ht="64.2" customHeight="1" x14ac:dyDescent="0.3">
      <c r="A62" s="29">
        <v>58</v>
      </c>
      <c r="B62" s="26" t="s">
        <v>188</v>
      </c>
      <c r="C62" s="7" t="s">
        <v>220</v>
      </c>
      <c r="D62" s="22"/>
      <c r="E62" s="22"/>
      <c r="F62" s="22"/>
      <c r="G62" s="4"/>
      <c r="H62" s="3" t="b">
        <f t="shared" si="1"/>
        <v>0</v>
      </c>
    </row>
    <row r="63" spans="1:8" ht="108" x14ac:dyDescent="0.3">
      <c r="A63" s="29">
        <v>59</v>
      </c>
      <c r="B63" s="26" t="s">
        <v>203</v>
      </c>
      <c r="C63" s="7" t="s">
        <v>204</v>
      </c>
      <c r="D63" s="22"/>
      <c r="E63" s="22"/>
      <c r="F63" s="22"/>
      <c r="G63" s="4"/>
      <c r="H63" s="3" t="b">
        <f t="shared" si="1"/>
        <v>0</v>
      </c>
    </row>
    <row r="64" spans="1:8" ht="49.5" customHeight="1" x14ac:dyDescent="0.3">
      <c r="A64" s="29">
        <v>60</v>
      </c>
      <c r="B64" s="26" t="s">
        <v>105</v>
      </c>
      <c r="C64" s="7" t="s">
        <v>70</v>
      </c>
      <c r="D64" s="22"/>
      <c r="E64" s="22"/>
      <c r="F64" s="22"/>
      <c r="G64" s="4"/>
      <c r="H64" s="3" t="b">
        <f t="shared" si="1"/>
        <v>0</v>
      </c>
    </row>
    <row r="65" spans="1:8" ht="56.25" customHeight="1" x14ac:dyDescent="0.3">
      <c r="A65" s="29">
        <v>61</v>
      </c>
      <c r="B65" s="26" t="s">
        <v>106</v>
      </c>
      <c r="C65" s="7" t="s">
        <v>200</v>
      </c>
      <c r="D65" s="22"/>
      <c r="E65" s="22"/>
      <c r="F65" s="22"/>
      <c r="G65" s="4"/>
      <c r="H65" s="3" t="b">
        <f t="shared" si="1"/>
        <v>0</v>
      </c>
    </row>
    <row r="66" spans="1:8" ht="93" customHeight="1" x14ac:dyDescent="0.3">
      <c r="A66" s="29">
        <v>62</v>
      </c>
      <c r="B66" s="26" t="s">
        <v>139</v>
      </c>
      <c r="C66" s="7" t="s">
        <v>221</v>
      </c>
      <c r="D66" s="22"/>
      <c r="E66" s="22"/>
      <c r="F66" s="22"/>
      <c r="G66" s="4"/>
      <c r="H66" s="3" t="b">
        <f t="shared" si="1"/>
        <v>0</v>
      </c>
    </row>
    <row r="67" spans="1:8" ht="93" customHeight="1" x14ac:dyDescent="0.3">
      <c r="A67" s="29">
        <v>63</v>
      </c>
      <c r="B67" s="26" t="s">
        <v>201</v>
      </c>
      <c r="C67" s="7" t="s">
        <v>140</v>
      </c>
      <c r="D67" s="22"/>
      <c r="E67" s="22"/>
      <c r="F67" s="22"/>
      <c r="G67" s="4"/>
      <c r="H67" s="3" t="b">
        <f t="shared" si="1"/>
        <v>0</v>
      </c>
    </row>
    <row r="68" spans="1:8" ht="71.25" customHeight="1" x14ac:dyDescent="0.3">
      <c r="A68" s="29">
        <v>64</v>
      </c>
      <c r="B68" s="26" t="s">
        <v>108</v>
      </c>
      <c r="C68" s="25" t="s">
        <v>73</v>
      </c>
      <c r="D68" s="22"/>
      <c r="E68" s="22"/>
      <c r="F68" s="22"/>
      <c r="G68" s="4"/>
      <c r="H68" s="3" t="b">
        <f t="shared" si="1"/>
        <v>0</v>
      </c>
    </row>
    <row r="69" spans="1:8" ht="60.75" customHeight="1" x14ac:dyDescent="0.3">
      <c r="A69" s="29">
        <v>65</v>
      </c>
      <c r="B69" s="26" t="s">
        <v>109</v>
      </c>
      <c r="C69" s="25" t="s">
        <v>74</v>
      </c>
      <c r="D69" s="22"/>
      <c r="E69" s="22"/>
      <c r="F69" s="22"/>
      <c r="G69" s="4"/>
      <c r="H69" s="3" t="b">
        <f t="shared" si="1"/>
        <v>0</v>
      </c>
    </row>
    <row r="70" spans="1:8" ht="141" customHeight="1" x14ac:dyDescent="0.3">
      <c r="A70" s="29">
        <v>66</v>
      </c>
      <c r="B70" s="26" t="s">
        <v>71</v>
      </c>
      <c r="C70" s="7"/>
      <c r="D70" s="22"/>
      <c r="E70" s="22"/>
      <c r="F70" s="22"/>
      <c r="G70" s="4"/>
      <c r="H70" s="3" t="b">
        <f t="shared" si="1"/>
        <v>0</v>
      </c>
    </row>
    <row r="71" spans="1:8" ht="58.95" customHeight="1" x14ac:dyDescent="0.3">
      <c r="A71" s="29">
        <v>67</v>
      </c>
      <c r="B71" s="26" t="s">
        <v>107</v>
      </c>
      <c r="C71" s="7" t="s">
        <v>202</v>
      </c>
      <c r="D71" s="22"/>
      <c r="E71" s="22"/>
      <c r="F71" s="22"/>
      <c r="G71" s="4"/>
      <c r="H71" s="3" t="b">
        <f t="shared" si="1"/>
        <v>0</v>
      </c>
    </row>
    <row r="72" spans="1:8" ht="96" customHeight="1" x14ac:dyDescent="0.3">
      <c r="A72" s="29">
        <v>68</v>
      </c>
      <c r="B72" s="26" t="s">
        <v>72</v>
      </c>
      <c r="C72" s="7" t="s">
        <v>205</v>
      </c>
      <c r="D72" s="22"/>
      <c r="E72" s="22"/>
      <c r="F72" s="22"/>
      <c r="G72" s="4"/>
      <c r="H72" s="3" t="b">
        <f t="shared" si="1"/>
        <v>0</v>
      </c>
    </row>
    <row r="73" spans="1:8" ht="72.599999999999994" customHeight="1" x14ac:dyDescent="0.3">
      <c r="A73" s="29">
        <v>69</v>
      </c>
      <c r="B73" s="26" t="s">
        <v>222</v>
      </c>
      <c r="C73" s="7" t="s">
        <v>75</v>
      </c>
      <c r="D73" s="22"/>
      <c r="E73" s="22"/>
      <c r="F73" s="22"/>
      <c r="G73" s="4"/>
      <c r="H73" s="3" t="b">
        <f t="shared" si="1"/>
        <v>0</v>
      </c>
    </row>
    <row r="74" spans="1:8" ht="40.5" customHeight="1" x14ac:dyDescent="0.3">
      <c r="A74" s="29">
        <v>70</v>
      </c>
      <c r="B74" s="26" t="s">
        <v>76</v>
      </c>
      <c r="C74" s="7" t="s">
        <v>179</v>
      </c>
      <c r="D74" s="22"/>
      <c r="E74" s="22"/>
      <c r="F74" s="22"/>
      <c r="G74" s="4"/>
      <c r="H74" s="3" t="b">
        <f t="shared" si="1"/>
        <v>0</v>
      </c>
    </row>
    <row r="75" spans="1:8" ht="63.75" customHeight="1" x14ac:dyDescent="0.3">
      <c r="A75" s="29">
        <v>71</v>
      </c>
      <c r="B75" s="26" t="s">
        <v>206</v>
      </c>
      <c r="C75" s="7" t="s">
        <v>223</v>
      </c>
      <c r="D75" s="22"/>
      <c r="E75" s="22"/>
      <c r="F75" s="22"/>
      <c r="G75" s="4"/>
      <c r="H75" s="3" t="b">
        <f t="shared" si="1"/>
        <v>0</v>
      </c>
    </row>
    <row r="76" spans="1:8" ht="69" customHeight="1" x14ac:dyDescent="0.3">
      <c r="A76" s="29">
        <v>72</v>
      </c>
      <c r="B76" s="26" t="s">
        <v>142</v>
      </c>
      <c r="C76" s="7" t="s">
        <v>111</v>
      </c>
      <c r="D76" s="22"/>
      <c r="E76" s="22"/>
      <c r="F76" s="22"/>
      <c r="G76" s="4"/>
      <c r="H76" s="3" t="b">
        <f t="shared" si="1"/>
        <v>0</v>
      </c>
    </row>
    <row r="77" spans="1:8" ht="57" customHeight="1" x14ac:dyDescent="0.3">
      <c r="A77" s="29">
        <v>73</v>
      </c>
      <c r="B77" s="26" t="s">
        <v>224</v>
      </c>
      <c r="C77" s="7" t="s">
        <v>112</v>
      </c>
      <c r="D77" s="22"/>
      <c r="E77" s="22"/>
      <c r="F77" s="22"/>
      <c r="G77" s="4"/>
      <c r="H77" s="3" t="b">
        <f t="shared" si="1"/>
        <v>0</v>
      </c>
    </row>
    <row r="78" spans="1:8" ht="59.25" customHeight="1" x14ac:dyDescent="0.3">
      <c r="A78" s="29">
        <v>74</v>
      </c>
      <c r="B78" s="26" t="s">
        <v>113</v>
      </c>
      <c r="C78" s="7" t="s">
        <v>77</v>
      </c>
      <c r="D78" s="22"/>
      <c r="E78" s="22"/>
      <c r="F78" s="22"/>
      <c r="G78" s="4"/>
      <c r="H78" s="3" t="b">
        <f t="shared" si="1"/>
        <v>0</v>
      </c>
    </row>
    <row r="79" spans="1:8" ht="62.25" customHeight="1" x14ac:dyDescent="0.3">
      <c r="A79" s="29">
        <v>75</v>
      </c>
      <c r="B79" s="26" t="s">
        <v>78</v>
      </c>
      <c r="C79" s="7" t="s">
        <v>114</v>
      </c>
      <c r="D79" s="22"/>
      <c r="E79" s="22"/>
      <c r="F79" s="22"/>
      <c r="G79" s="4"/>
      <c r="H79" s="3" t="b">
        <f t="shared" si="1"/>
        <v>0</v>
      </c>
    </row>
    <row r="80" spans="1:8" ht="39" customHeight="1" x14ac:dyDescent="0.3">
      <c r="A80" s="29">
        <v>76</v>
      </c>
      <c r="B80" s="26" t="s">
        <v>225</v>
      </c>
      <c r="C80" s="7" t="s">
        <v>226</v>
      </c>
      <c r="D80" s="22"/>
      <c r="E80" s="22"/>
      <c r="F80" s="22"/>
      <c r="G80" s="4"/>
      <c r="H80" s="3" t="b">
        <f t="shared" si="1"/>
        <v>0</v>
      </c>
    </row>
    <row r="81" spans="1:8" ht="42" customHeight="1" x14ac:dyDescent="0.3">
      <c r="A81" s="29">
        <v>77</v>
      </c>
      <c r="B81" s="26" t="s">
        <v>79</v>
      </c>
      <c r="C81" s="7" t="s">
        <v>80</v>
      </c>
      <c r="D81" s="22"/>
      <c r="E81" s="22"/>
      <c r="F81" s="22"/>
      <c r="G81" s="4"/>
      <c r="H81" s="3" t="b">
        <f t="shared" si="1"/>
        <v>0</v>
      </c>
    </row>
    <row r="82" spans="1:8" ht="33.75" customHeight="1" x14ac:dyDescent="0.3">
      <c r="A82" s="29">
        <v>78</v>
      </c>
      <c r="B82" s="26" t="s">
        <v>115</v>
      </c>
      <c r="C82" s="7" t="s">
        <v>81</v>
      </c>
      <c r="D82" s="22"/>
      <c r="E82" s="22"/>
      <c r="F82" s="22"/>
      <c r="G82" s="4"/>
      <c r="H82" s="3" t="b">
        <f t="shared" si="1"/>
        <v>0</v>
      </c>
    </row>
    <row r="83" spans="1:8" ht="60" customHeight="1" x14ac:dyDescent="0.3">
      <c r="A83" s="29">
        <v>79</v>
      </c>
      <c r="B83" s="26" t="s">
        <v>82</v>
      </c>
      <c r="C83" s="7" t="s">
        <v>143</v>
      </c>
      <c r="D83" s="22"/>
      <c r="E83" s="22"/>
      <c r="F83" s="22"/>
      <c r="G83" s="4"/>
      <c r="H83" s="3" t="b">
        <f t="shared" si="1"/>
        <v>0</v>
      </c>
    </row>
    <row r="84" spans="1:8" ht="52.5" customHeight="1" x14ac:dyDescent="0.3">
      <c r="A84" s="29">
        <v>80</v>
      </c>
      <c r="B84" s="26" t="s">
        <v>144</v>
      </c>
      <c r="C84" s="7" t="s">
        <v>116</v>
      </c>
      <c r="D84" s="22"/>
      <c r="E84" s="22"/>
      <c r="F84" s="22"/>
      <c r="G84" s="4"/>
      <c r="H84" s="3" t="b">
        <f t="shared" si="1"/>
        <v>0</v>
      </c>
    </row>
    <row r="85" spans="1:8" ht="51" customHeight="1" x14ac:dyDescent="0.3">
      <c r="A85" s="29">
        <v>81</v>
      </c>
      <c r="B85" s="26" t="s">
        <v>83</v>
      </c>
      <c r="C85" s="7" t="s">
        <v>117</v>
      </c>
      <c r="D85" s="22"/>
      <c r="E85" s="22"/>
      <c r="F85" s="22"/>
      <c r="G85" s="4"/>
      <c r="H85" s="3" t="b">
        <f t="shared" si="1"/>
        <v>0</v>
      </c>
    </row>
    <row r="86" spans="1:8" ht="65.25" customHeight="1" x14ac:dyDescent="0.3">
      <c r="A86" s="29">
        <v>82</v>
      </c>
      <c r="B86" s="26" t="s">
        <v>84</v>
      </c>
      <c r="C86" s="7" t="s">
        <v>118</v>
      </c>
      <c r="D86" s="22"/>
      <c r="E86" s="22"/>
      <c r="F86" s="22"/>
      <c r="G86" s="4"/>
      <c r="H86" s="3" t="b">
        <f t="shared" si="1"/>
        <v>0</v>
      </c>
    </row>
    <row r="87" spans="1:8" ht="53.25" customHeight="1" x14ac:dyDescent="0.3">
      <c r="A87" s="29">
        <v>83</v>
      </c>
      <c r="B87" s="26" t="s">
        <v>85</v>
      </c>
      <c r="C87" s="7" t="s">
        <v>119</v>
      </c>
      <c r="D87" s="22"/>
      <c r="E87" s="22"/>
      <c r="F87" s="22"/>
      <c r="G87" s="4"/>
      <c r="H87" s="3" t="b">
        <f t="shared" si="1"/>
        <v>0</v>
      </c>
    </row>
    <row r="88" spans="1:8" ht="74.25" customHeight="1" x14ac:dyDescent="0.3">
      <c r="A88" s="29">
        <v>84</v>
      </c>
      <c r="B88" s="26" t="s">
        <v>207</v>
      </c>
      <c r="C88" s="7" t="s">
        <v>227</v>
      </c>
      <c r="D88" s="22"/>
      <c r="E88" s="22"/>
      <c r="F88" s="22"/>
      <c r="G88" s="4"/>
      <c r="H88" s="3" t="b">
        <f t="shared" si="1"/>
        <v>0</v>
      </c>
    </row>
    <row r="89" spans="1:8" ht="91.5" customHeight="1" x14ac:dyDescent="0.3">
      <c r="A89" s="29">
        <v>85</v>
      </c>
      <c r="B89" s="26" t="s">
        <v>120</v>
      </c>
      <c r="C89" s="7" t="s">
        <v>173</v>
      </c>
      <c r="D89" s="22"/>
      <c r="E89" s="22"/>
      <c r="F89" s="22"/>
      <c r="G89" s="4"/>
      <c r="H89" s="3" t="e">
        <f>OR(#REF!="X",#REF!="X",F89="x")</f>
        <v>#REF!</v>
      </c>
    </row>
    <row r="90" spans="1:8" ht="91.5" customHeight="1" x14ac:dyDescent="0.3">
      <c r="A90" s="29">
        <v>86</v>
      </c>
      <c r="B90" s="26" t="s">
        <v>121</v>
      </c>
      <c r="C90" s="7" t="s">
        <v>208</v>
      </c>
      <c r="D90" s="22"/>
      <c r="E90" s="22"/>
      <c r="F90" s="22"/>
      <c r="G90" s="4"/>
      <c r="H90" s="3" t="e">
        <f>OR(#REF!="X",D89="X",F90="x")</f>
        <v>#REF!</v>
      </c>
    </row>
    <row r="91" spans="1:8" ht="55.5" customHeight="1" x14ac:dyDescent="0.3">
      <c r="A91" s="29">
        <v>87</v>
      </c>
      <c r="B91" s="26" t="s">
        <v>86</v>
      </c>
      <c r="C91" s="7" t="s">
        <v>145</v>
      </c>
      <c r="D91" s="22"/>
      <c r="E91" s="22"/>
      <c r="F91" s="22"/>
      <c r="G91" s="4"/>
      <c r="H91" s="3" t="b">
        <f t="shared" si="1"/>
        <v>0</v>
      </c>
    </row>
    <row r="92" spans="1:8" ht="55.5" customHeight="1" x14ac:dyDescent="0.3">
      <c r="A92" s="29">
        <v>88</v>
      </c>
      <c r="B92" s="26" t="s">
        <v>87</v>
      </c>
      <c r="C92" s="7" t="s">
        <v>122</v>
      </c>
      <c r="D92" s="22"/>
      <c r="E92" s="22"/>
      <c r="F92" s="22"/>
      <c r="G92" s="4"/>
      <c r="H92" s="3"/>
    </row>
    <row r="93" spans="1:8" ht="72.75" customHeight="1" x14ac:dyDescent="0.3">
      <c r="A93" s="29">
        <v>89</v>
      </c>
      <c r="B93" s="26" t="s">
        <v>123</v>
      </c>
      <c r="C93" s="7" t="s">
        <v>124</v>
      </c>
      <c r="D93" s="22"/>
      <c r="E93" s="22"/>
      <c r="F93" s="22"/>
      <c r="G93" s="4"/>
      <c r="H93" s="3" t="b">
        <f t="shared" si="1"/>
        <v>0</v>
      </c>
    </row>
    <row r="94" spans="1:8" ht="73.5" customHeight="1" thickBot="1" x14ac:dyDescent="0.35">
      <c r="A94" s="29">
        <v>90</v>
      </c>
      <c r="B94" s="26" t="s">
        <v>125</v>
      </c>
      <c r="C94" s="7" t="s">
        <v>209</v>
      </c>
      <c r="D94" s="22"/>
      <c r="E94" s="22"/>
      <c r="F94" s="22"/>
      <c r="G94" s="4"/>
      <c r="H94" s="3" t="b">
        <f t="shared" si="1"/>
        <v>0</v>
      </c>
    </row>
    <row r="95" spans="1:8" ht="18.75" hidden="1" customHeight="1" x14ac:dyDescent="0.3">
      <c r="B95" s="9"/>
      <c r="C95" s="10"/>
      <c r="D95" s="1">
        <f>COUNTIF(D5:D94,"x")</f>
        <v>0</v>
      </c>
      <c r="E95" s="1">
        <f>COUNTIF(E5:E94,"X")</f>
        <v>0</v>
      </c>
      <c r="F95" s="1">
        <f>K6-K7</f>
        <v>90</v>
      </c>
      <c r="G95" s="11"/>
      <c r="H95" s="12"/>
    </row>
    <row r="96" spans="1:8" ht="16.5" hidden="1" customHeight="1" thickBot="1" x14ac:dyDescent="0.35">
      <c r="B96" s="20"/>
      <c r="C96" s="10"/>
      <c r="D96" s="1"/>
      <c r="E96" s="1"/>
      <c r="F96" s="21">
        <f>IFERROR((D95/F95),"0")</f>
        <v>0</v>
      </c>
      <c r="G96" s="1"/>
      <c r="H96" s="12"/>
    </row>
    <row r="97" spans="2:8" ht="16.2" thickBot="1" x14ac:dyDescent="0.35">
      <c r="B97" s="165" t="s">
        <v>88</v>
      </c>
      <c r="C97" s="166"/>
      <c r="D97" s="167" t="str">
        <f>IF(AND('1-Cx y cert'!E5="X",'1-Cx y cert'!E6="X"),'Si respondio NO a CX o Cert'!F96,"Error")</f>
        <v>Error</v>
      </c>
      <c r="E97" s="168"/>
      <c r="F97" s="168"/>
      <c r="G97" s="13"/>
      <c r="H97" s="12"/>
    </row>
    <row r="98" spans="2:8" ht="14.4" x14ac:dyDescent="0.3">
      <c r="B98" s="14" t="s">
        <v>89</v>
      </c>
      <c r="C98" s="158"/>
      <c r="D98" s="158"/>
      <c r="E98" s="158"/>
      <c r="F98" s="158"/>
      <c r="G98" s="159"/>
    </row>
    <row r="99" spans="2:8" ht="14.4" x14ac:dyDescent="0.3">
      <c r="B99" s="160"/>
      <c r="C99" s="160"/>
      <c r="D99" s="160"/>
      <c r="E99" s="160"/>
      <c r="F99" s="160"/>
      <c r="G99" s="160"/>
    </row>
    <row r="100" spans="2:8" ht="14.4" x14ac:dyDescent="0.3">
      <c r="B100" s="160"/>
      <c r="C100" s="160"/>
      <c r="D100" s="160"/>
      <c r="E100" s="160"/>
      <c r="F100" s="160"/>
      <c r="G100" s="160"/>
    </row>
    <row r="101" spans="2:8" ht="14.4" x14ac:dyDescent="0.3">
      <c r="B101" s="160"/>
      <c r="C101" s="160"/>
      <c r="D101" s="160"/>
      <c r="E101" s="160"/>
      <c r="F101" s="160"/>
      <c r="G101" s="160"/>
    </row>
    <row r="102" spans="2:8" ht="14.4" x14ac:dyDescent="0.3">
      <c r="B102" s="160"/>
      <c r="C102" s="160"/>
      <c r="D102" s="160"/>
      <c r="E102" s="160"/>
      <c r="F102" s="160"/>
      <c r="G102" s="160"/>
    </row>
    <row r="103" spans="2:8" ht="14.4" x14ac:dyDescent="0.3">
      <c r="B103" s="160"/>
      <c r="C103" s="160"/>
      <c r="D103" s="160"/>
      <c r="E103" s="160"/>
      <c r="F103" s="160"/>
      <c r="G103" s="160"/>
    </row>
    <row r="104" spans="2:8" ht="14.4" x14ac:dyDescent="0.3">
      <c r="B104" s="160"/>
      <c r="C104" s="160"/>
      <c r="D104" s="160"/>
      <c r="E104" s="160"/>
      <c r="F104" s="160"/>
      <c r="G104" s="160"/>
    </row>
    <row r="105" spans="2:8" ht="15" customHeight="1" x14ac:dyDescent="0.3">
      <c r="B105" s="15" t="s">
        <v>90</v>
      </c>
      <c r="C105" s="176" t="s">
        <v>147</v>
      </c>
      <c r="D105" s="177"/>
      <c r="E105" s="177"/>
      <c r="F105" s="177"/>
      <c r="G105" s="16" t="s">
        <v>91</v>
      </c>
    </row>
    <row r="106" spans="2:8" ht="24.9" customHeight="1" x14ac:dyDescent="0.3">
      <c r="B106" s="36"/>
      <c r="C106" s="157"/>
      <c r="D106" s="175"/>
      <c r="E106" s="175"/>
      <c r="F106" s="175"/>
      <c r="G106" s="37"/>
    </row>
    <row r="107" spans="2:8" ht="24.9" customHeight="1" x14ac:dyDescent="0.3">
      <c r="B107" s="39"/>
      <c r="C107" s="157"/>
      <c r="D107" s="175"/>
      <c r="E107" s="175"/>
      <c r="F107" s="175"/>
      <c r="G107" s="37"/>
    </row>
    <row r="108" spans="2:8" ht="24.9" customHeight="1" x14ac:dyDescent="0.3">
      <c r="B108" s="36"/>
      <c r="C108" s="157"/>
      <c r="D108" s="175"/>
      <c r="E108" s="175"/>
      <c r="F108" s="175"/>
      <c r="G108" s="37"/>
    </row>
    <row r="109" spans="2:8" ht="24.9" customHeight="1" x14ac:dyDescent="0.3">
      <c r="B109" s="36"/>
      <c r="C109" s="157"/>
      <c r="D109" s="175"/>
      <c r="E109" s="175"/>
      <c r="F109" s="175"/>
      <c r="G109" s="37"/>
    </row>
    <row r="110" spans="2:8" ht="24.9" customHeight="1" x14ac:dyDescent="0.3">
      <c r="B110" s="36"/>
      <c r="C110" s="157"/>
      <c r="D110" s="175"/>
      <c r="E110" s="175"/>
      <c r="F110" s="175"/>
      <c r="G110" s="37"/>
    </row>
    <row r="111" spans="2:8" ht="24.9" customHeight="1" x14ac:dyDescent="0.3">
      <c r="B111" s="36"/>
      <c r="C111" s="157"/>
      <c r="D111" s="175"/>
      <c r="E111" s="175"/>
      <c r="F111" s="175"/>
      <c r="G111" s="37"/>
    </row>
    <row r="112" spans="2:8" ht="24.9" customHeight="1" x14ac:dyDescent="0.3">
      <c r="B112" s="36"/>
      <c r="C112" s="157"/>
      <c r="D112" s="175"/>
      <c r="E112" s="175"/>
      <c r="F112" s="175"/>
      <c r="G112" s="37"/>
    </row>
    <row r="113" spans="2:7" ht="24.9" customHeight="1" x14ac:dyDescent="0.3">
      <c r="B113" s="36"/>
      <c r="C113" s="157"/>
      <c r="D113" s="175"/>
      <c r="E113" s="175"/>
      <c r="F113" s="175"/>
      <c r="G113" s="37"/>
    </row>
    <row r="114" spans="2:7" ht="24.9" customHeight="1" x14ac:dyDescent="0.3">
      <c r="B114" s="36"/>
      <c r="C114" s="157"/>
      <c r="D114" s="175"/>
      <c r="E114" s="175"/>
      <c r="F114" s="175"/>
      <c r="G114" s="37"/>
    </row>
    <row r="115" spans="2:7" ht="24.9" customHeight="1" x14ac:dyDescent="0.3">
      <c r="B115" s="36"/>
      <c r="C115" s="157"/>
      <c r="D115" s="175"/>
      <c r="E115" s="175"/>
      <c r="F115" s="175"/>
      <c r="G115" s="37"/>
    </row>
    <row r="116" spans="2:7" ht="24.9" customHeight="1" x14ac:dyDescent="0.3">
      <c r="B116" s="36"/>
      <c r="C116" s="157"/>
      <c r="D116" s="175"/>
      <c r="E116" s="175"/>
      <c r="F116" s="175"/>
      <c r="G116" s="37"/>
    </row>
    <row r="117" spans="2:7" ht="24.9" customHeight="1" x14ac:dyDescent="0.3">
      <c r="B117" s="36"/>
      <c r="C117" s="157"/>
      <c r="D117" s="175"/>
      <c r="E117" s="175"/>
      <c r="F117" s="175"/>
      <c r="G117" s="37"/>
    </row>
    <row r="118" spans="2:7" ht="24.9" customHeight="1" x14ac:dyDescent="0.3">
      <c r="B118" s="36"/>
      <c r="C118" s="157"/>
      <c r="D118" s="175"/>
      <c r="E118" s="175"/>
      <c r="F118" s="175"/>
      <c r="G118" s="37"/>
    </row>
    <row r="119" spans="2:7" ht="24.9" customHeight="1" x14ac:dyDescent="0.3">
      <c r="B119" s="36"/>
      <c r="C119" s="157"/>
      <c r="D119" s="175"/>
      <c r="E119" s="175"/>
      <c r="F119" s="175"/>
      <c r="G119" s="37"/>
    </row>
    <row r="120" spans="2:7" ht="24.9" customHeight="1" x14ac:dyDescent="0.3">
      <c r="B120" s="36"/>
      <c r="C120" s="157"/>
      <c r="D120" s="175"/>
      <c r="E120" s="175"/>
      <c r="F120" s="175"/>
      <c r="G120" s="37"/>
    </row>
    <row r="121" spans="2:7" ht="24.9" customHeight="1" x14ac:dyDescent="0.3">
      <c r="B121" s="36"/>
      <c r="C121" s="157"/>
      <c r="D121" s="175"/>
      <c r="E121" s="175"/>
      <c r="F121" s="175"/>
      <c r="G121" s="37"/>
    </row>
    <row r="122" spans="2:7" ht="24.9" customHeight="1" x14ac:dyDescent="0.3">
      <c r="B122" s="36"/>
      <c r="C122" s="157"/>
      <c r="D122" s="175"/>
      <c r="E122" s="175"/>
      <c r="F122" s="175"/>
      <c r="G122" s="37"/>
    </row>
    <row r="123" spans="2:7" ht="24.9" customHeight="1" x14ac:dyDescent="0.3">
      <c r="B123" s="36"/>
      <c r="C123" s="157"/>
      <c r="D123" s="175"/>
      <c r="E123" s="175"/>
      <c r="F123" s="175"/>
      <c r="G123" s="37"/>
    </row>
    <row r="124" spans="2:7" ht="24.9" customHeight="1" x14ac:dyDescent="0.3">
      <c r="B124" s="36"/>
      <c r="C124" s="157"/>
      <c r="D124" s="175"/>
      <c r="E124" s="175"/>
      <c r="F124" s="175"/>
      <c r="G124" s="37"/>
    </row>
    <row r="125" spans="2:7" ht="24.9" customHeight="1" x14ac:dyDescent="0.3">
      <c r="B125" s="36"/>
      <c r="C125" s="157"/>
      <c r="D125" s="175"/>
      <c r="E125" s="175"/>
      <c r="F125" s="175"/>
      <c r="G125" s="37"/>
    </row>
    <row r="126" spans="2:7" ht="24.9" customHeight="1" x14ac:dyDescent="0.3">
      <c r="B126" s="36"/>
      <c r="C126" s="157"/>
      <c r="D126" s="175"/>
      <c r="E126" s="175"/>
      <c r="F126" s="175"/>
      <c r="G126" s="37"/>
    </row>
    <row r="127" spans="2:7" ht="24.9" customHeight="1" x14ac:dyDescent="0.3">
      <c r="B127" s="36"/>
      <c r="C127" s="157"/>
      <c r="D127" s="175"/>
      <c r="E127" s="175"/>
      <c r="F127" s="175"/>
      <c r="G127" s="37"/>
    </row>
    <row r="128" spans="2:7" ht="24.9" customHeight="1" x14ac:dyDescent="0.3">
      <c r="B128" s="36"/>
      <c r="C128" s="157"/>
      <c r="D128" s="175"/>
      <c r="E128" s="175"/>
      <c r="F128" s="175"/>
      <c r="G128" s="37"/>
    </row>
    <row r="129" spans="2:7" ht="24.9" customHeight="1" x14ac:dyDescent="0.3">
      <c r="B129" s="36"/>
      <c r="C129" s="157"/>
      <c r="D129" s="175"/>
      <c r="E129" s="175"/>
      <c r="F129" s="175"/>
      <c r="G129" s="37"/>
    </row>
    <row r="130" spans="2:7" ht="24.9" customHeight="1" x14ac:dyDescent="0.3">
      <c r="B130" s="36"/>
      <c r="C130" s="157"/>
      <c r="D130" s="175"/>
      <c r="E130" s="175"/>
      <c r="F130" s="175"/>
      <c r="G130" s="37"/>
    </row>
    <row r="131" spans="2:7" ht="24.9" customHeight="1" x14ac:dyDescent="0.3">
      <c r="B131" s="36"/>
      <c r="C131" s="157"/>
      <c r="D131" s="175"/>
      <c r="E131" s="175"/>
      <c r="F131" s="175"/>
      <c r="G131" s="37"/>
    </row>
    <row r="132" spans="2:7" ht="24.9" customHeight="1" x14ac:dyDescent="0.3">
      <c r="B132" s="36"/>
      <c r="C132" s="157"/>
      <c r="D132" s="175"/>
      <c r="E132" s="175"/>
      <c r="F132" s="175"/>
      <c r="G132" s="37"/>
    </row>
    <row r="133" spans="2:7" ht="24.9" customHeight="1" x14ac:dyDescent="0.3">
      <c r="B133" s="36"/>
      <c r="C133" s="157"/>
      <c r="D133" s="175"/>
      <c r="E133" s="175"/>
      <c r="F133" s="175"/>
      <c r="G133" s="37"/>
    </row>
    <row r="134" spans="2:7" ht="24.9" customHeight="1" x14ac:dyDescent="0.3">
      <c r="B134" s="36"/>
      <c r="C134" s="157"/>
      <c r="D134" s="175"/>
      <c r="E134" s="175"/>
      <c r="F134" s="175"/>
      <c r="G134" s="37"/>
    </row>
    <row r="135" spans="2:7" ht="24.9" customHeight="1" x14ac:dyDescent="0.3">
      <c r="B135" s="36"/>
      <c r="C135" s="157"/>
      <c r="D135" s="175"/>
      <c r="E135" s="175"/>
      <c r="F135" s="175"/>
      <c r="G135" s="37"/>
    </row>
    <row r="136" spans="2:7" ht="24.9" customHeight="1" x14ac:dyDescent="0.3">
      <c r="B136" s="36"/>
      <c r="C136" s="157"/>
      <c r="D136" s="175"/>
      <c r="E136" s="175"/>
      <c r="F136" s="175"/>
      <c r="G136" s="37"/>
    </row>
    <row r="137" spans="2:7" ht="24.9" customHeight="1" x14ac:dyDescent="0.3">
      <c r="B137" s="36"/>
      <c r="C137" s="157"/>
      <c r="D137" s="175"/>
      <c r="E137" s="175"/>
      <c r="F137" s="175"/>
      <c r="G137" s="37"/>
    </row>
  </sheetData>
  <sheetProtection algorithmName="SHA-512" hashValue="J9Gop/XbcYru6edFX1O4YKBMGKMtX4DHsKzSJy0NPG+idNKMwAYBopJhQosqO2nOco1GLMGEcyNoN4d2xRM9Yw==" saltValue="XmoWS5vyGCH3HKXVP6HA2g==" spinCount="100000" sheet="1" objects="1" scenarios="1" formatCells="0" formatColumns="0" formatRows="0" selectLockedCells="1" sort="0" autoFilter="0"/>
  <autoFilter ref="A4:H98" xr:uid="{00000000-0009-0000-0000-000004000000}"/>
  <mergeCells count="43">
    <mergeCell ref="C134:F134"/>
    <mergeCell ref="C135:F135"/>
    <mergeCell ref="C136:F136"/>
    <mergeCell ref="C137:F137"/>
    <mergeCell ref="C127:F127"/>
    <mergeCell ref="C128:F128"/>
    <mergeCell ref="C129:F129"/>
    <mergeCell ref="C130:F130"/>
    <mergeCell ref="C131:F131"/>
    <mergeCell ref="C132:F132"/>
    <mergeCell ref="C133:F133"/>
    <mergeCell ref="C126:F126"/>
    <mergeCell ref="C115:F115"/>
    <mergeCell ref="C116:F116"/>
    <mergeCell ref="C117:F117"/>
    <mergeCell ref="C118:F118"/>
    <mergeCell ref="C119:F119"/>
    <mergeCell ref="C120:F120"/>
    <mergeCell ref="C121:F121"/>
    <mergeCell ref="C122:F122"/>
    <mergeCell ref="C123:F123"/>
    <mergeCell ref="C124:F124"/>
    <mergeCell ref="C125:F125"/>
    <mergeCell ref="C114:F114"/>
    <mergeCell ref="C98:G98"/>
    <mergeCell ref="B99:G104"/>
    <mergeCell ref="C105:F105"/>
    <mergeCell ref="C106:F106"/>
    <mergeCell ref="C107:F107"/>
    <mergeCell ref="C108:F108"/>
    <mergeCell ref="C109:F109"/>
    <mergeCell ref="C110:F110"/>
    <mergeCell ref="C111:F111"/>
    <mergeCell ref="C112:F112"/>
    <mergeCell ref="C113:F113"/>
    <mergeCell ref="A3:A4"/>
    <mergeCell ref="A1:G1"/>
    <mergeCell ref="B97:C97"/>
    <mergeCell ref="D97:F97"/>
    <mergeCell ref="B3:B4"/>
    <mergeCell ref="C3:C4"/>
    <mergeCell ref="D3:F3"/>
    <mergeCell ref="G3:G4"/>
  </mergeCells>
  <dataValidations count="1">
    <dataValidation type="list" allowBlank="1" showInputMessage="1" showErrorMessage="1" sqref="D5:F94" xr:uid="{00000000-0002-0000-0400-000000000000}">
      <formula1>$J$5</formula1>
    </dataValidation>
  </dataValidations>
  <printOptions horizontalCentered="1" verticalCentered="1"/>
  <pageMargins left="0.39305555555555599" right="0.39305555555555599" top="0.39305555555555599" bottom="0.39305555555555599" header="0" footer="0"/>
  <pageSetup scale="57"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4c27195-b040-49a8-9621-60a57afbea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8A34B2111E0AD4F8784BBDFFA9CEA06" ma:contentTypeVersion="18" ma:contentTypeDescription="Crear nuevo documento." ma:contentTypeScope="" ma:versionID="cfd6d35905983c6eb3dd0583091940d6">
  <xsd:schema xmlns:xsd="http://www.w3.org/2001/XMLSchema" xmlns:xs="http://www.w3.org/2001/XMLSchema" xmlns:p="http://schemas.microsoft.com/office/2006/metadata/properties" xmlns:ns3="8f574007-5ccf-4647-a4fc-ee88cdbd58c6" xmlns:ns4="e4c27195-b040-49a8-9621-60a57afbea28" targetNamespace="http://schemas.microsoft.com/office/2006/metadata/properties" ma:root="true" ma:fieldsID="8d73df3708abbacff7c83ba376297faa" ns3:_="" ns4:_="">
    <xsd:import namespace="8f574007-5ccf-4647-a4fc-ee88cdbd58c6"/>
    <xsd:import namespace="e4c27195-b040-49a8-9621-60a57afbea2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574007-5ccf-4647-a4fc-ee88cdbd58c6"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c27195-b040-49a8-9621-60a57afbea2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986178-6242-45B4-AF84-09148D76E33D}">
  <ds:schemaRefs>
    <ds:schemaRef ds:uri="http://purl.org/dc/terms/"/>
    <ds:schemaRef ds:uri="http://schemas.microsoft.com/office/infopath/2007/PartnerControls"/>
    <ds:schemaRef ds:uri="http://schemas.microsoft.com/office/2006/metadata/properties"/>
    <ds:schemaRef ds:uri="http://purl.org/dc/dcmitype/"/>
    <ds:schemaRef ds:uri="http://schemas.microsoft.com/office/2006/documentManagement/types"/>
    <ds:schemaRef ds:uri="http://purl.org/dc/elements/1.1/"/>
    <ds:schemaRef ds:uri="http://www.w3.org/XML/1998/namespace"/>
    <ds:schemaRef ds:uri="e4c27195-b040-49a8-9621-60a57afbea28"/>
    <ds:schemaRef ds:uri="http://schemas.openxmlformats.org/package/2006/metadata/core-properties"/>
    <ds:schemaRef ds:uri="8f574007-5ccf-4647-a4fc-ee88cdbd58c6"/>
  </ds:schemaRefs>
</ds:datastoreItem>
</file>

<file path=customXml/itemProps2.xml><?xml version="1.0" encoding="utf-8"?>
<ds:datastoreItem xmlns:ds="http://schemas.openxmlformats.org/officeDocument/2006/customXml" ds:itemID="{E02C28CD-8E36-46D4-A2A6-238742B69F36}">
  <ds:schemaRefs>
    <ds:schemaRef ds:uri="http://schemas.microsoft.com/sharepoint/v3/contenttype/forms"/>
  </ds:schemaRefs>
</ds:datastoreItem>
</file>

<file path=customXml/itemProps3.xml><?xml version="1.0" encoding="utf-8"?>
<ds:datastoreItem xmlns:ds="http://schemas.openxmlformats.org/officeDocument/2006/customXml" ds:itemID="{95F3FA55-201B-44EE-98A7-AF55C38663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574007-5ccf-4647-a4fc-ee88cdbd58c6"/>
    <ds:schemaRef ds:uri="e4c27195-b040-49a8-9621-60a57afb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Instrucciones</vt:lpstr>
      <vt:lpstr>INFORMACION GENERAL</vt:lpstr>
      <vt:lpstr>1-Cx y cert</vt:lpstr>
      <vt:lpstr>si respondio SI a Cx oCert</vt:lpstr>
      <vt:lpstr>Si respondio NO a CX o Cert</vt:lpstr>
      <vt:lpstr>'1-Cx y cert'!Área_de_impresión</vt:lpstr>
      <vt:lpstr>'Si respondio NO a CX o Cert'!Área_de_impresión</vt:lpstr>
      <vt:lpstr>'si respondio SI a Cx oCert'!Área_de_impresión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 Vizzotti</dc:creator>
  <cp:keywords/>
  <dc:description/>
  <cp:lastModifiedBy>Adriana perdomo</cp:lastModifiedBy>
  <cp:revision/>
  <cp:lastPrinted>2024-10-28T14:20:17Z</cp:lastPrinted>
  <dcterms:created xsi:type="dcterms:W3CDTF">2023-11-18T13:50:00Z</dcterms:created>
  <dcterms:modified xsi:type="dcterms:W3CDTF">2025-02-14T21:53:11Z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0x010100F8A34B2111E0AD4F8784BBDFFA9CEA06</vt:lpwstr>
  </property>
</Properties>
</file>