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vado de manos" sheetId="1" r:id="rId4"/>
    <sheet state="visible" name="DOCTOR OSCAR " sheetId="2" r:id="rId5"/>
    <sheet state="visible" name="DOCTORA MIRIAM " sheetId="3" r:id="rId6"/>
    <sheet state="visible" name="YENNY SANCHEZ" sheetId="4" r:id="rId7"/>
    <sheet state="visible" name="SANDY ALBORNOS " sheetId="5" r:id="rId8"/>
    <sheet state="visible" name="ARANZA MOJICA " sheetId="6" r:id="rId9"/>
  </sheets>
  <definedNames/>
  <calcPr/>
  <extLst>
    <ext uri="GoogleSheetsCustomDataVersion2">
      <go:sheetsCustomData xmlns:go="http://customooxmlschemas.google.com/" r:id="rId10" roundtripDataChecksum="e+zPgNM+MRWBEvi+WQat5cwk2iU19wrIwG8YhME4mAc="/>
    </ext>
  </extLst>
</workbook>
</file>

<file path=xl/sharedStrings.xml><?xml version="1.0" encoding="utf-8"?>
<sst xmlns="http://schemas.openxmlformats.org/spreadsheetml/2006/main" count="799" uniqueCount="85">
  <si>
    <t>MEDICIÓN ADHERENCIA AL LAVADO DE MANOS</t>
  </si>
  <si>
    <t xml:space="preserve">PERIODO: IlI TRIMESTRE </t>
  </si>
  <si>
    <t>CRITERIO</t>
  </si>
  <si>
    <t>1.  GENERALIDADES</t>
  </si>
  <si>
    <t>C</t>
  </si>
  <si>
    <t>NC</t>
  </si>
  <si>
    <t>PAR.</t>
  </si>
  <si>
    <t>N/A</t>
  </si>
  <si>
    <t>OBSERVACIONES</t>
  </si>
  <si>
    <t xml:space="preserve">1.1 </t>
  </si>
  <si>
    <t>Está disponible en el servicio el Protocolo de lavado de manos</t>
  </si>
  <si>
    <t xml:space="preserve">1.2 </t>
  </si>
  <si>
    <t>Conoce el personal el protocolo de lavado de manos</t>
  </si>
  <si>
    <t xml:space="preserve">1.3 </t>
  </si>
  <si>
    <t>Existe en todos los puntos de atención lavamanos</t>
  </si>
  <si>
    <t>2.  MOMENTOS HIGIENE DE MANOS</t>
  </si>
  <si>
    <t>2.1</t>
  </si>
  <si>
    <t>Antes del contacto con cada paciente</t>
  </si>
  <si>
    <t>Antes de realizar un procedimiento limpio y aséptico</t>
  </si>
  <si>
    <t>2.3</t>
  </si>
  <si>
    <t>Después del riesgo de contacto con fluidos orgánicos</t>
  </si>
  <si>
    <t>2.4</t>
  </si>
  <si>
    <t>Después de haber estado en contacto con el paciente</t>
  </si>
  <si>
    <t>2.5</t>
  </si>
  <si>
    <t>Después de haber estado en contacto con el entorno del paciente</t>
  </si>
  <si>
    <t>2.6</t>
  </si>
  <si>
    <t>El trabajador tiene las uñas sin esmalte.</t>
  </si>
  <si>
    <t>2.7</t>
  </si>
  <si>
    <t>El largo de las uñas del trabajador es inferior a 0.5 Cm. Del lecho ungueal</t>
  </si>
  <si>
    <t>2.8</t>
  </si>
  <si>
    <t>Retira de los brazos y manos, reloj, pulseras y anillos</t>
  </si>
  <si>
    <t>3.  TECNICA LAVADO DE MANOS</t>
  </si>
  <si>
    <t>3.1</t>
  </si>
  <si>
    <t>Abre la llave del agua y humedece sus manos</t>
  </si>
  <si>
    <t>3.2</t>
  </si>
  <si>
    <t>Deposita en la palma de la mano una cantidad de jabón suficiente para cubrir toda la superficie de las manos</t>
  </si>
  <si>
    <t>3.3</t>
  </si>
  <si>
    <t>Frota las palmas de las manos entre si</t>
  </si>
  <si>
    <t>3.4</t>
  </si>
  <si>
    <t>Frota la palma de la mano derecha contra el dorso de la mano izquierda entrelazando los dedos y viceversa</t>
  </si>
  <si>
    <t>Frota las palmas de las manos entre si, con dedos entrelazados.</t>
  </si>
  <si>
    <t>3.6</t>
  </si>
  <si>
    <t>Frota el dorso de los dedos de una mano con la palma de la mano opuesta, agarrándose los dedos.</t>
  </si>
  <si>
    <t>3.7</t>
  </si>
  <si>
    <t>Frota con un movimiento de rotación el pulgar izquierdo atrapándolo con la palma de la mano derecha y viceversa</t>
  </si>
  <si>
    <t>3.8</t>
  </si>
  <si>
    <t>Frota la punta de los dedos de la mano derecha contra la palma de la mano izquierda, haciendo un movimiento de rotación, y viceversa</t>
  </si>
  <si>
    <t>3.9</t>
  </si>
  <si>
    <t>Se enjuaga las manos con agua</t>
  </si>
  <si>
    <t>3.10</t>
  </si>
  <si>
    <t>Se seca las manos con toalla de un solo uso</t>
  </si>
  <si>
    <t>3.11</t>
  </si>
  <si>
    <t>Utiliza la toalla para cerrar el grifo</t>
  </si>
  <si>
    <t>4.  TECNICA FROTE DE MANOS CON ALCOHOL GLICERINADO</t>
  </si>
  <si>
    <t>4.1</t>
  </si>
  <si>
    <t>Deposita en la palma de la mano una dosis del producto suficiente para cubrir todas las superficies a tratar</t>
  </si>
  <si>
    <t>4.2</t>
  </si>
  <si>
    <t>Frota la palma de las manos entre si</t>
  </si>
  <si>
    <t>4.3</t>
  </si>
  <si>
    <t>4.4</t>
  </si>
  <si>
    <t>Frota la palma de las manos entre sí, con dedos entrelazados</t>
  </si>
  <si>
    <t>4.5</t>
  </si>
  <si>
    <t>Frota el dorso de los dedos de una mano con la palma de la mano opuesta agarrándose los dedos</t>
  </si>
  <si>
    <t>4.6</t>
  </si>
  <si>
    <t>4.7</t>
  </si>
  <si>
    <t>Frota la punta de los dedos de la mano derecha contra la palma de la mano izquierda, haciendo un movimiento de rotación y viceversa</t>
  </si>
  <si>
    <t>4.8</t>
  </si>
  <si>
    <t>El personal tiene acceso permanente a alcohol glicerinado</t>
  </si>
  <si>
    <t>5.   GENERALIDADES</t>
  </si>
  <si>
    <t>5.1</t>
  </si>
  <si>
    <t>Los lavamanos cuentan con dispensadores de jabón con producto disponible.</t>
  </si>
  <si>
    <t>5.2</t>
  </si>
  <si>
    <t>Los lavamanos que existen en los puntos de atención cuentan con suministro de agua permanente</t>
  </si>
  <si>
    <t>5.3</t>
  </si>
  <si>
    <t>Existe  junto a los lavamanos caneca de residuos ordinarios</t>
  </si>
  <si>
    <t>5.4</t>
  </si>
  <si>
    <t>Hay suministro de toallas desechables constantemente en los lavabos</t>
  </si>
  <si>
    <t>5.5</t>
  </si>
  <si>
    <t>Hay instrucciones en sitio visible sobre el método de higiene de manos sugerido.</t>
  </si>
  <si>
    <t>TOTAL</t>
  </si>
  <si>
    <t>OBSERVACIONES:</t>
  </si>
  <si>
    <t>PERIODO: IlSEMESTRE</t>
  </si>
  <si>
    <t>x</t>
  </si>
  <si>
    <t>X</t>
  </si>
  <si>
    <t>PERIODO: Il SEMESTRE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</si>
</sst>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-yyyy"/>
    <numFmt numFmtId="165" formatCode="0.0"/>
  </numFmts>
  <fonts count="10">
    <font>
      <sz val="10.0"/>
      <color rgb="FF000000"/>
      <name val="Calibri"/>
      <scheme val="minor"/>
    </font>
    <font>
      <sz val="10.0"/>
      <color rgb="FF000000"/>
      <name val="Arial"/>
    </font>
    <font/>
    <font>
      <b/>
      <sz val="16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</fills>
  <borders count="34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0" fontId="4" numFmtId="0" xfId="0" applyFont="1"/>
    <xf borderId="4" fillId="0" fontId="2" numFmtId="0" xfId="0" applyBorder="1" applyFont="1"/>
    <xf borderId="5" fillId="0" fontId="2" numFmtId="0" xfId="0" applyBorder="1" applyFont="1"/>
    <xf borderId="6" fillId="2" fontId="5" numFmtId="0" xfId="0" applyAlignment="1" applyBorder="1" applyFont="1">
      <alignment shrinkToFit="0" vertical="center" wrapText="1"/>
    </xf>
    <xf borderId="6" fillId="2" fontId="1" numFmtId="0" xfId="0" applyBorder="1" applyFont="1"/>
    <xf borderId="7" fillId="0" fontId="2" numFmtId="0" xfId="0" applyBorder="1" applyFont="1"/>
    <xf borderId="8" fillId="0" fontId="2" numFmtId="0" xfId="0" applyBorder="1" applyFont="1"/>
    <xf borderId="7" fillId="0" fontId="5" numFmtId="0" xfId="0" applyAlignment="1" applyBorder="1" applyFont="1">
      <alignment horizontal="right" shrinkToFit="0" vertical="center" wrapText="1"/>
    </xf>
    <xf borderId="9" fillId="0" fontId="2" numFmtId="0" xfId="0" applyBorder="1" applyFont="1"/>
    <xf borderId="10" fillId="2" fontId="1" numFmtId="0" xfId="0" applyAlignment="1" applyBorder="1" applyFont="1">
      <alignment horizontal="left" vertical="center"/>
    </xf>
    <xf borderId="11" fillId="0" fontId="2" numFmtId="0" xfId="0" applyBorder="1" applyFont="1"/>
    <xf borderId="12" fillId="2" fontId="5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6" fillId="2" fontId="4" numFmtId="0" xfId="0" applyBorder="1" applyFont="1"/>
    <xf borderId="15" fillId="2" fontId="4" numFmtId="164" xfId="0" applyAlignment="1" applyBorder="1" applyFont="1" applyNumberFormat="1">
      <alignment horizontal="left" readingOrder="0" vertical="center"/>
    </xf>
    <xf borderId="16" fillId="0" fontId="2" numFmtId="0" xfId="0" applyBorder="1" applyFont="1"/>
    <xf borderId="17" fillId="2" fontId="5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15" fillId="0" fontId="5" numFmtId="0" xfId="0" applyAlignment="1" applyBorder="1" applyFont="1">
      <alignment horizontal="center"/>
    </xf>
    <xf borderId="20" fillId="2" fontId="6" numFmtId="9" xfId="0" applyAlignment="1" applyBorder="1" applyFont="1" applyNumberFormat="1">
      <alignment shrinkToFit="0" vertical="top" wrapText="1"/>
    </xf>
    <xf borderId="21" fillId="2" fontId="6" numFmtId="9" xfId="0" applyAlignment="1" applyBorder="1" applyFont="1" applyNumberFormat="1">
      <alignment shrinkToFit="0" vertical="top" wrapText="1"/>
    </xf>
    <xf borderId="22" fillId="2" fontId="6" numFmtId="9" xfId="0" applyAlignment="1" applyBorder="1" applyFont="1" applyNumberFormat="1">
      <alignment shrinkToFit="0" vertical="top" wrapText="1"/>
    </xf>
    <xf borderId="0" fillId="0" fontId="4" numFmtId="0" xfId="0" applyAlignment="1" applyFont="1">
      <alignment vertical="top"/>
    </xf>
    <xf borderId="15" fillId="3" fontId="5" numFmtId="0" xfId="0" applyAlignment="1" applyBorder="1" applyFill="1" applyFont="1">
      <alignment horizontal="center" shrinkToFit="0" wrapText="1"/>
    </xf>
    <xf borderId="23" fillId="3" fontId="7" numFmtId="0" xfId="0" applyAlignment="1" applyBorder="1" applyFont="1">
      <alignment horizontal="center"/>
    </xf>
    <xf borderId="23" fillId="3" fontId="7" numFmtId="0" xfId="0" applyAlignment="1" applyBorder="1" applyFont="1">
      <alignment horizontal="center" shrinkToFit="0" wrapText="1"/>
    </xf>
    <xf borderId="20" fillId="3" fontId="5" numFmtId="0" xfId="0" applyBorder="1" applyFont="1"/>
    <xf borderId="22" fillId="3" fontId="5" numFmtId="0" xfId="0" applyBorder="1" applyFont="1"/>
    <xf borderId="24" fillId="0" fontId="4" numFmtId="0" xfId="0" applyAlignment="1" applyBorder="1" applyFont="1">
      <alignment horizontal="center"/>
    </xf>
    <xf borderId="23" fillId="4" fontId="1" numFmtId="0" xfId="0" applyAlignment="1" applyBorder="1" applyFill="1" applyFont="1">
      <alignment shrinkToFit="0" wrapText="1"/>
    </xf>
    <xf borderId="23" fillId="0" fontId="8" numFmtId="0" xfId="0" applyAlignment="1" applyBorder="1" applyFont="1">
      <alignment horizontal="center"/>
    </xf>
    <xf borderId="23" fillId="0" fontId="8" numFmtId="0" xfId="0" applyAlignment="1" applyBorder="1" applyFont="1">
      <alignment horizontal="center" shrinkToFit="0" wrapText="1"/>
    </xf>
    <xf borderId="17" fillId="0" fontId="8" numFmtId="0" xfId="0" applyAlignment="1" applyBorder="1" applyFont="1">
      <alignment horizontal="center" shrinkToFit="0" wrapText="1"/>
    </xf>
    <xf borderId="17" fillId="0" fontId="8" numFmtId="0" xfId="0" applyAlignment="1" applyBorder="1" applyFont="1">
      <alignment horizontal="center"/>
    </xf>
    <xf borderId="23" fillId="3" fontId="5" numFmtId="0" xfId="0" applyBorder="1" applyFont="1"/>
    <xf borderId="24" fillId="0" fontId="4" numFmtId="0" xfId="0" applyAlignment="1" applyBorder="1" applyFont="1">
      <alignment horizontal="center" vertical="center"/>
    </xf>
    <xf borderId="25" fillId="3" fontId="7" numFmtId="0" xfId="0" applyAlignment="1" applyBorder="1" applyFont="1">
      <alignment horizontal="center"/>
    </xf>
    <xf borderId="26" fillId="0" fontId="2" numFmtId="0" xfId="0" applyBorder="1" applyFont="1"/>
    <xf borderId="24" fillId="0" fontId="4" numFmtId="0" xfId="0" applyAlignment="1" applyBorder="1" applyFont="1">
      <alignment horizontal="center" shrinkToFit="0" vertical="center" wrapText="1"/>
    </xf>
    <xf borderId="23" fillId="4" fontId="1" numFmtId="0" xfId="0" applyAlignment="1" applyBorder="1" applyFont="1">
      <alignment horizontal="left" shrinkToFit="0" wrapText="1"/>
    </xf>
    <xf borderId="27" fillId="4" fontId="4" numFmtId="0" xfId="0" applyAlignment="1" applyBorder="1" applyFont="1">
      <alignment horizontal="left" shrinkToFit="0" wrapText="1"/>
    </xf>
    <xf borderId="23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0" fillId="0" fontId="4" numFmtId="1" xfId="0" applyFont="1" applyNumberFormat="1"/>
    <xf borderId="15" fillId="0" fontId="9" numFmtId="0" xfId="0" applyAlignment="1" applyBorder="1" applyFont="1">
      <alignment horizontal="center" shrinkToFit="0" wrapText="1"/>
    </xf>
    <xf borderId="23" fillId="0" fontId="5" numFmtId="1" xfId="0" applyAlignment="1" applyBorder="1" applyFont="1" applyNumberFormat="1">
      <alignment horizontal="center"/>
    </xf>
    <xf borderId="0" fillId="0" fontId="4" numFmtId="165" xfId="0" applyFont="1" applyNumberFormat="1"/>
    <xf borderId="28" fillId="0" fontId="8" numFmtId="0" xfId="0" applyAlignment="1" applyBorder="1" applyFont="1">
      <alignment horizontal="center"/>
    </xf>
    <xf borderId="29" fillId="0" fontId="2" numFmtId="0" xfId="0" applyBorder="1" applyFont="1"/>
    <xf borderId="30" fillId="0" fontId="2" numFmtId="0" xfId="0" applyBorder="1" applyFont="1"/>
    <xf borderId="4" fillId="0" fontId="9" numFmtId="0" xfId="0" applyAlignment="1" applyBorder="1" applyFont="1">
      <alignment horizontal="left"/>
    </xf>
    <xf borderId="0" fillId="0" fontId="4" numFmtId="9" xfId="0" applyFont="1" applyNumberFormat="1"/>
    <xf borderId="31" fillId="0" fontId="8" numFmtId="0" xfId="0" applyAlignment="1" applyBorder="1" applyFont="1">
      <alignment horizontal="left"/>
    </xf>
    <xf borderId="32" fillId="0" fontId="2" numFmtId="0" xfId="0" applyBorder="1" applyFont="1"/>
    <xf borderId="33" fillId="0" fontId="2" numFmtId="0" xfId="0" applyBorder="1" applyFont="1"/>
    <xf borderId="15" fillId="0" fontId="8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99CCFF"/>
          <bgColor rgb="FF99CCFF"/>
        </patternFill>
      </fill>
      <border/>
    </dxf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10" Type="http://schemas.openxmlformats.org/officeDocument/2006/relationships/image" Target="../media/image8.png"/><Relationship Id="rId9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1.png"/><Relationship Id="rId7" Type="http://schemas.openxmlformats.org/officeDocument/2006/relationships/image" Target="../media/image9.png"/><Relationship Id="rId8" Type="http://schemas.openxmlformats.org/officeDocument/2006/relationships/image" Target="../media/image10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21</xdr:row>
      <xdr:rowOff>552450</xdr:rowOff>
    </xdr:from>
    <xdr:ext cx="904875" cy="676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23</xdr:row>
      <xdr:rowOff>542925</xdr:rowOff>
    </xdr:from>
    <xdr:ext cx="1114425" cy="6572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24</xdr:row>
      <xdr:rowOff>561975</xdr:rowOff>
    </xdr:from>
    <xdr:ext cx="809625" cy="62865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25</xdr:row>
      <xdr:rowOff>600075</xdr:rowOff>
    </xdr:from>
    <xdr:ext cx="876300" cy="581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1352550</xdr:colOff>
      <xdr:row>27</xdr:row>
      <xdr:rowOff>552450</xdr:rowOff>
    </xdr:from>
    <xdr:ext cx="876300" cy="6381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1143000</xdr:colOff>
      <xdr:row>33</xdr:row>
      <xdr:rowOff>600075</xdr:rowOff>
    </xdr:from>
    <xdr:ext cx="790575" cy="5810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866775</xdr:colOff>
      <xdr:row>35</xdr:row>
      <xdr:rowOff>561975</xdr:rowOff>
    </xdr:from>
    <xdr:ext cx="857250" cy="6286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676275</xdr:colOff>
      <xdr:row>37</xdr:row>
      <xdr:rowOff>542925</xdr:rowOff>
    </xdr:from>
    <xdr:ext cx="885825" cy="6667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752475</xdr:colOff>
      <xdr:row>38</xdr:row>
      <xdr:rowOff>581025</xdr:rowOff>
    </xdr:from>
    <xdr:ext cx="866775" cy="6381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57200" cy="2571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2571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2571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2571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2571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2571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8.29"/>
    <col customWidth="1" min="3" max="8" width="12.0"/>
    <col customWidth="1" min="9" max="10" width="12.43"/>
    <col customWidth="1" hidden="1" min="11" max="11" width="12.43"/>
    <col customWidth="1" min="12" max="26" width="12.43"/>
  </cols>
  <sheetData>
    <row r="1" ht="24.0" customHeight="1">
      <c r="A1" s="1"/>
      <c r="B1" s="2"/>
      <c r="C1" s="3" t="s">
        <v>0</v>
      </c>
      <c r="D1" s="4"/>
      <c r="E1" s="4"/>
      <c r="F1" s="4"/>
      <c r="G1" s="4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6"/>
      <c r="B2" s="7"/>
      <c r="C2" s="6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6"/>
      <c r="B3" s="7"/>
      <c r="C3" s="6"/>
      <c r="H3" s="7"/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10"/>
      <c r="B4" s="11"/>
      <c r="C4" s="12"/>
      <c r="D4" s="13"/>
      <c r="E4" s="13"/>
      <c r="F4" s="13"/>
      <c r="G4" s="13"/>
      <c r="H4" s="11"/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14" t="s">
        <v>1</v>
      </c>
      <c r="B5" s="15"/>
      <c r="C5" s="16"/>
      <c r="D5" s="17"/>
      <c r="E5" s="17"/>
      <c r="F5" s="17"/>
      <c r="G5" s="17"/>
      <c r="H5" s="18"/>
      <c r="I5" s="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0" customHeight="1">
      <c r="A6" s="20">
        <v>45751.0</v>
      </c>
      <c r="B6" s="21"/>
      <c r="C6" s="22"/>
      <c r="D6" s="23"/>
      <c r="E6" s="23"/>
      <c r="F6" s="23"/>
      <c r="G6" s="23"/>
      <c r="H6" s="24"/>
      <c r="I6" s="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25" t="s">
        <v>2</v>
      </c>
      <c r="B7" s="21"/>
      <c r="C7" s="26" t="str">
        <f>K50</f>
        <v>#DIV/0!</v>
      </c>
      <c r="D7" s="27"/>
      <c r="E7" s="27"/>
      <c r="F7" s="27"/>
      <c r="G7" s="27"/>
      <c r="H7" s="28"/>
      <c r="I7" s="29"/>
      <c r="J7" s="29"/>
      <c r="K7" s="2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75" customHeight="1">
      <c r="A8" s="30" t="s">
        <v>3</v>
      </c>
      <c r="B8" s="21"/>
      <c r="C8" s="31" t="s">
        <v>4</v>
      </c>
      <c r="D8" s="31" t="s">
        <v>5</v>
      </c>
      <c r="E8" s="31" t="s">
        <v>6</v>
      </c>
      <c r="F8" s="32" t="s">
        <v>7</v>
      </c>
      <c r="G8" s="33" t="s">
        <v>8</v>
      </c>
      <c r="H8" s="3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75" customHeight="1">
      <c r="A9" s="35" t="s">
        <v>9</v>
      </c>
      <c r="B9" s="36" t="s">
        <v>10</v>
      </c>
      <c r="C9" s="37"/>
      <c r="D9" s="37"/>
      <c r="E9" s="37"/>
      <c r="F9" s="38"/>
      <c r="G9" s="39"/>
      <c r="H9" s="2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.75" customHeight="1">
      <c r="A10" s="35" t="s">
        <v>11</v>
      </c>
      <c r="B10" s="36" t="s">
        <v>12</v>
      </c>
      <c r="C10" s="37"/>
      <c r="D10" s="37"/>
      <c r="E10" s="37"/>
      <c r="F10" s="37"/>
      <c r="G10" s="40"/>
      <c r="H10" s="2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2.75" customHeight="1">
      <c r="A11" s="35" t="s">
        <v>13</v>
      </c>
      <c r="B11" s="36" t="s">
        <v>14</v>
      </c>
      <c r="C11" s="37"/>
      <c r="D11" s="37"/>
      <c r="E11" s="37"/>
      <c r="F11" s="37"/>
      <c r="G11" s="40"/>
      <c r="H11" s="2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2.75" customHeight="1">
      <c r="A12" s="30" t="s">
        <v>15</v>
      </c>
      <c r="B12" s="21"/>
      <c r="C12" s="31" t="s">
        <v>4</v>
      </c>
      <c r="D12" s="31" t="s">
        <v>5</v>
      </c>
      <c r="E12" s="31" t="s">
        <v>6</v>
      </c>
      <c r="F12" s="32" t="s">
        <v>7</v>
      </c>
      <c r="G12" s="41" t="s">
        <v>8</v>
      </c>
      <c r="H12" s="4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2.75" customHeight="1">
      <c r="A13" s="42" t="s">
        <v>16</v>
      </c>
      <c r="B13" s="36" t="s">
        <v>17</v>
      </c>
      <c r="C13" s="37"/>
      <c r="D13" s="37"/>
      <c r="E13" s="37"/>
      <c r="F13" s="37"/>
      <c r="G13" s="40"/>
      <c r="H13" s="2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2.75" customHeight="1">
      <c r="A14" s="42">
        <v>2.2</v>
      </c>
      <c r="B14" s="36" t="s">
        <v>18</v>
      </c>
      <c r="C14" s="37"/>
      <c r="D14" s="37"/>
      <c r="E14" s="37"/>
      <c r="F14" s="38"/>
      <c r="G14" s="39"/>
      <c r="H14" s="2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2.75" customHeight="1">
      <c r="A15" s="42" t="s">
        <v>19</v>
      </c>
      <c r="B15" s="36" t="s">
        <v>20</v>
      </c>
      <c r="C15" s="37"/>
      <c r="D15" s="37"/>
      <c r="E15" s="37"/>
      <c r="F15" s="37"/>
      <c r="G15" s="40"/>
      <c r="H15" s="2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2.75" customHeight="1">
      <c r="A16" s="42" t="s">
        <v>21</v>
      </c>
      <c r="B16" s="36" t="s">
        <v>22</v>
      </c>
      <c r="C16" s="37"/>
      <c r="D16" s="37"/>
      <c r="E16" s="37"/>
      <c r="F16" s="37"/>
      <c r="G16" s="40"/>
      <c r="H16" s="2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2.75" customHeight="1">
      <c r="A17" s="42" t="s">
        <v>23</v>
      </c>
      <c r="B17" s="36" t="s">
        <v>24</v>
      </c>
      <c r="C17" s="37"/>
      <c r="D17" s="37"/>
      <c r="E17" s="37"/>
      <c r="F17" s="38"/>
      <c r="G17" s="39"/>
      <c r="H17" s="2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2.75" customHeight="1">
      <c r="A18" s="42" t="s">
        <v>25</v>
      </c>
      <c r="B18" s="36" t="s">
        <v>26</v>
      </c>
      <c r="C18" s="37"/>
      <c r="D18" s="37"/>
      <c r="E18" s="37"/>
      <c r="F18" s="37"/>
      <c r="G18" s="40"/>
      <c r="H18" s="2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2.75" customHeight="1">
      <c r="A19" s="42" t="s">
        <v>27</v>
      </c>
      <c r="B19" s="36" t="s">
        <v>28</v>
      </c>
      <c r="C19" s="37"/>
      <c r="D19" s="37"/>
      <c r="E19" s="37"/>
      <c r="F19" s="38"/>
      <c r="G19" s="39"/>
      <c r="H19" s="2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75" customHeight="1">
      <c r="A20" s="42" t="s">
        <v>29</v>
      </c>
      <c r="B20" s="36" t="s">
        <v>30</v>
      </c>
      <c r="C20" s="37"/>
      <c r="D20" s="37"/>
      <c r="E20" s="37"/>
      <c r="F20" s="37"/>
      <c r="G20" s="40"/>
      <c r="H20" s="2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2.75" customHeight="1">
      <c r="A21" s="43" t="s">
        <v>31</v>
      </c>
      <c r="B21" s="44"/>
      <c r="C21" s="31" t="s">
        <v>4</v>
      </c>
      <c r="D21" s="31" t="s">
        <v>5</v>
      </c>
      <c r="E21" s="31" t="s">
        <v>6</v>
      </c>
      <c r="F21" s="32" t="s">
        <v>7</v>
      </c>
      <c r="G21" s="41" t="s">
        <v>8</v>
      </c>
      <c r="H21" s="4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2.75" customHeight="1">
      <c r="A22" s="45" t="s">
        <v>32</v>
      </c>
      <c r="B22" s="36" t="s">
        <v>33</v>
      </c>
      <c r="C22" s="37"/>
      <c r="D22" s="37"/>
      <c r="E22" s="37"/>
      <c r="F22" s="37"/>
      <c r="G22" s="40"/>
      <c r="H22" s="2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2.75" customHeight="1">
      <c r="A23" s="45" t="s">
        <v>34</v>
      </c>
      <c r="B23" s="46" t="s">
        <v>35</v>
      </c>
      <c r="C23" s="37"/>
      <c r="D23" s="37"/>
      <c r="E23" s="37"/>
      <c r="F23" s="37"/>
      <c r="G23" s="40"/>
      <c r="H23" s="2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2.75" customHeight="1">
      <c r="A24" s="45" t="s">
        <v>36</v>
      </c>
      <c r="B24" s="46" t="s">
        <v>37</v>
      </c>
      <c r="C24" s="37"/>
      <c r="D24" s="37"/>
      <c r="E24" s="37"/>
      <c r="F24" s="37"/>
      <c r="G24" s="40"/>
      <c r="H24" s="2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2.75" customHeight="1">
      <c r="A25" s="45" t="s">
        <v>38</v>
      </c>
      <c r="B25" s="46" t="s">
        <v>39</v>
      </c>
      <c r="C25" s="37"/>
      <c r="D25" s="37"/>
      <c r="E25" s="37"/>
      <c r="F25" s="37"/>
      <c r="G25" s="40"/>
      <c r="H25" s="2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2.75" customHeight="1">
      <c r="A26" s="45" t="s">
        <v>38</v>
      </c>
      <c r="B26" s="46" t="s">
        <v>40</v>
      </c>
      <c r="C26" s="37"/>
      <c r="D26" s="37"/>
      <c r="E26" s="37"/>
      <c r="F26" s="37"/>
      <c r="G26" s="40"/>
      <c r="H26" s="2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2.75" customHeight="1">
      <c r="A27" s="45" t="s">
        <v>41</v>
      </c>
      <c r="B27" s="46" t="s">
        <v>42</v>
      </c>
      <c r="C27" s="37"/>
      <c r="D27" s="37"/>
      <c r="E27" s="37"/>
      <c r="F27" s="37"/>
      <c r="G27" s="40"/>
      <c r="H27" s="2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2.75" customHeight="1">
      <c r="A28" s="45" t="s">
        <v>43</v>
      </c>
      <c r="B28" s="47" t="s">
        <v>44</v>
      </c>
      <c r="C28" s="37"/>
      <c r="D28" s="37"/>
      <c r="E28" s="37"/>
      <c r="F28" s="37"/>
      <c r="G28" s="40"/>
      <c r="H28" s="2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2.75" customHeight="1">
      <c r="A29" s="45" t="s">
        <v>45</v>
      </c>
      <c r="B29" s="46" t="s">
        <v>46</v>
      </c>
      <c r="C29" s="37"/>
      <c r="D29" s="37"/>
      <c r="E29" s="37"/>
      <c r="F29" s="37"/>
      <c r="G29" s="40"/>
      <c r="H29" s="2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2.75" customHeight="1">
      <c r="A30" s="45" t="s">
        <v>47</v>
      </c>
      <c r="B30" s="46" t="s">
        <v>48</v>
      </c>
      <c r="C30" s="37"/>
      <c r="D30" s="37"/>
      <c r="E30" s="37"/>
      <c r="F30" s="37"/>
      <c r="G30" s="40"/>
      <c r="H30" s="2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2.75" customHeight="1">
      <c r="A31" s="45" t="s">
        <v>49</v>
      </c>
      <c r="B31" s="46" t="s">
        <v>50</v>
      </c>
      <c r="C31" s="37"/>
      <c r="D31" s="37"/>
      <c r="E31" s="37"/>
      <c r="F31" s="38"/>
      <c r="G31" s="39"/>
      <c r="H31" s="2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2.75" customHeight="1">
      <c r="A32" s="45" t="s">
        <v>51</v>
      </c>
      <c r="B32" s="46" t="s">
        <v>52</v>
      </c>
      <c r="C32" s="37"/>
      <c r="D32" s="37"/>
      <c r="E32" s="37"/>
      <c r="F32" s="37"/>
      <c r="G32" s="40"/>
      <c r="H32" s="2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2.75" customHeight="1">
      <c r="A33" s="43" t="s">
        <v>53</v>
      </c>
      <c r="B33" s="44"/>
      <c r="C33" s="31" t="s">
        <v>4</v>
      </c>
      <c r="D33" s="31" t="s">
        <v>5</v>
      </c>
      <c r="E33" s="31" t="s">
        <v>6</v>
      </c>
      <c r="F33" s="32" t="s">
        <v>7</v>
      </c>
      <c r="G33" s="41" t="s">
        <v>8</v>
      </c>
      <c r="H33" s="4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2.75" customHeight="1">
      <c r="A34" s="42" t="s">
        <v>54</v>
      </c>
      <c r="B34" s="36" t="s">
        <v>55</v>
      </c>
      <c r="C34" s="37"/>
      <c r="D34" s="37"/>
      <c r="E34" s="37"/>
      <c r="F34" s="37"/>
      <c r="G34" s="40"/>
      <c r="H34" s="2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2.75" customHeight="1">
      <c r="A35" s="42" t="s">
        <v>56</v>
      </c>
      <c r="B35" s="36" t="s">
        <v>57</v>
      </c>
      <c r="C35" s="37"/>
      <c r="D35" s="37"/>
      <c r="E35" s="37"/>
      <c r="F35" s="37"/>
      <c r="G35" s="40"/>
      <c r="H35" s="2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2.75" customHeight="1">
      <c r="A36" s="42" t="s">
        <v>58</v>
      </c>
      <c r="B36" s="36" t="s">
        <v>39</v>
      </c>
      <c r="C36" s="37"/>
      <c r="D36" s="37"/>
      <c r="E36" s="37"/>
      <c r="F36" s="37"/>
      <c r="G36" s="40"/>
      <c r="H36" s="2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2.75" customHeight="1">
      <c r="A37" s="42" t="s">
        <v>59</v>
      </c>
      <c r="B37" s="36" t="s">
        <v>60</v>
      </c>
      <c r="C37" s="37"/>
      <c r="D37" s="37"/>
      <c r="E37" s="37"/>
      <c r="F37" s="37"/>
      <c r="G37" s="40"/>
      <c r="H37" s="2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2.75" customHeight="1">
      <c r="A38" s="42" t="s">
        <v>61</v>
      </c>
      <c r="B38" s="36" t="s">
        <v>62</v>
      </c>
      <c r="C38" s="37"/>
      <c r="D38" s="37"/>
      <c r="E38" s="37"/>
      <c r="F38" s="37"/>
      <c r="G38" s="40"/>
      <c r="H38" s="2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2.75" customHeight="1">
      <c r="A39" s="42" t="s">
        <v>63</v>
      </c>
      <c r="B39" s="36" t="s">
        <v>44</v>
      </c>
      <c r="C39" s="37"/>
      <c r="D39" s="37"/>
      <c r="E39" s="37"/>
      <c r="F39" s="37"/>
      <c r="G39" s="40"/>
      <c r="H39" s="2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2.75" customHeight="1">
      <c r="A40" s="42" t="s">
        <v>64</v>
      </c>
      <c r="B40" s="36" t="s">
        <v>65</v>
      </c>
      <c r="C40" s="37"/>
      <c r="D40" s="37"/>
      <c r="E40" s="37"/>
      <c r="F40" s="37"/>
      <c r="G40" s="40"/>
      <c r="H40" s="2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2.75" customHeight="1">
      <c r="A41" s="42" t="s">
        <v>66</v>
      </c>
      <c r="B41" s="36" t="s">
        <v>67</v>
      </c>
      <c r="C41" s="37"/>
      <c r="D41" s="37"/>
      <c r="E41" s="37"/>
      <c r="F41" s="37"/>
      <c r="G41" s="40"/>
      <c r="H41" s="2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2.75" customHeight="1">
      <c r="A42" s="43" t="s">
        <v>68</v>
      </c>
      <c r="B42" s="44"/>
      <c r="C42" s="31" t="s">
        <v>4</v>
      </c>
      <c r="D42" s="31" t="s">
        <v>5</v>
      </c>
      <c r="E42" s="31" t="s">
        <v>6</v>
      </c>
      <c r="F42" s="32" t="s">
        <v>7</v>
      </c>
      <c r="G42" s="41" t="s">
        <v>8</v>
      </c>
      <c r="H42" s="4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2.75" customHeight="1">
      <c r="A43" s="42" t="s">
        <v>69</v>
      </c>
      <c r="B43" s="36" t="s">
        <v>70</v>
      </c>
      <c r="C43" s="37"/>
      <c r="D43" s="37"/>
      <c r="E43" s="37"/>
      <c r="F43" s="37"/>
      <c r="G43" s="40"/>
      <c r="H43" s="2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2.75" customHeight="1">
      <c r="A44" s="42" t="s">
        <v>71</v>
      </c>
      <c r="B44" s="36" t="s">
        <v>72</v>
      </c>
      <c r="C44" s="37"/>
      <c r="D44" s="37"/>
      <c r="E44" s="37"/>
      <c r="F44" s="37"/>
      <c r="G44" s="40"/>
      <c r="H44" s="2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2.75" customHeight="1">
      <c r="A45" s="42" t="s">
        <v>73</v>
      </c>
      <c r="B45" s="36" t="s">
        <v>74</v>
      </c>
      <c r="C45" s="37"/>
      <c r="D45" s="37"/>
      <c r="E45" s="37"/>
      <c r="F45" s="48"/>
      <c r="G45" s="49"/>
      <c r="H45" s="2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2.75" customHeight="1">
      <c r="A46" s="42" t="s">
        <v>75</v>
      </c>
      <c r="B46" s="36" t="s">
        <v>76</v>
      </c>
      <c r="C46" s="37"/>
      <c r="D46" s="37"/>
      <c r="E46" s="37"/>
      <c r="F46" s="37"/>
      <c r="G46" s="40"/>
      <c r="H46" s="21"/>
      <c r="I46" s="5"/>
      <c r="J46" s="5"/>
      <c r="K46" s="50">
        <f>C48+D48+E48+F48</f>
        <v>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2.75" customHeight="1">
      <c r="A47" s="42" t="s">
        <v>77</v>
      </c>
      <c r="B47" s="36" t="s">
        <v>78</v>
      </c>
      <c r="C47" s="37"/>
      <c r="D47" s="37"/>
      <c r="E47" s="37"/>
      <c r="F47" s="38"/>
      <c r="G47" s="39"/>
      <c r="H47" s="21"/>
      <c r="I47" s="5"/>
      <c r="J47" s="5"/>
      <c r="K47" s="50">
        <f>C48+D48+E48</f>
        <v>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1" t="s">
        <v>79</v>
      </c>
      <c r="B48" s="23"/>
      <c r="C48" s="48">
        <f t="shared" ref="C48:F48" si="1">COUNTA((C9:C11),C13:C20,C22:C32,C34:C41,C43:C47)</f>
        <v>0</v>
      </c>
      <c r="D48" s="52">
        <f t="shared" si="1"/>
        <v>0</v>
      </c>
      <c r="E48" s="52">
        <f t="shared" si="1"/>
        <v>0</v>
      </c>
      <c r="F48" s="48">
        <f t="shared" si="1"/>
        <v>0</v>
      </c>
      <c r="G48" s="49"/>
      <c r="H48" s="21"/>
      <c r="I48" s="5"/>
      <c r="J48" s="5"/>
      <c r="K48" s="53">
        <f>E48/2</f>
        <v>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4"/>
      <c r="B49" s="55"/>
      <c r="C49" s="55"/>
      <c r="D49" s="55"/>
      <c r="E49" s="55"/>
      <c r="F49" s="55"/>
      <c r="G49" s="55"/>
      <c r="H49" s="5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57" t="s">
        <v>80</v>
      </c>
      <c r="H50" s="7"/>
      <c r="I50" s="5"/>
      <c r="J50" s="5"/>
      <c r="K50" s="58" t="str">
        <f>((K47-(D48+K48))/K47)</f>
        <v>#DIV/0!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9"/>
      <c r="B51" s="60"/>
      <c r="C51" s="60"/>
      <c r="D51" s="60"/>
      <c r="E51" s="60"/>
      <c r="F51" s="60"/>
      <c r="G51" s="60"/>
      <c r="H51" s="6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2"/>
      <c r="B52" s="23"/>
      <c r="C52" s="23"/>
      <c r="D52" s="23"/>
      <c r="E52" s="23"/>
      <c r="F52" s="23"/>
      <c r="G52" s="23"/>
      <c r="H52" s="2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2"/>
      <c r="B53" s="23"/>
      <c r="C53" s="23"/>
      <c r="D53" s="23"/>
      <c r="E53" s="23"/>
      <c r="F53" s="23"/>
      <c r="G53" s="23"/>
      <c r="H53" s="2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2"/>
      <c r="B54" s="23"/>
      <c r="C54" s="23"/>
      <c r="D54" s="23"/>
      <c r="E54" s="23"/>
      <c r="F54" s="23"/>
      <c r="G54" s="23"/>
      <c r="H54" s="2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2"/>
      <c r="B55" s="23"/>
      <c r="C55" s="23"/>
      <c r="D55" s="23"/>
      <c r="E55" s="23"/>
      <c r="F55" s="23"/>
      <c r="G55" s="23"/>
      <c r="H55" s="2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7">
    <mergeCell ref="A54:H54"/>
    <mergeCell ref="A55:H55"/>
    <mergeCell ref="A48:B48"/>
    <mergeCell ref="G48:H48"/>
    <mergeCell ref="A49:H49"/>
    <mergeCell ref="A50:H50"/>
    <mergeCell ref="A51:H51"/>
    <mergeCell ref="A52:H52"/>
    <mergeCell ref="A53:H53"/>
    <mergeCell ref="A1:B4"/>
    <mergeCell ref="C1:H3"/>
    <mergeCell ref="C4:H4"/>
    <mergeCell ref="A5:B5"/>
    <mergeCell ref="C5:H5"/>
    <mergeCell ref="A6:B6"/>
    <mergeCell ref="C6:H6"/>
    <mergeCell ref="A7:B7"/>
    <mergeCell ref="A8:B8"/>
    <mergeCell ref="G9:H9"/>
    <mergeCell ref="G10:H10"/>
    <mergeCell ref="G11:H11"/>
    <mergeCell ref="A12:B12"/>
    <mergeCell ref="G13:H13"/>
    <mergeCell ref="G14:H14"/>
    <mergeCell ref="G15:H15"/>
    <mergeCell ref="G16:H16"/>
    <mergeCell ref="G17:H17"/>
    <mergeCell ref="G18:H18"/>
    <mergeCell ref="G19:H19"/>
    <mergeCell ref="A21:B21"/>
    <mergeCell ref="G20:H20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A33:B33"/>
    <mergeCell ref="G34:H34"/>
    <mergeCell ref="G41:H41"/>
    <mergeCell ref="G43:H43"/>
    <mergeCell ref="G44:H44"/>
    <mergeCell ref="G45:H45"/>
    <mergeCell ref="G46:H46"/>
    <mergeCell ref="G47:H47"/>
    <mergeCell ref="G35:H35"/>
    <mergeCell ref="G36:H36"/>
    <mergeCell ref="G37:H37"/>
    <mergeCell ref="G38:H38"/>
    <mergeCell ref="G39:H39"/>
    <mergeCell ref="G40:H40"/>
    <mergeCell ref="A42:B42"/>
  </mergeCells>
  <conditionalFormatting sqref="F9:G11 F13:G20 F22:G32 F34:G40 F43:G44 F46:G47">
    <cfRule type="cellIs" dxfId="0" priority="1" stopIfTrue="1" operator="equal">
      <formula>"X"</formula>
    </cfRule>
  </conditionalFormatting>
  <conditionalFormatting sqref="C7:G7">
    <cfRule type="cellIs" dxfId="1" priority="2" stopIfTrue="1" operator="between">
      <formula>0.95</formula>
      <formula>1</formula>
    </cfRule>
  </conditionalFormatting>
  <conditionalFormatting sqref="C7:G7">
    <cfRule type="cellIs" dxfId="2" priority="3" stopIfTrue="1" operator="between">
      <formula>0.9</formula>
      <formula>0.94</formula>
    </cfRule>
  </conditionalFormatting>
  <conditionalFormatting sqref="C7:G7">
    <cfRule type="cellIs" dxfId="3" priority="4" stopIfTrue="1" operator="between">
      <formula>0.01</formula>
      <formula>0.9</formula>
    </cfRule>
  </conditionalFormatting>
  <conditionalFormatting sqref="C9:C11">
    <cfRule type="cellIs" dxfId="1" priority="5" stopIfTrue="1" operator="equal">
      <formula>"X"</formula>
    </cfRule>
  </conditionalFormatting>
  <conditionalFormatting sqref="D9:D11">
    <cfRule type="cellIs" dxfId="3" priority="6" stopIfTrue="1" operator="equal">
      <formula>"X"</formula>
    </cfRule>
  </conditionalFormatting>
  <conditionalFormatting sqref="C13:C20">
    <cfRule type="cellIs" dxfId="1" priority="7" stopIfTrue="1" operator="equal">
      <formula>"X"</formula>
    </cfRule>
  </conditionalFormatting>
  <conditionalFormatting sqref="C22:C32">
    <cfRule type="cellIs" dxfId="1" priority="8" stopIfTrue="1" operator="equal">
      <formula>"X"</formula>
    </cfRule>
  </conditionalFormatting>
  <conditionalFormatting sqref="C34:C41">
    <cfRule type="cellIs" dxfId="1" priority="9" stopIfTrue="1" operator="equal">
      <formula>"X"</formula>
    </cfRule>
  </conditionalFormatting>
  <conditionalFormatting sqref="C43:C47">
    <cfRule type="cellIs" dxfId="1" priority="10" stopIfTrue="1" operator="equal">
      <formula>"X"</formula>
    </cfRule>
  </conditionalFormatting>
  <conditionalFormatting sqref="D13:D20">
    <cfRule type="cellIs" dxfId="3" priority="11" stopIfTrue="1" operator="equal">
      <formula>"X"</formula>
    </cfRule>
  </conditionalFormatting>
  <conditionalFormatting sqref="D22:D32">
    <cfRule type="cellIs" dxfId="3" priority="12" stopIfTrue="1" operator="equal">
      <formula>"X"</formula>
    </cfRule>
  </conditionalFormatting>
  <conditionalFormatting sqref="D34:D41">
    <cfRule type="cellIs" dxfId="3" priority="13" stopIfTrue="1" operator="equal">
      <formula>"X"</formula>
    </cfRule>
  </conditionalFormatting>
  <conditionalFormatting sqref="D43:D47">
    <cfRule type="cellIs" dxfId="3" priority="14" stopIfTrue="1" operator="equal">
      <formula>"X"</formula>
    </cfRule>
  </conditionalFormatting>
  <conditionalFormatting sqref="E43:E47">
    <cfRule type="cellIs" dxfId="2" priority="15" stopIfTrue="1" operator="equal">
      <formula>"X"</formula>
    </cfRule>
  </conditionalFormatting>
  <conditionalFormatting sqref="E9">
    <cfRule type="cellIs" dxfId="2" priority="16" stopIfTrue="1" operator="equal">
      <formula>"X"</formula>
    </cfRule>
  </conditionalFormatting>
  <conditionalFormatting sqref="E10:E11">
    <cfRule type="cellIs" dxfId="2" priority="17" stopIfTrue="1" operator="equal">
      <formula>"X"</formula>
    </cfRule>
  </conditionalFormatting>
  <conditionalFormatting sqref="E13:E20">
    <cfRule type="cellIs" dxfId="2" priority="18" stopIfTrue="1" operator="equal">
      <formula>"X"</formula>
    </cfRule>
  </conditionalFormatting>
  <conditionalFormatting sqref="E22:E32">
    <cfRule type="cellIs" dxfId="2" priority="19" stopIfTrue="1" operator="equal">
      <formula>"X"</formula>
    </cfRule>
  </conditionalFormatting>
  <conditionalFormatting sqref="E34:E41">
    <cfRule type="cellIs" dxfId="2" priority="20" stopIfTrue="1" operator="equal">
      <formula>"X"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8.29"/>
    <col customWidth="1" min="3" max="8" width="12.0"/>
    <col customWidth="1" min="9" max="10" width="12.43"/>
    <col customWidth="1" hidden="1" min="11" max="11" width="12.43"/>
    <col customWidth="1" min="12" max="26" width="12.43"/>
  </cols>
  <sheetData>
    <row r="1" ht="24.0" customHeight="1">
      <c r="A1" s="1"/>
      <c r="B1" s="2"/>
      <c r="C1" s="3" t="s">
        <v>0</v>
      </c>
      <c r="D1" s="4"/>
      <c r="E1" s="4"/>
      <c r="F1" s="4"/>
      <c r="G1" s="4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6"/>
      <c r="B2" s="7"/>
      <c r="C2" s="6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6"/>
      <c r="B3" s="7"/>
      <c r="C3" s="6"/>
      <c r="H3" s="7"/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10"/>
      <c r="B4" s="11"/>
      <c r="C4" s="12"/>
      <c r="D4" s="13"/>
      <c r="E4" s="13"/>
      <c r="F4" s="13"/>
      <c r="G4" s="13"/>
      <c r="H4" s="11"/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14" t="s">
        <v>81</v>
      </c>
      <c r="B5" s="15"/>
      <c r="C5" s="16"/>
      <c r="D5" s="17"/>
      <c r="E5" s="17"/>
      <c r="F5" s="17"/>
      <c r="G5" s="17"/>
      <c r="H5" s="18"/>
      <c r="I5" s="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0" customHeight="1">
      <c r="A6" s="20">
        <v>45752.0</v>
      </c>
      <c r="B6" s="21"/>
      <c r="C6" s="22"/>
      <c r="D6" s="23"/>
      <c r="E6" s="23"/>
      <c r="F6" s="23"/>
      <c r="G6" s="23"/>
      <c r="H6" s="24"/>
      <c r="I6" s="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25" t="s">
        <v>2</v>
      </c>
      <c r="B7" s="21"/>
      <c r="C7" s="26">
        <f>K50</f>
        <v>0.9714285714</v>
      </c>
      <c r="D7" s="27"/>
      <c r="E7" s="27"/>
      <c r="F7" s="27"/>
      <c r="G7" s="27"/>
      <c r="H7" s="28"/>
      <c r="I7" s="29"/>
      <c r="J7" s="29"/>
      <c r="K7" s="2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75" customHeight="1">
      <c r="A8" s="30" t="s">
        <v>3</v>
      </c>
      <c r="B8" s="21"/>
      <c r="C8" s="31" t="s">
        <v>4</v>
      </c>
      <c r="D8" s="31" t="s">
        <v>5</v>
      </c>
      <c r="E8" s="31" t="s">
        <v>6</v>
      </c>
      <c r="F8" s="32" t="s">
        <v>7</v>
      </c>
      <c r="G8" s="33" t="s">
        <v>8</v>
      </c>
      <c r="H8" s="3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75" customHeight="1">
      <c r="A9" s="35" t="s">
        <v>9</v>
      </c>
      <c r="B9" s="36" t="s">
        <v>10</v>
      </c>
      <c r="C9" s="37" t="s">
        <v>82</v>
      </c>
      <c r="D9" s="37"/>
      <c r="E9" s="37"/>
      <c r="F9" s="38"/>
      <c r="G9" s="39"/>
      <c r="H9" s="2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.75" customHeight="1">
      <c r="A10" s="35" t="s">
        <v>11</v>
      </c>
      <c r="B10" s="36" t="s">
        <v>12</v>
      </c>
      <c r="C10" s="37" t="s">
        <v>83</v>
      </c>
      <c r="D10" s="37"/>
      <c r="E10" s="37"/>
      <c r="F10" s="37"/>
      <c r="G10" s="40"/>
      <c r="H10" s="2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2.75" customHeight="1">
      <c r="A11" s="35" t="s">
        <v>13</v>
      </c>
      <c r="B11" s="36" t="s">
        <v>14</v>
      </c>
      <c r="C11" s="37" t="s">
        <v>82</v>
      </c>
      <c r="D11" s="37"/>
      <c r="E11" s="37"/>
      <c r="F11" s="37"/>
      <c r="G11" s="40"/>
      <c r="H11" s="2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2.75" customHeight="1">
      <c r="A12" s="30" t="s">
        <v>15</v>
      </c>
      <c r="B12" s="21"/>
      <c r="C12" s="31" t="s">
        <v>4</v>
      </c>
      <c r="D12" s="31" t="s">
        <v>5</v>
      </c>
      <c r="E12" s="31" t="s">
        <v>6</v>
      </c>
      <c r="F12" s="32" t="s">
        <v>7</v>
      </c>
      <c r="G12" s="41" t="s">
        <v>8</v>
      </c>
      <c r="H12" s="4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2.75" customHeight="1">
      <c r="A13" s="42" t="s">
        <v>16</v>
      </c>
      <c r="B13" s="36" t="s">
        <v>17</v>
      </c>
      <c r="C13" s="37" t="s">
        <v>83</v>
      </c>
      <c r="D13" s="37"/>
      <c r="E13" s="37"/>
      <c r="F13" s="37"/>
      <c r="G13" s="40"/>
      <c r="H13" s="2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2.75" customHeight="1">
      <c r="A14" s="42">
        <v>2.2</v>
      </c>
      <c r="B14" s="36" t="s">
        <v>18</v>
      </c>
      <c r="C14" s="37" t="s">
        <v>83</v>
      </c>
      <c r="D14" s="37"/>
      <c r="E14" s="37"/>
      <c r="F14" s="38"/>
      <c r="G14" s="39"/>
      <c r="H14" s="2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2.75" customHeight="1">
      <c r="A15" s="42" t="s">
        <v>19</v>
      </c>
      <c r="B15" s="36" t="s">
        <v>20</v>
      </c>
      <c r="C15" s="37" t="s">
        <v>83</v>
      </c>
      <c r="D15" s="37"/>
      <c r="E15" s="37"/>
      <c r="F15" s="37"/>
      <c r="G15" s="40"/>
      <c r="H15" s="2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2.75" customHeight="1">
      <c r="A16" s="42" t="s">
        <v>21</v>
      </c>
      <c r="B16" s="36" t="s">
        <v>22</v>
      </c>
      <c r="C16" s="37" t="s">
        <v>83</v>
      </c>
      <c r="D16" s="37"/>
      <c r="E16" s="37"/>
      <c r="F16" s="37"/>
      <c r="G16" s="40"/>
      <c r="H16" s="2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2.75" customHeight="1">
      <c r="A17" s="42" t="s">
        <v>23</v>
      </c>
      <c r="B17" s="36" t="s">
        <v>24</v>
      </c>
      <c r="C17" s="37" t="s">
        <v>83</v>
      </c>
      <c r="D17" s="37"/>
      <c r="E17" s="37"/>
      <c r="F17" s="38"/>
      <c r="G17" s="39"/>
      <c r="H17" s="2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2.75" customHeight="1">
      <c r="A18" s="42" t="s">
        <v>25</v>
      </c>
      <c r="B18" s="36" t="s">
        <v>26</v>
      </c>
      <c r="C18" s="37" t="s">
        <v>83</v>
      </c>
      <c r="D18" s="37"/>
      <c r="E18" s="37"/>
      <c r="F18" s="37"/>
      <c r="G18" s="40"/>
      <c r="H18" s="2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2.75" customHeight="1">
      <c r="A19" s="42" t="s">
        <v>27</v>
      </c>
      <c r="B19" s="36" t="s">
        <v>28</v>
      </c>
      <c r="C19" s="37" t="s">
        <v>83</v>
      </c>
      <c r="D19" s="37"/>
      <c r="E19" s="37"/>
      <c r="F19" s="38"/>
      <c r="G19" s="39"/>
      <c r="H19" s="2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75" customHeight="1">
      <c r="A20" s="42" t="s">
        <v>29</v>
      </c>
      <c r="B20" s="36" t="s">
        <v>30</v>
      </c>
      <c r="C20" s="37" t="s">
        <v>83</v>
      </c>
      <c r="D20" s="37"/>
      <c r="E20" s="37"/>
      <c r="F20" s="37"/>
      <c r="G20" s="40"/>
      <c r="H20" s="2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2.75" customHeight="1">
      <c r="A21" s="43" t="s">
        <v>31</v>
      </c>
      <c r="B21" s="44"/>
      <c r="C21" s="31" t="s">
        <v>4</v>
      </c>
      <c r="D21" s="31" t="s">
        <v>5</v>
      </c>
      <c r="E21" s="31" t="s">
        <v>6</v>
      </c>
      <c r="F21" s="32" t="s">
        <v>7</v>
      </c>
      <c r="G21" s="41" t="s">
        <v>8</v>
      </c>
      <c r="H21" s="4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2.75" customHeight="1">
      <c r="A22" s="45" t="s">
        <v>32</v>
      </c>
      <c r="B22" s="36" t="s">
        <v>33</v>
      </c>
      <c r="C22" s="37" t="s">
        <v>83</v>
      </c>
      <c r="D22" s="37"/>
      <c r="E22" s="37"/>
      <c r="F22" s="37"/>
      <c r="G22" s="40"/>
      <c r="H22" s="2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2.75" customHeight="1">
      <c r="A23" s="45" t="s">
        <v>34</v>
      </c>
      <c r="B23" s="46" t="s">
        <v>35</v>
      </c>
      <c r="C23" s="37" t="s">
        <v>83</v>
      </c>
      <c r="D23" s="37"/>
      <c r="E23" s="37"/>
      <c r="F23" s="37"/>
      <c r="G23" s="40"/>
      <c r="H23" s="2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2.75" customHeight="1">
      <c r="A24" s="45" t="s">
        <v>36</v>
      </c>
      <c r="B24" s="46" t="s">
        <v>37</v>
      </c>
      <c r="C24" s="37" t="s">
        <v>83</v>
      </c>
      <c r="D24" s="37"/>
      <c r="E24" s="37"/>
      <c r="F24" s="37"/>
      <c r="G24" s="40"/>
      <c r="H24" s="2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2.75" customHeight="1">
      <c r="A25" s="45" t="s">
        <v>38</v>
      </c>
      <c r="B25" s="46" t="s">
        <v>39</v>
      </c>
      <c r="C25" s="37" t="s">
        <v>83</v>
      </c>
      <c r="D25" s="37"/>
      <c r="E25" s="37"/>
      <c r="F25" s="37"/>
      <c r="G25" s="40"/>
      <c r="H25" s="2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2.75" customHeight="1">
      <c r="A26" s="45" t="s">
        <v>38</v>
      </c>
      <c r="B26" s="46" t="s">
        <v>40</v>
      </c>
      <c r="C26" s="37" t="s">
        <v>83</v>
      </c>
      <c r="D26" s="37"/>
      <c r="E26" s="37"/>
      <c r="F26" s="37"/>
      <c r="G26" s="40"/>
      <c r="H26" s="2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2.75" customHeight="1">
      <c r="A27" s="45" t="s">
        <v>41</v>
      </c>
      <c r="B27" s="46" t="s">
        <v>42</v>
      </c>
      <c r="C27" s="37" t="s">
        <v>83</v>
      </c>
      <c r="D27" s="37"/>
      <c r="E27" s="37"/>
      <c r="F27" s="37"/>
      <c r="G27" s="40"/>
      <c r="H27" s="2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2.75" customHeight="1">
      <c r="A28" s="45" t="s">
        <v>43</v>
      </c>
      <c r="B28" s="47" t="s">
        <v>44</v>
      </c>
      <c r="C28" s="37" t="s">
        <v>83</v>
      </c>
      <c r="D28" s="37"/>
      <c r="E28" s="37"/>
      <c r="F28" s="37"/>
      <c r="G28" s="40"/>
      <c r="H28" s="2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2.75" customHeight="1">
      <c r="A29" s="45" t="s">
        <v>45</v>
      </c>
      <c r="B29" s="46" t="s">
        <v>46</v>
      </c>
      <c r="C29" s="37" t="s">
        <v>83</v>
      </c>
      <c r="D29" s="37"/>
      <c r="E29" s="37"/>
      <c r="F29" s="37"/>
      <c r="G29" s="40"/>
      <c r="H29" s="2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2.75" customHeight="1">
      <c r="A30" s="45" t="s">
        <v>47</v>
      </c>
      <c r="B30" s="46" t="s">
        <v>48</v>
      </c>
      <c r="C30" s="37" t="s">
        <v>83</v>
      </c>
      <c r="D30" s="37"/>
      <c r="E30" s="37"/>
      <c r="F30" s="37"/>
      <c r="G30" s="40"/>
      <c r="H30" s="2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2.75" customHeight="1">
      <c r="A31" s="45" t="s">
        <v>49</v>
      </c>
      <c r="B31" s="46" t="s">
        <v>50</v>
      </c>
      <c r="C31" s="37" t="s">
        <v>83</v>
      </c>
      <c r="D31" s="37"/>
      <c r="E31" s="37"/>
      <c r="F31" s="38"/>
      <c r="G31" s="39"/>
      <c r="H31" s="2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2.75" customHeight="1">
      <c r="A32" s="45" t="s">
        <v>51</v>
      </c>
      <c r="B32" s="46" t="s">
        <v>52</v>
      </c>
      <c r="C32" s="37"/>
      <c r="D32" s="37" t="s">
        <v>83</v>
      </c>
      <c r="E32" s="37"/>
      <c r="F32" s="37"/>
      <c r="G32" s="40"/>
      <c r="H32" s="2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2.75" customHeight="1">
      <c r="A33" s="43" t="s">
        <v>53</v>
      </c>
      <c r="B33" s="44"/>
      <c r="C33" s="31" t="s">
        <v>4</v>
      </c>
      <c r="D33" s="31" t="s">
        <v>5</v>
      </c>
      <c r="E33" s="31" t="s">
        <v>6</v>
      </c>
      <c r="F33" s="32" t="s">
        <v>7</v>
      </c>
      <c r="G33" s="41" t="s">
        <v>8</v>
      </c>
      <c r="H33" s="4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2.75" customHeight="1">
      <c r="A34" s="42" t="s">
        <v>54</v>
      </c>
      <c r="B34" s="36" t="s">
        <v>55</v>
      </c>
      <c r="C34" s="37" t="s">
        <v>83</v>
      </c>
      <c r="D34" s="37"/>
      <c r="E34" s="37"/>
      <c r="F34" s="37"/>
      <c r="G34" s="40"/>
      <c r="H34" s="2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2.75" customHeight="1">
      <c r="A35" s="42" t="s">
        <v>56</v>
      </c>
      <c r="B35" s="36" t="s">
        <v>57</v>
      </c>
      <c r="C35" s="37" t="s">
        <v>83</v>
      </c>
      <c r="D35" s="37"/>
      <c r="E35" s="37"/>
      <c r="F35" s="37"/>
      <c r="G35" s="40"/>
      <c r="H35" s="2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2.75" customHeight="1">
      <c r="A36" s="42" t="s">
        <v>58</v>
      </c>
      <c r="B36" s="36" t="s">
        <v>39</v>
      </c>
      <c r="C36" s="37" t="s">
        <v>83</v>
      </c>
      <c r="D36" s="37"/>
      <c r="E36" s="37"/>
      <c r="F36" s="37"/>
      <c r="G36" s="40"/>
      <c r="H36" s="2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2.75" customHeight="1">
      <c r="A37" s="42" t="s">
        <v>59</v>
      </c>
      <c r="B37" s="36" t="s">
        <v>60</v>
      </c>
      <c r="C37" s="37" t="s">
        <v>83</v>
      </c>
      <c r="D37" s="37"/>
      <c r="E37" s="37"/>
      <c r="F37" s="37"/>
      <c r="G37" s="40"/>
      <c r="H37" s="2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2.75" customHeight="1">
      <c r="A38" s="42" t="s">
        <v>61</v>
      </c>
      <c r="B38" s="36" t="s">
        <v>62</v>
      </c>
      <c r="C38" s="37" t="s">
        <v>83</v>
      </c>
      <c r="D38" s="37"/>
      <c r="E38" s="37"/>
      <c r="F38" s="37"/>
      <c r="G38" s="40"/>
      <c r="H38" s="2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2.75" customHeight="1">
      <c r="A39" s="42" t="s">
        <v>63</v>
      </c>
      <c r="B39" s="36" t="s">
        <v>44</v>
      </c>
      <c r="C39" s="37" t="s">
        <v>83</v>
      </c>
      <c r="D39" s="37"/>
      <c r="E39" s="37"/>
      <c r="F39" s="37"/>
      <c r="G39" s="40"/>
      <c r="H39" s="2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2.75" customHeight="1">
      <c r="A40" s="42" t="s">
        <v>64</v>
      </c>
      <c r="B40" s="36" t="s">
        <v>65</v>
      </c>
      <c r="C40" s="37" t="s">
        <v>83</v>
      </c>
      <c r="D40" s="37"/>
      <c r="E40" s="37"/>
      <c r="F40" s="37"/>
      <c r="G40" s="40"/>
      <c r="H40" s="2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2.75" customHeight="1">
      <c r="A41" s="42" t="s">
        <v>66</v>
      </c>
      <c r="B41" s="36" t="s">
        <v>67</v>
      </c>
      <c r="C41" s="37" t="s">
        <v>82</v>
      </c>
      <c r="D41" s="37"/>
      <c r="E41" s="37"/>
      <c r="F41" s="37"/>
      <c r="G41" s="40"/>
      <c r="H41" s="2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2.75" customHeight="1">
      <c r="A42" s="43" t="s">
        <v>68</v>
      </c>
      <c r="B42" s="44"/>
      <c r="C42" s="31" t="s">
        <v>4</v>
      </c>
      <c r="D42" s="31" t="s">
        <v>5</v>
      </c>
      <c r="E42" s="31" t="s">
        <v>6</v>
      </c>
      <c r="F42" s="32" t="s">
        <v>7</v>
      </c>
      <c r="G42" s="41" t="s">
        <v>8</v>
      </c>
      <c r="H42" s="4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2.75" customHeight="1">
      <c r="A43" s="42" t="s">
        <v>69</v>
      </c>
      <c r="B43" s="36" t="s">
        <v>70</v>
      </c>
      <c r="C43" s="37" t="s">
        <v>82</v>
      </c>
      <c r="D43" s="37"/>
      <c r="E43" s="37"/>
      <c r="F43" s="37"/>
      <c r="G43" s="40"/>
      <c r="H43" s="2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2.75" customHeight="1">
      <c r="A44" s="42" t="s">
        <v>71</v>
      </c>
      <c r="B44" s="36" t="s">
        <v>72</v>
      </c>
      <c r="C44" s="37" t="s">
        <v>82</v>
      </c>
      <c r="D44" s="37"/>
      <c r="E44" s="37"/>
      <c r="F44" s="37"/>
      <c r="G44" s="40"/>
      <c r="H44" s="2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2.75" customHeight="1">
      <c r="A45" s="42" t="s">
        <v>73</v>
      </c>
      <c r="B45" s="36" t="s">
        <v>74</v>
      </c>
      <c r="C45" s="37" t="s">
        <v>82</v>
      </c>
      <c r="D45" s="37"/>
      <c r="E45" s="37"/>
      <c r="F45" s="48"/>
      <c r="G45" s="49"/>
      <c r="H45" s="2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2.75" customHeight="1">
      <c r="A46" s="42" t="s">
        <v>75</v>
      </c>
      <c r="B46" s="36" t="s">
        <v>76</v>
      </c>
      <c r="C46" s="37" t="s">
        <v>82</v>
      </c>
      <c r="D46" s="37"/>
      <c r="E46" s="37"/>
      <c r="F46" s="37"/>
      <c r="G46" s="40"/>
      <c r="H46" s="21"/>
      <c r="I46" s="5"/>
      <c r="J46" s="5"/>
      <c r="K46" s="50">
        <f>C48+D48+E48+F48</f>
        <v>35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2.75" customHeight="1">
      <c r="A47" s="42" t="s">
        <v>77</v>
      </c>
      <c r="B47" s="36" t="s">
        <v>78</v>
      </c>
      <c r="C47" s="37" t="s">
        <v>82</v>
      </c>
      <c r="D47" s="37"/>
      <c r="E47" s="37"/>
      <c r="F47" s="38"/>
      <c r="G47" s="39"/>
      <c r="H47" s="21"/>
      <c r="I47" s="5"/>
      <c r="J47" s="5"/>
      <c r="K47" s="50">
        <f>C48+D48+E48</f>
        <v>35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1" t="s">
        <v>79</v>
      </c>
      <c r="B48" s="23"/>
      <c r="C48" s="48">
        <f t="shared" ref="C48:F48" si="1">COUNTA((C9:C11),C13:C20,C22:C32,C34:C41,C43:C47)</f>
        <v>34</v>
      </c>
      <c r="D48" s="52">
        <f t="shared" si="1"/>
        <v>1</v>
      </c>
      <c r="E48" s="52">
        <f t="shared" si="1"/>
        <v>0</v>
      </c>
      <c r="F48" s="48">
        <f t="shared" si="1"/>
        <v>0</v>
      </c>
      <c r="G48" s="49"/>
      <c r="H48" s="21"/>
      <c r="I48" s="5"/>
      <c r="J48" s="5"/>
      <c r="K48" s="53">
        <f>E48/2</f>
        <v>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4"/>
      <c r="B49" s="55"/>
      <c r="C49" s="55"/>
      <c r="D49" s="55"/>
      <c r="E49" s="55"/>
      <c r="F49" s="55"/>
      <c r="G49" s="55"/>
      <c r="H49" s="5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57" t="s">
        <v>80</v>
      </c>
      <c r="H50" s="7"/>
      <c r="I50" s="5"/>
      <c r="J50" s="5"/>
      <c r="K50" s="58">
        <f>((K47-(D48+K48))/K47)</f>
        <v>0.9714285714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9"/>
      <c r="B51" s="60"/>
      <c r="C51" s="60"/>
      <c r="D51" s="60"/>
      <c r="E51" s="60"/>
      <c r="F51" s="60"/>
      <c r="G51" s="60"/>
      <c r="H51" s="6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2"/>
      <c r="B52" s="23"/>
      <c r="C52" s="23"/>
      <c r="D52" s="23"/>
      <c r="E52" s="23"/>
      <c r="F52" s="23"/>
      <c r="G52" s="23"/>
      <c r="H52" s="2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2"/>
      <c r="B53" s="23"/>
      <c r="C53" s="23"/>
      <c r="D53" s="23"/>
      <c r="E53" s="23"/>
      <c r="F53" s="23"/>
      <c r="G53" s="23"/>
      <c r="H53" s="2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2"/>
      <c r="B54" s="23"/>
      <c r="C54" s="23"/>
      <c r="D54" s="23"/>
      <c r="E54" s="23"/>
      <c r="F54" s="23"/>
      <c r="G54" s="23"/>
      <c r="H54" s="2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2"/>
      <c r="B55" s="23"/>
      <c r="C55" s="23"/>
      <c r="D55" s="23"/>
      <c r="E55" s="23"/>
      <c r="F55" s="23"/>
      <c r="G55" s="23"/>
      <c r="H55" s="2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7">
    <mergeCell ref="A54:H54"/>
    <mergeCell ref="A55:H55"/>
    <mergeCell ref="A48:B48"/>
    <mergeCell ref="G48:H48"/>
    <mergeCell ref="A49:H49"/>
    <mergeCell ref="A50:H50"/>
    <mergeCell ref="A51:H51"/>
    <mergeCell ref="A52:H52"/>
    <mergeCell ref="A53:H53"/>
    <mergeCell ref="A1:B4"/>
    <mergeCell ref="C1:H3"/>
    <mergeCell ref="C4:H4"/>
    <mergeCell ref="A5:B5"/>
    <mergeCell ref="C5:H5"/>
    <mergeCell ref="A6:B6"/>
    <mergeCell ref="C6:H6"/>
    <mergeCell ref="A7:B7"/>
    <mergeCell ref="A8:B8"/>
    <mergeCell ref="G9:H9"/>
    <mergeCell ref="G10:H10"/>
    <mergeCell ref="G11:H11"/>
    <mergeCell ref="A12:B12"/>
    <mergeCell ref="G13:H13"/>
    <mergeCell ref="G14:H14"/>
    <mergeCell ref="G15:H15"/>
    <mergeCell ref="G16:H16"/>
    <mergeCell ref="G17:H17"/>
    <mergeCell ref="G18:H18"/>
    <mergeCell ref="G19:H19"/>
    <mergeCell ref="A21:B21"/>
    <mergeCell ref="G20:H20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A33:B33"/>
    <mergeCell ref="G34:H34"/>
    <mergeCell ref="G41:H41"/>
    <mergeCell ref="G43:H43"/>
    <mergeCell ref="G44:H44"/>
    <mergeCell ref="G45:H45"/>
    <mergeCell ref="G46:H46"/>
    <mergeCell ref="G47:H47"/>
    <mergeCell ref="G35:H35"/>
    <mergeCell ref="G36:H36"/>
    <mergeCell ref="G37:H37"/>
    <mergeCell ref="G38:H38"/>
    <mergeCell ref="G39:H39"/>
    <mergeCell ref="G40:H40"/>
    <mergeCell ref="A42:B42"/>
  </mergeCells>
  <conditionalFormatting sqref="F9:G11 F13:G20 F22:G32 F34:G40 F43:G44 F46:G47">
    <cfRule type="cellIs" dxfId="0" priority="1" stopIfTrue="1" operator="equal">
      <formula>"X"</formula>
    </cfRule>
  </conditionalFormatting>
  <conditionalFormatting sqref="C7:G7">
    <cfRule type="cellIs" dxfId="1" priority="2" stopIfTrue="1" operator="between">
      <formula>0.95</formula>
      <formula>1</formula>
    </cfRule>
  </conditionalFormatting>
  <conditionalFormatting sqref="C7:G7">
    <cfRule type="cellIs" dxfId="2" priority="3" stopIfTrue="1" operator="between">
      <formula>0.9</formula>
      <formula>0.94</formula>
    </cfRule>
  </conditionalFormatting>
  <conditionalFormatting sqref="C7:G7">
    <cfRule type="cellIs" dxfId="3" priority="4" stopIfTrue="1" operator="between">
      <formula>0.01</formula>
      <formula>0.9</formula>
    </cfRule>
  </conditionalFormatting>
  <conditionalFormatting sqref="C9:C11">
    <cfRule type="cellIs" dxfId="1" priority="5" stopIfTrue="1" operator="equal">
      <formula>"X"</formula>
    </cfRule>
  </conditionalFormatting>
  <conditionalFormatting sqref="D9:D11">
    <cfRule type="cellIs" dxfId="3" priority="6" stopIfTrue="1" operator="equal">
      <formula>"X"</formula>
    </cfRule>
  </conditionalFormatting>
  <conditionalFormatting sqref="C13:C20">
    <cfRule type="cellIs" dxfId="1" priority="7" stopIfTrue="1" operator="equal">
      <formula>"X"</formula>
    </cfRule>
  </conditionalFormatting>
  <conditionalFormatting sqref="C22:C32">
    <cfRule type="cellIs" dxfId="1" priority="8" stopIfTrue="1" operator="equal">
      <formula>"X"</formula>
    </cfRule>
  </conditionalFormatting>
  <conditionalFormatting sqref="C34:C41">
    <cfRule type="cellIs" dxfId="1" priority="9" stopIfTrue="1" operator="equal">
      <formula>"X"</formula>
    </cfRule>
  </conditionalFormatting>
  <conditionalFormatting sqref="C43:C47">
    <cfRule type="cellIs" dxfId="1" priority="10" stopIfTrue="1" operator="equal">
      <formula>"X"</formula>
    </cfRule>
  </conditionalFormatting>
  <conditionalFormatting sqref="D13:D20">
    <cfRule type="cellIs" dxfId="3" priority="11" stopIfTrue="1" operator="equal">
      <formula>"X"</formula>
    </cfRule>
  </conditionalFormatting>
  <conditionalFormatting sqref="D22:D32">
    <cfRule type="cellIs" dxfId="3" priority="12" stopIfTrue="1" operator="equal">
      <formula>"X"</formula>
    </cfRule>
  </conditionalFormatting>
  <conditionalFormatting sqref="D34:D41">
    <cfRule type="cellIs" dxfId="3" priority="13" stopIfTrue="1" operator="equal">
      <formula>"X"</formula>
    </cfRule>
  </conditionalFormatting>
  <conditionalFormatting sqref="D43:D47">
    <cfRule type="cellIs" dxfId="3" priority="14" stopIfTrue="1" operator="equal">
      <formula>"X"</formula>
    </cfRule>
  </conditionalFormatting>
  <conditionalFormatting sqref="E43:E47">
    <cfRule type="cellIs" dxfId="2" priority="15" stopIfTrue="1" operator="equal">
      <formula>"X"</formula>
    </cfRule>
  </conditionalFormatting>
  <conditionalFormatting sqref="E9">
    <cfRule type="cellIs" dxfId="2" priority="16" stopIfTrue="1" operator="equal">
      <formula>"X"</formula>
    </cfRule>
  </conditionalFormatting>
  <conditionalFormatting sqref="E10:E11">
    <cfRule type="cellIs" dxfId="2" priority="17" stopIfTrue="1" operator="equal">
      <formula>"X"</formula>
    </cfRule>
  </conditionalFormatting>
  <conditionalFormatting sqref="E13:E20">
    <cfRule type="cellIs" dxfId="2" priority="18" stopIfTrue="1" operator="equal">
      <formula>"X"</formula>
    </cfRule>
  </conditionalFormatting>
  <conditionalFormatting sqref="E22:E32">
    <cfRule type="cellIs" dxfId="2" priority="19" stopIfTrue="1" operator="equal">
      <formula>"X"</formula>
    </cfRule>
  </conditionalFormatting>
  <conditionalFormatting sqref="E34:E41">
    <cfRule type="cellIs" dxfId="2" priority="20" stopIfTrue="1" operator="equal">
      <formula>"X"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8.29"/>
    <col customWidth="1" min="3" max="8" width="12.0"/>
    <col customWidth="1" min="9" max="10" width="12.43"/>
    <col customWidth="1" hidden="1" min="11" max="11" width="12.43"/>
    <col customWidth="1" min="12" max="26" width="12.43"/>
  </cols>
  <sheetData>
    <row r="1" ht="24.0" customHeight="1">
      <c r="A1" s="1"/>
      <c r="B1" s="2"/>
      <c r="C1" s="3" t="s">
        <v>0</v>
      </c>
      <c r="D1" s="4"/>
      <c r="E1" s="4"/>
      <c r="F1" s="4"/>
      <c r="G1" s="4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6"/>
      <c r="B2" s="7"/>
      <c r="C2" s="6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6"/>
      <c r="B3" s="7"/>
      <c r="C3" s="6"/>
      <c r="H3" s="7"/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10"/>
      <c r="B4" s="11"/>
      <c r="C4" s="12"/>
      <c r="D4" s="13"/>
      <c r="E4" s="13"/>
      <c r="F4" s="13"/>
      <c r="G4" s="13"/>
      <c r="H4" s="11"/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14" t="s">
        <v>81</v>
      </c>
      <c r="B5" s="15"/>
      <c r="C5" s="16"/>
      <c r="D5" s="17"/>
      <c r="E5" s="17"/>
      <c r="F5" s="17"/>
      <c r="G5" s="17"/>
      <c r="H5" s="18"/>
      <c r="I5" s="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0" customHeight="1">
      <c r="A6" s="20">
        <v>45752.0</v>
      </c>
      <c r="B6" s="21"/>
      <c r="C6" s="22"/>
      <c r="D6" s="23"/>
      <c r="E6" s="23"/>
      <c r="F6" s="23"/>
      <c r="G6" s="23"/>
      <c r="H6" s="24"/>
      <c r="I6" s="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25" t="s">
        <v>2</v>
      </c>
      <c r="B7" s="21"/>
      <c r="C7" s="26">
        <f>K50</f>
        <v>0.9714285714</v>
      </c>
      <c r="D7" s="27"/>
      <c r="E7" s="27"/>
      <c r="F7" s="27"/>
      <c r="G7" s="27"/>
      <c r="H7" s="28"/>
      <c r="I7" s="29"/>
      <c r="J7" s="29"/>
      <c r="K7" s="2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75" customHeight="1">
      <c r="A8" s="30" t="s">
        <v>3</v>
      </c>
      <c r="B8" s="21"/>
      <c r="C8" s="31" t="s">
        <v>4</v>
      </c>
      <c r="D8" s="31" t="s">
        <v>5</v>
      </c>
      <c r="E8" s="31" t="s">
        <v>6</v>
      </c>
      <c r="F8" s="32" t="s">
        <v>7</v>
      </c>
      <c r="G8" s="33" t="s">
        <v>8</v>
      </c>
      <c r="H8" s="3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75" customHeight="1">
      <c r="A9" s="35" t="s">
        <v>9</v>
      </c>
      <c r="B9" s="36" t="s">
        <v>10</v>
      </c>
      <c r="C9" s="37" t="s">
        <v>82</v>
      </c>
      <c r="D9" s="37"/>
      <c r="E9" s="37"/>
      <c r="F9" s="38"/>
      <c r="G9" s="39"/>
      <c r="H9" s="2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.75" customHeight="1">
      <c r="A10" s="35" t="s">
        <v>11</v>
      </c>
      <c r="B10" s="36" t="s">
        <v>12</v>
      </c>
      <c r="C10" s="37" t="s">
        <v>83</v>
      </c>
      <c r="D10" s="37"/>
      <c r="E10" s="37"/>
      <c r="F10" s="37"/>
      <c r="G10" s="40"/>
      <c r="H10" s="2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2.75" customHeight="1">
      <c r="A11" s="35" t="s">
        <v>13</v>
      </c>
      <c r="B11" s="36" t="s">
        <v>14</v>
      </c>
      <c r="C11" s="37" t="s">
        <v>82</v>
      </c>
      <c r="D11" s="37"/>
      <c r="E11" s="37"/>
      <c r="F11" s="37"/>
      <c r="G11" s="40"/>
      <c r="H11" s="2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2.75" customHeight="1">
      <c r="A12" s="30" t="s">
        <v>15</v>
      </c>
      <c r="B12" s="21"/>
      <c r="C12" s="31" t="s">
        <v>4</v>
      </c>
      <c r="D12" s="31" t="s">
        <v>5</v>
      </c>
      <c r="E12" s="31" t="s">
        <v>6</v>
      </c>
      <c r="F12" s="32" t="s">
        <v>7</v>
      </c>
      <c r="G12" s="41" t="s">
        <v>8</v>
      </c>
      <c r="H12" s="4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2.75" customHeight="1">
      <c r="A13" s="42" t="s">
        <v>16</v>
      </c>
      <c r="B13" s="36" t="s">
        <v>17</v>
      </c>
      <c r="C13" s="37" t="s">
        <v>83</v>
      </c>
      <c r="D13" s="37"/>
      <c r="E13" s="37"/>
      <c r="F13" s="37"/>
      <c r="G13" s="40"/>
      <c r="H13" s="2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2.75" customHeight="1">
      <c r="A14" s="42">
        <v>2.2</v>
      </c>
      <c r="B14" s="36" t="s">
        <v>18</v>
      </c>
      <c r="C14" s="37" t="s">
        <v>83</v>
      </c>
      <c r="D14" s="37"/>
      <c r="E14" s="37"/>
      <c r="F14" s="38"/>
      <c r="G14" s="39"/>
      <c r="H14" s="2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2.75" customHeight="1">
      <c r="A15" s="42" t="s">
        <v>19</v>
      </c>
      <c r="B15" s="36" t="s">
        <v>20</v>
      </c>
      <c r="C15" s="37" t="s">
        <v>83</v>
      </c>
      <c r="D15" s="37"/>
      <c r="E15" s="37"/>
      <c r="F15" s="37"/>
      <c r="G15" s="40"/>
      <c r="H15" s="2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2.75" customHeight="1">
      <c r="A16" s="42" t="s">
        <v>21</v>
      </c>
      <c r="B16" s="36" t="s">
        <v>22</v>
      </c>
      <c r="C16" s="37" t="s">
        <v>83</v>
      </c>
      <c r="D16" s="37"/>
      <c r="E16" s="37"/>
      <c r="F16" s="37"/>
      <c r="G16" s="40"/>
      <c r="H16" s="2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2.75" customHeight="1">
      <c r="A17" s="42" t="s">
        <v>23</v>
      </c>
      <c r="B17" s="36" t="s">
        <v>24</v>
      </c>
      <c r="C17" s="37" t="s">
        <v>83</v>
      </c>
      <c r="D17" s="37"/>
      <c r="E17" s="37"/>
      <c r="F17" s="38"/>
      <c r="G17" s="39"/>
      <c r="H17" s="2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2.75" customHeight="1">
      <c r="A18" s="42" t="s">
        <v>25</v>
      </c>
      <c r="B18" s="36" t="s">
        <v>26</v>
      </c>
      <c r="C18" s="37" t="s">
        <v>83</v>
      </c>
      <c r="D18" s="37"/>
      <c r="E18" s="37"/>
      <c r="F18" s="37"/>
      <c r="G18" s="40"/>
      <c r="H18" s="2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2.75" customHeight="1">
      <c r="A19" s="42" t="s">
        <v>27</v>
      </c>
      <c r="B19" s="36" t="s">
        <v>28</v>
      </c>
      <c r="C19" s="37" t="s">
        <v>83</v>
      </c>
      <c r="D19" s="37"/>
      <c r="E19" s="37"/>
      <c r="F19" s="38"/>
      <c r="G19" s="39"/>
      <c r="H19" s="2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75" customHeight="1">
      <c r="A20" s="42" t="s">
        <v>29</v>
      </c>
      <c r="B20" s="36" t="s">
        <v>30</v>
      </c>
      <c r="C20" s="37" t="s">
        <v>83</v>
      </c>
      <c r="D20" s="37"/>
      <c r="E20" s="37"/>
      <c r="F20" s="37"/>
      <c r="G20" s="40"/>
      <c r="H20" s="2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2.75" customHeight="1">
      <c r="A21" s="43" t="s">
        <v>31</v>
      </c>
      <c r="B21" s="44"/>
      <c r="C21" s="31" t="s">
        <v>4</v>
      </c>
      <c r="D21" s="31" t="s">
        <v>5</v>
      </c>
      <c r="E21" s="31" t="s">
        <v>6</v>
      </c>
      <c r="F21" s="32" t="s">
        <v>7</v>
      </c>
      <c r="G21" s="41" t="s">
        <v>8</v>
      </c>
      <c r="H21" s="4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2.75" customHeight="1">
      <c r="A22" s="45" t="s">
        <v>32</v>
      </c>
      <c r="B22" s="36" t="s">
        <v>33</v>
      </c>
      <c r="C22" s="37" t="s">
        <v>83</v>
      </c>
      <c r="D22" s="37"/>
      <c r="E22" s="37"/>
      <c r="F22" s="37"/>
      <c r="G22" s="40"/>
      <c r="H22" s="2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2.75" customHeight="1">
      <c r="A23" s="45" t="s">
        <v>34</v>
      </c>
      <c r="B23" s="46" t="s">
        <v>35</v>
      </c>
      <c r="C23" s="37" t="s">
        <v>83</v>
      </c>
      <c r="D23" s="37"/>
      <c r="E23" s="37"/>
      <c r="F23" s="37"/>
      <c r="G23" s="40"/>
      <c r="H23" s="2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2.75" customHeight="1">
      <c r="A24" s="45" t="s">
        <v>36</v>
      </c>
      <c r="B24" s="46" t="s">
        <v>37</v>
      </c>
      <c r="C24" s="37" t="s">
        <v>83</v>
      </c>
      <c r="D24" s="37"/>
      <c r="E24" s="37"/>
      <c r="F24" s="37"/>
      <c r="G24" s="40"/>
      <c r="H24" s="2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2.75" customHeight="1">
      <c r="A25" s="45" t="s">
        <v>38</v>
      </c>
      <c r="B25" s="46" t="s">
        <v>39</v>
      </c>
      <c r="C25" s="37" t="s">
        <v>83</v>
      </c>
      <c r="D25" s="37"/>
      <c r="E25" s="37"/>
      <c r="F25" s="37"/>
      <c r="G25" s="40"/>
      <c r="H25" s="2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2.75" customHeight="1">
      <c r="A26" s="45" t="s">
        <v>38</v>
      </c>
      <c r="B26" s="46" t="s">
        <v>40</v>
      </c>
      <c r="C26" s="37" t="s">
        <v>83</v>
      </c>
      <c r="D26" s="37"/>
      <c r="E26" s="37"/>
      <c r="F26" s="37"/>
      <c r="G26" s="40"/>
      <c r="H26" s="2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2.75" customHeight="1">
      <c r="A27" s="45" t="s">
        <v>41</v>
      </c>
      <c r="B27" s="46" t="s">
        <v>42</v>
      </c>
      <c r="C27" s="37" t="s">
        <v>83</v>
      </c>
      <c r="D27" s="37"/>
      <c r="E27" s="37"/>
      <c r="F27" s="37"/>
      <c r="G27" s="40"/>
      <c r="H27" s="2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2.75" customHeight="1">
      <c r="A28" s="45" t="s">
        <v>43</v>
      </c>
      <c r="B28" s="47" t="s">
        <v>44</v>
      </c>
      <c r="C28" s="37" t="s">
        <v>83</v>
      </c>
      <c r="D28" s="37"/>
      <c r="E28" s="37"/>
      <c r="F28" s="37"/>
      <c r="G28" s="40"/>
      <c r="H28" s="2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2.75" customHeight="1">
      <c r="A29" s="45" t="s">
        <v>45</v>
      </c>
      <c r="B29" s="46" t="s">
        <v>46</v>
      </c>
      <c r="C29" s="37" t="s">
        <v>83</v>
      </c>
      <c r="D29" s="37"/>
      <c r="E29" s="37"/>
      <c r="F29" s="37"/>
      <c r="G29" s="40"/>
      <c r="H29" s="2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2.75" customHeight="1">
      <c r="A30" s="45" t="s">
        <v>47</v>
      </c>
      <c r="B30" s="46" t="s">
        <v>48</v>
      </c>
      <c r="C30" s="37" t="s">
        <v>83</v>
      </c>
      <c r="D30" s="37"/>
      <c r="E30" s="37"/>
      <c r="F30" s="37"/>
      <c r="G30" s="40"/>
      <c r="H30" s="2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2.75" customHeight="1">
      <c r="A31" s="45" t="s">
        <v>49</v>
      </c>
      <c r="B31" s="46" t="s">
        <v>50</v>
      </c>
      <c r="C31" s="37" t="s">
        <v>83</v>
      </c>
      <c r="D31" s="37"/>
      <c r="E31" s="37"/>
      <c r="F31" s="38"/>
      <c r="G31" s="39"/>
      <c r="H31" s="2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2.75" customHeight="1">
      <c r="A32" s="45" t="s">
        <v>51</v>
      </c>
      <c r="B32" s="46" t="s">
        <v>52</v>
      </c>
      <c r="C32" s="37"/>
      <c r="D32" s="37" t="s">
        <v>83</v>
      </c>
      <c r="E32" s="37"/>
      <c r="F32" s="37"/>
      <c r="G32" s="40"/>
      <c r="H32" s="2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2.75" customHeight="1">
      <c r="A33" s="43" t="s">
        <v>53</v>
      </c>
      <c r="B33" s="44"/>
      <c r="C33" s="31" t="s">
        <v>4</v>
      </c>
      <c r="D33" s="31" t="s">
        <v>5</v>
      </c>
      <c r="E33" s="31" t="s">
        <v>6</v>
      </c>
      <c r="F33" s="32" t="s">
        <v>7</v>
      </c>
      <c r="G33" s="41" t="s">
        <v>8</v>
      </c>
      <c r="H33" s="4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2.75" customHeight="1">
      <c r="A34" s="42" t="s">
        <v>54</v>
      </c>
      <c r="B34" s="36" t="s">
        <v>55</v>
      </c>
      <c r="C34" s="37" t="s">
        <v>83</v>
      </c>
      <c r="D34" s="37"/>
      <c r="E34" s="37"/>
      <c r="F34" s="37"/>
      <c r="G34" s="40"/>
      <c r="H34" s="2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2.75" customHeight="1">
      <c r="A35" s="42" t="s">
        <v>56</v>
      </c>
      <c r="B35" s="36" t="s">
        <v>57</v>
      </c>
      <c r="C35" s="37" t="s">
        <v>83</v>
      </c>
      <c r="D35" s="37"/>
      <c r="E35" s="37"/>
      <c r="F35" s="37"/>
      <c r="G35" s="40"/>
      <c r="H35" s="2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2.75" customHeight="1">
      <c r="A36" s="42" t="s">
        <v>58</v>
      </c>
      <c r="B36" s="36" t="s">
        <v>39</v>
      </c>
      <c r="C36" s="37" t="s">
        <v>83</v>
      </c>
      <c r="D36" s="37"/>
      <c r="E36" s="37"/>
      <c r="F36" s="37"/>
      <c r="G36" s="40"/>
      <c r="H36" s="2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2.75" customHeight="1">
      <c r="A37" s="42" t="s">
        <v>59</v>
      </c>
      <c r="B37" s="36" t="s">
        <v>60</v>
      </c>
      <c r="C37" s="37" t="s">
        <v>83</v>
      </c>
      <c r="D37" s="37"/>
      <c r="E37" s="37"/>
      <c r="F37" s="37"/>
      <c r="G37" s="40"/>
      <c r="H37" s="2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2.75" customHeight="1">
      <c r="A38" s="42" t="s">
        <v>61</v>
      </c>
      <c r="B38" s="36" t="s">
        <v>62</v>
      </c>
      <c r="C38" s="37" t="s">
        <v>83</v>
      </c>
      <c r="D38" s="37"/>
      <c r="E38" s="37"/>
      <c r="F38" s="37"/>
      <c r="G38" s="40"/>
      <c r="H38" s="2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2.75" customHeight="1">
      <c r="A39" s="42" t="s">
        <v>63</v>
      </c>
      <c r="B39" s="36" t="s">
        <v>44</v>
      </c>
      <c r="C39" s="37" t="s">
        <v>83</v>
      </c>
      <c r="D39" s="37"/>
      <c r="E39" s="37"/>
      <c r="F39" s="37"/>
      <c r="G39" s="40"/>
      <c r="H39" s="2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2.75" customHeight="1">
      <c r="A40" s="42" t="s">
        <v>64</v>
      </c>
      <c r="B40" s="36" t="s">
        <v>65</v>
      </c>
      <c r="C40" s="37" t="s">
        <v>83</v>
      </c>
      <c r="D40" s="37"/>
      <c r="E40" s="37"/>
      <c r="F40" s="37"/>
      <c r="G40" s="40"/>
      <c r="H40" s="2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2.75" customHeight="1">
      <c r="A41" s="42" t="s">
        <v>66</v>
      </c>
      <c r="B41" s="36" t="s">
        <v>67</v>
      </c>
      <c r="C41" s="37" t="s">
        <v>83</v>
      </c>
      <c r="D41" s="37"/>
      <c r="E41" s="37"/>
      <c r="F41" s="37"/>
      <c r="G41" s="40"/>
      <c r="H41" s="2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2.75" customHeight="1">
      <c r="A42" s="43" t="s">
        <v>68</v>
      </c>
      <c r="B42" s="44"/>
      <c r="C42" s="31" t="s">
        <v>4</v>
      </c>
      <c r="D42" s="31" t="s">
        <v>5</v>
      </c>
      <c r="E42" s="31" t="s">
        <v>6</v>
      </c>
      <c r="F42" s="32" t="s">
        <v>7</v>
      </c>
      <c r="G42" s="41" t="s">
        <v>8</v>
      </c>
      <c r="H42" s="4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2.75" customHeight="1">
      <c r="A43" s="42" t="s">
        <v>69</v>
      </c>
      <c r="B43" s="36" t="s">
        <v>70</v>
      </c>
      <c r="C43" s="37" t="s">
        <v>82</v>
      </c>
      <c r="D43" s="37"/>
      <c r="E43" s="37"/>
      <c r="F43" s="37"/>
      <c r="G43" s="40"/>
      <c r="H43" s="2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2.75" customHeight="1">
      <c r="A44" s="42" t="s">
        <v>71</v>
      </c>
      <c r="B44" s="36" t="s">
        <v>72</v>
      </c>
      <c r="C44" s="37" t="s">
        <v>82</v>
      </c>
      <c r="D44" s="37"/>
      <c r="E44" s="37"/>
      <c r="F44" s="37"/>
      <c r="G44" s="40"/>
      <c r="H44" s="2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2.75" customHeight="1">
      <c r="A45" s="42" t="s">
        <v>73</v>
      </c>
      <c r="B45" s="36" t="s">
        <v>74</v>
      </c>
      <c r="C45" s="37" t="s">
        <v>82</v>
      </c>
      <c r="D45" s="37"/>
      <c r="E45" s="37"/>
      <c r="F45" s="48"/>
      <c r="G45" s="49"/>
      <c r="H45" s="2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2.75" customHeight="1">
      <c r="A46" s="42" t="s">
        <v>75</v>
      </c>
      <c r="B46" s="36" t="s">
        <v>76</v>
      </c>
      <c r="C46" s="37" t="s">
        <v>82</v>
      </c>
      <c r="D46" s="37"/>
      <c r="E46" s="37"/>
      <c r="F46" s="37"/>
      <c r="G46" s="40"/>
      <c r="H46" s="21"/>
      <c r="I46" s="5"/>
      <c r="J46" s="5"/>
      <c r="K46" s="50">
        <f>C48+D48+E48+F48</f>
        <v>35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2.75" customHeight="1">
      <c r="A47" s="42" t="s">
        <v>77</v>
      </c>
      <c r="B47" s="36" t="s">
        <v>78</v>
      </c>
      <c r="C47" s="37" t="s">
        <v>82</v>
      </c>
      <c r="D47" s="37"/>
      <c r="E47" s="37"/>
      <c r="F47" s="38"/>
      <c r="G47" s="39"/>
      <c r="H47" s="21"/>
      <c r="I47" s="5"/>
      <c r="J47" s="5"/>
      <c r="K47" s="50">
        <f>C48+D48+E48</f>
        <v>35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1" t="s">
        <v>79</v>
      </c>
      <c r="B48" s="23"/>
      <c r="C48" s="48">
        <f t="shared" ref="C48:F48" si="1">COUNTA((C9:C11),C13:C20,C22:C32,C34:C41,C43:C47)</f>
        <v>34</v>
      </c>
      <c r="D48" s="52">
        <f t="shared" si="1"/>
        <v>1</v>
      </c>
      <c r="E48" s="52">
        <f t="shared" si="1"/>
        <v>0</v>
      </c>
      <c r="F48" s="48">
        <f t="shared" si="1"/>
        <v>0</v>
      </c>
      <c r="G48" s="49"/>
      <c r="H48" s="21"/>
      <c r="I48" s="5"/>
      <c r="J48" s="5"/>
      <c r="K48" s="53">
        <f>E48/2</f>
        <v>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4"/>
      <c r="B49" s="55"/>
      <c r="C49" s="55"/>
      <c r="D49" s="55"/>
      <c r="E49" s="55"/>
      <c r="F49" s="55"/>
      <c r="G49" s="55"/>
      <c r="H49" s="5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57" t="s">
        <v>80</v>
      </c>
      <c r="H50" s="7"/>
      <c r="I50" s="5"/>
      <c r="J50" s="5"/>
      <c r="K50" s="58">
        <f>((K47-(D48+K48))/K47)</f>
        <v>0.9714285714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9"/>
      <c r="B51" s="60"/>
      <c r="C51" s="60"/>
      <c r="D51" s="60"/>
      <c r="E51" s="60"/>
      <c r="F51" s="60"/>
      <c r="G51" s="60"/>
      <c r="H51" s="6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2"/>
      <c r="B52" s="23"/>
      <c r="C52" s="23"/>
      <c r="D52" s="23"/>
      <c r="E52" s="23"/>
      <c r="F52" s="23"/>
      <c r="G52" s="23"/>
      <c r="H52" s="2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2"/>
      <c r="B53" s="23"/>
      <c r="C53" s="23"/>
      <c r="D53" s="23"/>
      <c r="E53" s="23"/>
      <c r="F53" s="23"/>
      <c r="G53" s="23"/>
      <c r="H53" s="2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2"/>
      <c r="B54" s="23"/>
      <c r="C54" s="23"/>
      <c r="D54" s="23"/>
      <c r="E54" s="23"/>
      <c r="F54" s="23"/>
      <c r="G54" s="23"/>
      <c r="H54" s="2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2"/>
      <c r="B55" s="23"/>
      <c r="C55" s="23"/>
      <c r="D55" s="23"/>
      <c r="E55" s="23"/>
      <c r="F55" s="23"/>
      <c r="G55" s="23"/>
      <c r="H55" s="2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7">
    <mergeCell ref="A54:H54"/>
    <mergeCell ref="A55:H55"/>
    <mergeCell ref="A48:B48"/>
    <mergeCell ref="G48:H48"/>
    <mergeCell ref="A49:H49"/>
    <mergeCell ref="A50:H50"/>
    <mergeCell ref="A51:H51"/>
    <mergeCell ref="A52:H52"/>
    <mergeCell ref="A53:H53"/>
    <mergeCell ref="A1:B4"/>
    <mergeCell ref="C1:H3"/>
    <mergeCell ref="C4:H4"/>
    <mergeCell ref="A5:B5"/>
    <mergeCell ref="C5:H5"/>
    <mergeCell ref="A6:B6"/>
    <mergeCell ref="C6:H6"/>
    <mergeCell ref="A7:B7"/>
    <mergeCell ref="A8:B8"/>
    <mergeCell ref="G9:H9"/>
    <mergeCell ref="G10:H10"/>
    <mergeCell ref="G11:H11"/>
    <mergeCell ref="A12:B12"/>
    <mergeCell ref="G13:H13"/>
    <mergeCell ref="G14:H14"/>
    <mergeCell ref="G15:H15"/>
    <mergeCell ref="G16:H16"/>
    <mergeCell ref="G17:H17"/>
    <mergeCell ref="G18:H18"/>
    <mergeCell ref="G19:H19"/>
    <mergeCell ref="A21:B21"/>
    <mergeCell ref="G20:H20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A33:B33"/>
    <mergeCell ref="G34:H34"/>
    <mergeCell ref="G41:H41"/>
    <mergeCell ref="G43:H43"/>
    <mergeCell ref="G44:H44"/>
    <mergeCell ref="G45:H45"/>
    <mergeCell ref="G46:H46"/>
    <mergeCell ref="G47:H47"/>
    <mergeCell ref="G35:H35"/>
    <mergeCell ref="G36:H36"/>
    <mergeCell ref="G37:H37"/>
    <mergeCell ref="G38:H38"/>
    <mergeCell ref="G39:H39"/>
    <mergeCell ref="G40:H40"/>
    <mergeCell ref="A42:B42"/>
  </mergeCells>
  <conditionalFormatting sqref="F9:G11 F13:G20 F22:G32 F34:G40 F43:G44 F46:G47">
    <cfRule type="cellIs" dxfId="0" priority="1" stopIfTrue="1" operator="equal">
      <formula>"X"</formula>
    </cfRule>
  </conditionalFormatting>
  <conditionalFormatting sqref="C7:G7">
    <cfRule type="cellIs" dxfId="1" priority="2" stopIfTrue="1" operator="between">
      <formula>0.95</formula>
      <formula>1</formula>
    </cfRule>
  </conditionalFormatting>
  <conditionalFormatting sqref="C7:G7">
    <cfRule type="cellIs" dxfId="2" priority="3" stopIfTrue="1" operator="between">
      <formula>0.9</formula>
      <formula>0.94</formula>
    </cfRule>
  </conditionalFormatting>
  <conditionalFormatting sqref="C7:G7">
    <cfRule type="cellIs" dxfId="3" priority="4" stopIfTrue="1" operator="between">
      <formula>0.01</formula>
      <formula>0.9</formula>
    </cfRule>
  </conditionalFormatting>
  <conditionalFormatting sqref="C9:C11">
    <cfRule type="cellIs" dxfId="1" priority="5" stopIfTrue="1" operator="equal">
      <formula>"X"</formula>
    </cfRule>
  </conditionalFormatting>
  <conditionalFormatting sqref="D9:D11">
    <cfRule type="cellIs" dxfId="3" priority="6" stopIfTrue="1" operator="equal">
      <formula>"X"</formula>
    </cfRule>
  </conditionalFormatting>
  <conditionalFormatting sqref="C13:C20">
    <cfRule type="cellIs" dxfId="1" priority="7" stopIfTrue="1" operator="equal">
      <formula>"X"</formula>
    </cfRule>
  </conditionalFormatting>
  <conditionalFormatting sqref="C22:C32">
    <cfRule type="cellIs" dxfId="1" priority="8" stopIfTrue="1" operator="equal">
      <formula>"X"</formula>
    </cfRule>
  </conditionalFormatting>
  <conditionalFormatting sqref="C34:C41">
    <cfRule type="cellIs" dxfId="1" priority="9" stopIfTrue="1" operator="equal">
      <formula>"X"</formula>
    </cfRule>
  </conditionalFormatting>
  <conditionalFormatting sqref="C43:C47">
    <cfRule type="cellIs" dxfId="1" priority="10" stopIfTrue="1" operator="equal">
      <formula>"X"</formula>
    </cfRule>
  </conditionalFormatting>
  <conditionalFormatting sqref="D13:D20">
    <cfRule type="cellIs" dxfId="3" priority="11" stopIfTrue="1" operator="equal">
      <formula>"X"</formula>
    </cfRule>
  </conditionalFormatting>
  <conditionalFormatting sqref="D22:D32">
    <cfRule type="cellIs" dxfId="3" priority="12" stopIfTrue="1" operator="equal">
      <formula>"X"</formula>
    </cfRule>
  </conditionalFormatting>
  <conditionalFormatting sqref="D34:D41">
    <cfRule type="cellIs" dxfId="3" priority="13" stopIfTrue="1" operator="equal">
      <formula>"X"</formula>
    </cfRule>
  </conditionalFormatting>
  <conditionalFormatting sqref="D43:D47">
    <cfRule type="cellIs" dxfId="3" priority="14" stopIfTrue="1" operator="equal">
      <formula>"X"</formula>
    </cfRule>
  </conditionalFormatting>
  <conditionalFormatting sqref="E43:E47">
    <cfRule type="cellIs" dxfId="2" priority="15" stopIfTrue="1" operator="equal">
      <formula>"X"</formula>
    </cfRule>
  </conditionalFormatting>
  <conditionalFormatting sqref="E9">
    <cfRule type="cellIs" dxfId="2" priority="16" stopIfTrue="1" operator="equal">
      <formula>"X"</formula>
    </cfRule>
  </conditionalFormatting>
  <conditionalFormatting sqref="E10:E11">
    <cfRule type="cellIs" dxfId="2" priority="17" stopIfTrue="1" operator="equal">
      <formula>"X"</formula>
    </cfRule>
  </conditionalFormatting>
  <conditionalFormatting sqref="E13:E20">
    <cfRule type="cellIs" dxfId="2" priority="18" stopIfTrue="1" operator="equal">
      <formula>"X"</formula>
    </cfRule>
  </conditionalFormatting>
  <conditionalFormatting sqref="E22:E32">
    <cfRule type="cellIs" dxfId="2" priority="19" stopIfTrue="1" operator="equal">
      <formula>"X"</formula>
    </cfRule>
  </conditionalFormatting>
  <conditionalFormatting sqref="E34:E41">
    <cfRule type="cellIs" dxfId="2" priority="20" stopIfTrue="1" operator="equal">
      <formula>"X"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8.29"/>
    <col customWidth="1" min="3" max="8" width="12.0"/>
    <col customWidth="1" min="9" max="10" width="12.43"/>
    <col customWidth="1" hidden="1" min="11" max="11" width="12.43"/>
    <col customWidth="1" min="12" max="26" width="12.43"/>
  </cols>
  <sheetData>
    <row r="1" ht="24.0" customHeight="1">
      <c r="A1" s="1"/>
      <c r="B1" s="2"/>
      <c r="C1" s="3" t="s">
        <v>0</v>
      </c>
      <c r="D1" s="4"/>
      <c r="E1" s="4"/>
      <c r="F1" s="4"/>
      <c r="G1" s="4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6"/>
      <c r="B2" s="7"/>
      <c r="C2" s="6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6"/>
      <c r="B3" s="7"/>
      <c r="C3" s="6"/>
      <c r="H3" s="7"/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10"/>
      <c r="B4" s="11"/>
      <c r="C4" s="12"/>
      <c r="D4" s="13"/>
      <c r="E4" s="13"/>
      <c r="F4" s="13"/>
      <c r="G4" s="13"/>
      <c r="H4" s="11"/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14" t="s">
        <v>81</v>
      </c>
      <c r="B5" s="15"/>
      <c r="C5" s="16"/>
      <c r="D5" s="17"/>
      <c r="E5" s="17"/>
      <c r="F5" s="17"/>
      <c r="G5" s="17"/>
      <c r="H5" s="18"/>
      <c r="I5" s="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0" customHeight="1">
      <c r="A6" s="20">
        <v>45752.0</v>
      </c>
      <c r="B6" s="21"/>
      <c r="C6" s="22"/>
      <c r="D6" s="23"/>
      <c r="E6" s="23"/>
      <c r="F6" s="23"/>
      <c r="G6" s="23"/>
      <c r="H6" s="24"/>
      <c r="I6" s="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25" t="s">
        <v>2</v>
      </c>
      <c r="B7" s="21"/>
      <c r="C7" s="26">
        <f>K50</f>
        <v>0.9428571429</v>
      </c>
      <c r="D7" s="27"/>
      <c r="E7" s="27"/>
      <c r="F7" s="27"/>
      <c r="G7" s="27"/>
      <c r="H7" s="28"/>
      <c r="I7" s="29"/>
      <c r="J7" s="29"/>
      <c r="K7" s="2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75" customHeight="1">
      <c r="A8" s="30" t="s">
        <v>3</v>
      </c>
      <c r="B8" s="21"/>
      <c r="C8" s="31" t="s">
        <v>4</v>
      </c>
      <c r="D8" s="31" t="s">
        <v>5</v>
      </c>
      <c r="E8" s="31" t="s">
        <v>6</v>
      </c>
      <c r="F8" s="32" t="s">
        <v>7</v>
      </c>
      <c r="G8" s="33" t="s">
        <v>8</v>
      </c>
      <c r="H8" s="3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75" customHeight="1">
      <c r="A9" s="35" t="s">
        <v>9</v>
      </c>
      <c r="B9" s="36" t="s">
        <v>10</v>
      </c>
      <c r="C9" s="37" t="s">
        <v>82</v>
      </c>
      <c r="D9" s="37"/>
      <c r="E9" s="37"/>
      <c r="F9" s="38"/>
      <c r="G9" s="39"/>
      <c r="H9" s="2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.75" customHeight="1">
      <c r="A10" s="35" t="s">
        <v>11</v>
      </c>
      <c r="B10" s="36" t="s">
        <v>12</v>
      </c>
      <c r="C10" s="37" t="s">
        <v>83</v>
      </c>
      <c r="D10" s="37"/>
      <c r="E10" s="37"/>
      <c r="F10" s="37"/>
      <c r="G10" s="40"/>
      <c r="H10" s="2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2.75" customHeight="1">
      <c r="A11" s="35" t="s">
        <v>13</v>
      </c>
      <c r="B11" s="36" t="s">
        <v>14</v>
      </c>
      <c r="C11" s="37" t="s">
        <v>82</v>
      </c>
      <c r="D11" s="37"/>
      <c r="E11" s="37"/>
      <c r="F11" s="37"/>
      <c r="G11" s="40"/>
      <c r="H11" s="2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2.75" customHeight="1">
      <c r="A12" s="30" t="s">
        <v>15</v>
      </c>
      <c r="B12" s="21"/>
      <c r="C12" s="31" t="s">
        <v>4</v>
      </c>
      <c r="D12" s="31" t="s">
        <v>5</v>
      </c>
      <c r="E12" s="31" t="s">
        <v>6</v>
      </c>
      <c r="F12" s="32" t="s">
        <v>7</v>
      </c>
      <c r="G12" s="41" t="s">
        <v>8</v>
      </c>
      <c r="H12" s="4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2.75" customHeight="1">
      <c r="A13" s="42" t="s">
        <v>16</v>
      </c>
      <c r="B13" s="36" t="s">
        <v>17</v>
      </c>
      <c r="C13" s="37" t="s">
        <v>83</v>
      </c>
      <c r="D13" s="37"/>
      <c r="E13" s="37"/>
      <c r="F13" s="37"/>
      <c r="G13" s="40"/>
      <c r="H13" s="2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2.75" customHeight="1">
      <c r="A14" s="42">
        <v>2.2</v>
      </c>
      <c r="B14" s="36" t="s">
        <v>18</v>
      </c>
      <c r="C14" s="37" t="s">
        <v>83</v>
      </c>
      <c r="D14" s="37"/>
      <c r="E14" s="37"/>
      <c r="F14" s="38"/>
      <c r="G14" s="39"/>
      <c r="H14" s="2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2.75" customHeight="1">
      <c r="A15" s="42" t="s">
        <v>19</v>
      </c>
      <c r="B15" s="36" t="s">
        <v>20</v>
      </c>
      <c r="C15" s="37" t="s">
        <v>83</v>
      </c>
      <c r="D15" s="37"/>
      <c r="E15" s="37"/>
      <c r="F15" s="37"/>
      <c r="G15" s="40"/>
      <c r="H15" s="2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2.75" customHeight="1">
      <c r="A16" s="42" t="s">
        <v>21</v>
      </c>
      <c r="B16" s="36" t="s">
        <v>22</v>
      </c>
      <c r="C16" s="37" t="s">
        <v>83</v>
      </c>
      <c r="D16" s="37"/>
      <c r="E16" s="37"/>
      <c r="F16" s="37"/>
      <c r="G16" s="40"/>
      <c r="H16" s="2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2.75" customHeight="1">
      <c r="A17" s="42" t="s">
        <v>23</v>
      </c>
      <c r="B17" s="36" t="s">
        <v>24</v>
      </c>
      <c r="C17" s="37" t="s">
        <v>83</v>
      </c>
      <c r="D17" s="37"/>
      <c r="E17" s="37"/>
      <c r="F17" s="38"/>
      <c r="G17" s="39"/>
      <c r="H17" s="2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2.75" customHeight="1">
      <c r="A18" s="42" t="s">
        <v>25</v>
      </c>
      <c r="B18" s="36" t="s">
        <v>26</v>
      </c>
      <c r="C18" s="37"/>
      <c r="D18" s="37" t="s">
        <v>83</v>
      </c>
      <c r="E18" s="37"/>
      <c r="F18" s="37"/>
      <c r="G18" s="40"/>
      <c r="H18" s="2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2.75" customHeight="1">
      <c r="A19" s="42" t="s">
        <v>27</v>
      </c>
      <c r="B19" s="36" t="s">
        <v>28</v>
      </c>
      <c r="C19" s="37" t="s">
        <v>83</v>
      </c>
      <c r="D19" s="37"/>
      <c r="E19" s="37"/>
      <c r="F19" s="38"/>
      <c r="G19" s="39"/>
      <c r="H19" s="2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75" customHeight="1">
      <c r="A20" s="42" t="s">
        <v>29</v>
      </c>
      <c r="B20" s="36" t="s">
        <v>30</v>
      </c>
      <c r="C20" s="37" t="s">
        <v>82</v>
      </c>
      <c r="D20" s="37"/>
      <c r="E20" s="37"/>
      <c r="F20" s="37"/>
      <c r="G20" s="40"/>
      <c r="H20" s="2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2.75" customHeight="1">
      <c r="A21" s="43" t="s">
        <v>31</v>
      </c>
      <c r="B21" s="44"/>
      <c r="C21" s="31" t="s">
        <v>4</v>
      </c>
      <c r="D21" s="31" t="s">
        <v>5</v>
      </c>
      <c r="E21" s="31" t="s">
        <v>6</v>
      </c>
      <c r="F21" s="32" t="s">
        <v>7</v>
      </c>
      <c r="G21" s="41" t="s">
        <v>8</v>
      </c>
      <c r="H21" s="4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2.75" customHeight="1">
      <c r="A22" s="45" t="s">
        <v>32</v>
      </c>
      <c r="B22" s="36" t="s">
        <v>33</v>
      </c>
      <c r="C22" s="37" t="s">
        <v>83</v>
      </c>
      <c r="D22" s="37"/>
      <c r="E22" s="37"/>
      <c r="F22" s="37"/>
      <c r="G22" s="40"/>
      <c r="H22" s="2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2.75" customHeight="1">
      <c r="A23" s="45" t="s">
        <v>34</v>
      </c>
      <c r="B23" s="46" t="s">
        <v>35</v>
      </c>
      <c r="C23" s="37" t="s">
        <v>83</v>
      </c>
      <c r="D23" s="37"/>
      <c r="E23" s="37"/>
      <c r="F23" s="37"/>
      <c r="G23" s="40"/>
      <c r="H23" s="2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2.75" customHeight="1">
      <c r="A24" s="45" t="s">
        <v>36</v>
      </c>
      <c r="B24" s="46" t="s">
        <v>37</v>
      </c>
      <c r="C24" s="37" t="s">
        <v>83</v>
      </c>
      <c r="D24" s="37"/>
      <c r="E24" s="37"/>
      <c r="F24" s="37"/>
      <c r="G24" s="40"/>
      <c r="H24" s="2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2.75" customHeight="1">
      <c r="A25" s="45" t="s">
        <v>38</v>
      </c>
      <c r="B25" s="46" t="s">
        <v>39</v>
      </c>
      <c r="C25" s="37" t="s">
        <v>83</v>
      </c>
      <c r="D25" s="37"/>
      <c r="E25" s="37"/>
      <c r="F25" s="37"/>
      <c r="G25" s="40"/>
      <c r="H25" s="2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2.75" customHeight="1">
      <c r="A26" s="45" t="s">
        <v>38</v>
      </c>
      <c r="B26" s="46" t="s">
        <v>40</v>
      </c>
      <c r="C26" s="37" t="s">
        <v>83</v>
      </c>
      <c r="D26" s="37"/>
      <c r="E26" s="37"/>
      <c r="F26" s="37"/>
      <c r="G26" s="40"/>
      <c r="H26" s="2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2.75" customHeight="1">
      <c r="A27" s="45" t="s">
        <v>41</v>
      </c>
      <c r="B27" s="46" t="s">
        <v>42</v>
      </c>
      <c r="C27" s="37" t="s">
        <v>83</v>
      </c>
      <c r="D27" s="37"/>
      <c r="E27" s="37"/>
      <c r="F27" s="37"/>
      <c r="G27" s="40"/>
      <c r="H27" s="2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2.75" customHeight="1">
      <c r="A28" s="45" t="s">
        <v>43</v>
      </c>
      <c r="B28" s="47" t="s">
        <v>44</v>
      </c>
      <c r="C28" s="37" t="s">
        <v>83</v>
      </c>
      <c r="D28" s="37"/>
      <c r="E28" s="37"/>
      <c r="F28" s="37"/>
      <c r="G28" s="40"/>
      <c r="H28" s="2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2.75" customHeight="1">
      <c r="A29" s="45" t="s">
        <v>45</v>
      </c>
      <c r="B29" s="46" t="s">
        <v>46</v>
      </c>
      <c r="C29" s="37" t="s">
        <v>83</v>
      </c>
      <c r="D29" s="37"/>
      <c r="E29" s="37"/>
      <c r="F29" s="37"/>
      <c r="G29" s="40"/>
      <c r="H29" s="2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2.75" customHeight="1">
      <c r="A30" s="45" t="s">
        <v>47</v>
      </c>
      <c r="B30" s="46" t="s">
        <v>48</v>
      </c>
      <c r="C30" s="37" t="s">
        <v>83</v>
      </c>
      <c r="D30" s="37"/>
      <c r="E30" s="37"/>
      <c r="F30" s="37"/>
      <c r="G30" s="40"/>
      <c r="H30" s="2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2.75" customHeight="1">
      <c r="A31" s="45" t="s">
        <v>49</v>
      </c>
      <c r="B31" s="46" t="s">
        <v>50</v>
      </c>
      <c r="C31" s="37" t="s">
        <v>83</v>
      </c>
      <c r="D31" s="37"/>
      <c r="E31" s="37"/>
      <c r="F31" s="38"/>
      <c r="G31" s="39"/>
      <c r="H31" s="2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2.75" customHeight="1">
      <c r="A32" s="45" t="s">
        <v>51</v>
      </c>
      <c r="B32" s="46" t="s">
        <v>52</v>
      </c>
      <c r="C32" s="37"/>
      <c r="D32" s="37" t="s">
        <v>83</v>
      </c>
      <c r="E32" s="37"/>
      <c r="F32" s="37"/>
      <c r="G32" s="40"/>
      <c r="H32" s="2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2.75" customHeight="1">
      <c r="A33" s="43" t="s">
        <v>53</v>
      </c>
      <c r="B33" s="44"/>
      <c r="C33" s="31" t="s">
        <v>4</v>
      </c>
      <c r="D33" s="31" t="s">
        <v>5</v>
      </c>
      <c r="E33" s="31" t="s">
        <v>6</v>
      </c>
      <c r="F33" s="32" t="s">
        <v>7</v>
      </c>
      <c r="G33" s="41" t="s">
        <v>8</v>
      </c>
      <c r="H33" s="4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2.75" customHeight="1">
      <c r="A34" s="42" t="s">
        <v>54</v>
      </c>
      <c r="B34" s="36" t="s">
        <v>55</v>
      </c>
      <c r="C34" s="37" t="s">
        <v>83</v>
      </c>
      <c r="D34" s="37"/>
      <c r="E34" s="37"/>
      <c r="F34" s="37"/>
      <c r="G34" s="40"/>
      <c r="H34" s="2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2.75" customHeight="1">
      <c r="A35" s="42" t="s">
        <v>56</v>
      </c>
      <c r="B35" s="36" t="s">
        <v>57</v>
      </c>
      <c r="C35" s="37" t="s">
        <v>83</v>
      </c>
      <c r="D35" s="37"/>
      <c r="E35" s="37"/>
      <c r="F35" s="37"/>
      <c r="G35" s="40"/>
      <c r="H35" s="2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2.75" customHeight="1">
      <c r="A36" s="42" t="s">
        <v>58</v>
      </c>
      <c r="B36" s="36" t="s">
        <v>39</v>
      </c>
      <c r="C36" s="37" t="s">
        <v>83</v>
      </c>
      <c r="D36" s="37"/>
      <c r="E36" s="37"/>
      <c r="F36" s="37"/>
      <c r="G36" s="40"/>
      <c r="H36" s="2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2.75" customHeight="1">
      <c r="A37" s="42" t="s">
        <v>59</v>
      </c>
      <c r="B37" s="36" t="s">
        <v>60</v>
      </c>
      <c r="C37" s="37" t="s">
        <v>83</v>
      </c>
      <c r="D37" s="37"/>
      <c r="E37" s="37"/>
      <c r="F37" s="37"/>
      <c r="G37" s="40"/>
      <c r="H37" s="2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2.75" customHeight="1">
      <c r="A38" s="42" t="s">
        <v>61</v>
      </c>
      <c r="B38" s="36" t="s">
        <v>62</v>
      </c>
      <c r="C38" s="37" t="s">
        <v>83</v>
      </c>
      <c r="D38" s="37"/>
      <c r="E38" s="37"/>
      <c r="F38" s="37"/>
      <c r="G38" s="40"/>
      <c r="H38" s="2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2.75" customHeight="1">
      <c r="A39" s="42" t="s">
        <v>63</v>
      </c>
      <c r="B39" s="36" t="s">
        <v>44</v>
      </c>
      <c r="C39" s="37" t="s">
        <v>83</v>
      </c>
      <c r="D39" s="37"/>
      <c r="E39" s="37"/>
      <c r="F39" s="37"/>
      <c r="G39" s="40"/>
      <c r="H39" s="2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2.75" customHeight="1">
      <c r="A40" s="42" t="s">
        <v>64</v>
      </c>
      <c r="B40" s="36" t="s">
        <v>65</v>
      </c>
      <c r="C40" s="37" t="s">
        <v>83</v>
      </c>
      <c r="D40" s="37"/>
      <c r="E40" s="37"/>
      <c r="F40" s="37"/>
      <c r="G40" s="40"/>
      <c r="H40" s="2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2.75" customHeight="1">
      <c r="A41" s="42" t="s">
        <v>66</v>
      </c>
      <c r="B41" s="36" t="s">
        <v>67</v>
      </c>
      <c r="C41" s="37" t="s">
        <v>82</v>
      </c>
      <c r="D41" s="37"/>
      <c r="E41" s="37"/>
      <c r="F41" s="37"/>
      <c r="G41" s="40"/>
      <c r="H41" s="2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2.75" customHeight="1">
      <c r="A42" s="43" t="s">
        <v>68</v>
      </c>
      <c r="B42" s="44"/>
      <c r="C42" s="31" t="s">
        <v>4</v>
      </c>
      <c r="D42" s="31" t="s">
        <v>5</v>
      </c>
      <c r="E42" s="31" t="s">
        <v>6</v>
      </c>
      <c r="F42" s="32" t="s">
        <v>7</v>
      </c>
      <c r="G42" s="41" t="s">
        <v>8</v>
      </c>
      <c r="H42" s="4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2.75" customHeight="1">
      <c r="A43" s="42" t="s">
        <v>69</v>
      </c>
      <c r="B43" s="36" t="s">
        <v>70</v>
      </c>
      <c r="C43" s="37" t="s">
        <v>82</v>
      </c>
      <c r="D43" s="37"/>
      <c r="E43" s="37"/>
      <c r="F43" s="37"/>
      <c r="G43" s="40"/>
      <c r="H43" s="2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2.75" customHeight="1">
      <c r="A44" s="42" t="s">
        <v>71</v>
      </c>
      <c r="B44" s="36" t="s">
        <v>72</v>
      </c>
      <c r="C44" s="37" t="s">
        <v>82</v>
      </c>
      <c r="D44" s="37"/>
      <c r="E44" s="37"/>
      <c r="F44" s="37"/>
      <c r="G44" s="40"/>
      <c r="H44" s="2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2.75" customHeight="1">
      <c r="A45" s="42" t="s">
        <v>73</v>
      </c>
      <c r="B45" s="36" t="s">
        <v>74</v>
      </c>
      <c r="C45" s="37" t="s">
        <v>82</v>
      </c>
      <c r="D45" s="37"/>
      <c r="E45" s="37"/>
      <c r="F45" s="48"/>
      <c r="G45" s="49"/>
      <c r="H45" s="2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2.75" customHeight="1">
      <c r="A46" s="42" t="s">
        <v>75</v>
      </c>
      <c r="B46" s="36" t="s">
        <v>76</v>
      </c>
      <c r="C46" s="37" t="s">
        <v>82</v>
      </c>
      <c r="D46" s="37"/>
      <c r="E46" s="37"/>
      <c r="F46" s="37"/>
      <c r="G46" s="40"/>
      <c r="H46" s="21"/>
      <c r="I46" s="5"/>
      <c r="J46" s="5"/>
      <c r="K46" s="50">
        <f>C48+D48+E48+F48</f>
        <v>35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2.75" customHeight="1">
      <c r="A47" s="42" t="s">
        <v>77</v>
      </c>
      <c r="B47" s="36" t="s">
        <v>78</v>
      </c>
      <c r="C47" s="37" t="s">
        <v>82</v>
      </c>
      <c r="D47" s="37"/>
      <c r="E47" s="37"/>
      <c r="F47" s="38"/>
      <c r="G47" s="39"/>
      <c r="H47" s="21"/>
      <c r="I47" s="5"/>
      <c r="J47" s="5"/>
      <c r="K47" s="50">
        <f>C48+D48+E48</f>
        <v>35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1" t="s">
        <v>79</v>
      </c>
      <c r="B48" s="23"/>
      <c r="C48" s="48">
        <f t="shared" ref="C48:F48" si="1">COUNTA((C9:C11),C13:C20,C22:C32,C34:C41,C43:C47)</f>
        <v>33</v>
      </c>
      <c r="D48" s="52">
        <f t="shared" si="1"/>
        <v>2</v>
      </c>
      <c r="E48" s="52">
        <f t="shared" si="1"/>
        <v>0</v>
      </c>
      <c r="F48" s="48">
        <f t="shared" si="1"/>
        <v>0</v>
      </c>
      <c r="G48" s="49"/>
      <c r="H48" s="21"/>
      <c r="I48" s="5"/>
      <c r="J48" s="5"/>
      <c r="K48" s="53">
        <f>E48/2</f>
        <v>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4"/>
      <c r="B49" s="55"/>
      <c r="C49" s="55"/>
      <c r="D49" s="55"/>
      <c r="E49" s="55"/>
      <c r="F49" s="55"/>
      <c r="G49" s="55"/>
      <c r="H49" s="5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57" t="s">
        <v>80</v>
      </c>
      <c r="H50" s="7"/>
      <c r="I50" s="5"/>
      <c r="J50" s="5"/>
      <c r="K50" s="58">
        <f>((K47-(D48+K48))/K47)</f>
        <v>0.9428571429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9"/>
      <c r="B51" s="60"/>
      <c r="C51" s="60"/>
      <c r="D51" s="60"/>
      <c r="E51" s="60"/>
      <c r="F51" s="60"/>
      <c r="G51" s="60"/>
      <c r="H51" s="6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2"/>
      <c r="B52" s="23"/>
      <c r="C52" s="23"/>
      <c r="D52" s="23"/>
      <c r="E52" s="23"/>
      <c r="F52" s="23"/>
      <c r="G52" s="23"/>
      <c r="H52" s="2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2"/>
      <c r="B53" s="23"/>
      <c r="C53" s="23"/>
      <c r="D53" s="23"/>
      <c r="E53" s="23"/>
      <c r="F53" s="23"/>
      <c r="G53" s="23"/>
      <c r="H53" s="2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2"/>
      <c r="B54" s="23"/>
      <c r="C54" s="23"/>
      <c r="D54" s="23"/>
      <c r="E54" s="23"/>
      <c r="F54" s="23"/>
      <c r="G54" s="23"/>
      <c r="H54" s="2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2"/>
      <c r="B55" s="23"/>
      <c r="C55" s="23"/>
      <c r="D55" s="23"/>
      <c r="E55" s="23"/>
      <c r="F55" s="23"/>
      <c r="G55" s="23"/>
      <c r="H55" s="2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7">
    <mergeCell ref="A54:H54"/>
    <mergeCell ref="A55:H55"/>
    <mergeCell ref="A48:B48"/>
    <mergeCell ref="G48:H48"/>
    <mergeCell ref="A49:H49"/>
    <mergeCell ref="A50:H50"/>
    <mergeCell ref="A51:H51"/>
    <mergeCell ref="A52:H52"/>
    <mergeCell ref="A53:H53"/>
    <mergeCell ref="A1:B4"/>
    <mergeCell ref="C1:H3"/>
    <mergeCell ref="C4:H4"/>
    <mergeCell ref="A5:B5"/>
    <mergeCell ref="C5:H5"/>
    <mergeCell ref="A6:B6"/>
    <mergeCell ref="C6:H6"/>
    <mergeCell ref="A7:B7"/>
    <mergeCell ref="A8:B8"/>
    <mergeCell ref="G9:H9"/>
    <mergeCell ref="G10:H10"/>
    <mergeCell ref="G11:H11"/>
    <mergeCell ref="A12:B12"/>
    <mergeCell ref="G13:H13"/>
    <mergeCell ref="G14:H14"/>
    <mergeCell ref="G15:H15"/>
    <mergeCell ref="G16:H16"/>
    <mergeCell ref="G17:H17"/>
    <mergeCell ref="G18:H18"/>
    <mergeCell ref="G19:H19"/>
    <mergeCell ref="A21:B21"/>
    <mergeCell ref="G20:H20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A33:B33"/>
    <mergeCell ref="G34:H34"/>
    <mergeCell ref="G41:H41"/>
    <mergeCell ref="G43:H43"/>
    <mergeCell ref="G44:H44"/>
    <mergeCell ref="G45:H45"/>
    <mergeCell ref="G46:H46"/>
    <mergeCell ref="G47:H47"/>
    <mergeCell ref="G35:H35"/>
    <mergeCell ref="G36:H36"/>
    <mergeCell ref="G37:H37"/>
    <mergeCell ref="G38:H38"/>
    <mergeCell ref="G39:H39"/>
    <mergeCell ref="G40:H40"/>
    <mergeCell ref="A42:B42"/>
  </mergeCells>
  <conditionalFormatting sqref="F9:G11 F13:G20 F22:G32 F34:G40 F43:G44 F46:G47">
    <cfRule type="cellIs" dxfId="0" priority="1" stopIfTrue="1" operator="equal">
      <formula>"X"</formula>
    </cfRule>
  </conditionalFormatting>
  <conditionalFormatting sqref="C7:G7">
    <cfRule type="cellIs" dxfId="1" priority="2" stopIfTrue="1" operator="between">
      <formula>0.95</formula>
      <formula>1</formula>
    </cfRule>
  </conditionalFormatting>
  <conditionalFormatting sqref="C7:G7">
    <cfRule type="cellIs" dxfId="2" priority="3" stopIfTrue="1" operator="between">
      <formula>0.9</formula>
      <formula>0.94</formula>
    </cfRule>
  </conditionalFormatting>
  <conditionalFormatting sqref="C7:G7">
    <cfRule type="cellIs" dxfId="3" priority="4" stopIfTrue="1" operator="between">
      <formula>0.01</formula>
      <formula>0.9</formula>
    </cfRule>
  </conditionalFormatting>
  <conditionalFormatting sqref="C9:C11">
    <cfRule type="cellIs" dxfId="1" priority="5" stopIfTrue="1" operator="equal">
      <formula>"X"</formula>
    </cfRule>
  </conditionalFormatting>
  <conditionalFormatting sqref="D9:D11">
    <cfRule type="cellIs" dxfId="3" priority="6" stopIfTrue="1" operator="equal">
      <formula>"X"</formula>
    </cfRule>
  </conditionalFormatting>
  <conditionalFormatting sqref="C13:C20">
    <cfRule type="cellIs" dxfId="1" priority="7" stopIfTrue="1" operator="equal">
      <formula>"X"</formula>
    </cfRule>
  </conditionalFormatting>
  <conditionalFormatting sqref="C22:C32">
    <cfRule type="cellIs" dxfId="1" priority="8" stopIfTrue="1" operator="equal">
      <formula>"X"</formula>
    </cfRule>
  </conditionalFormatting>
  <conditionalFormatting sqref="C34:C41">
    <cfRule type="cellIs" dxfId="1" priority="9" stopIfTrue="1" operator="equal">
      <formula>"X"</formula>
    </cfRule>
  </conditionalFormatting>
  <conditionalFormatting sqref="C43:C47">
    <cfRule type="cellIs" dxfId="1" priority="10" stopIfTrue="1" operator="equal">
      <formula>"X"</formula>
    </cfRule>
  </conditionalFormatting>
  <conditionalFormatting sqref="D13:D20">
    <cfRule type="cellIs" dxfId="3" priority="11" stopIfTrue="1" operator="equal">
      <formula>"X"</formula>
    </cfRule>
  </conditionalFormatting>
  <conditionalFormatting sqref="D22:D32">
    <cfRule type="cellIs" dxfId="3" priority="12" stopIfTrue="1" operator="equal">
      <formula>"X"</formula>
    </cfRule>
  </conditionalFormatting>
  <conditionalFormatting sqref="D34:D41">
    <cfRule type="cellIs" dxfId="3" priority="13" stopIfTrue="1" operator="equal">
      <formula>"X"</formula>
    </cfRule>
  </conditionalFormatting>
  <conditionalFormatting sqref="D43:D47">
    <cfRule type="cellIs" dxfId="3" priority="14" stopIfTrue="1" operator="equal">
      <formula>"X"</formula>
    </cfRule>
  </conditionalFormatting>
  <conditionalFormatting sqref="E43:E47">
    <cfRule type="cellIs" dxfId="2" priority="15" stopIfTrue="1" operator="equal">
      <formula>"X"</formula>
    </cfRule>
  </conditionalFormatting>
  <conditionalFormatting sqref="E9">
    <cfRule type="cellIs" dxfId="2" priority="16" stopIfTrue="1" operator="equal">
      <formula>"X"</formula>
    </cfRule>
  </conditionalFormatting>
  <conditionalFormatting sqref="E10:E11">
    <cfRule type="cellIs" dxfId="2" priority="17" stopIfTrue="1" operator="equal">
      <formula>"X"</formula>
    </cfRule>
  </conditionalFormatting>
  <conditionalFormatting sqref="E13:E20">
    <cfRule type="cellIs" dxfId="2" priority="18" stopIfTrue="1" operator="equal">
      <formula>"X"</formula>
    </cfRule>
  </conditionalFormatting>
  <conditionalFormatting sqref="E22:E32">
    <cfRule type="cellIs" dxfId="2" priority="19" stopIfTrue="1" operator="equal">
      <formula>"X"</formula>
    </cfRule>
  </conditionalFormatting>
  <conditionalFormatting sqref="E34:E41">
    <cfRule type="cellIs" dxfId="2" priority="20" stopIfTrue="1" operator="equal">
      <formula>"X"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8.29"/>
    <col customWidth="1" min="3" max="8" width="12.0"/>
    <col customWidth="1" min="9" max="10" width="12.43"/>
    <col customWidth="1" hidden="1" min="11" max="11" width="12.43"/>
    <col customWidth="1" min="12" max="26" width="12.43"/>
  </cols>
  <sheetData>
    <row r="1" ht="24.0" customHeight="1">
      <c r="A1" s="1"/>
      <c r="B1" s="2"/>
      <c r="C1" s="3" t="s">
        <v>0</v>
      </c>
      <c r="D1" s="4"/>
      <c r="E1" s="4"/>
      <c r="F1" s="4"/>
      <c r="G1" s="4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6"/>
      <c r="B2" s="7"/>
      <c r="C2" s="6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6"/>
      <c r="B3" s="7"/>
      <c r="C3" s="6"/>
      <c r="H3" s="7"/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10"/>
      <c r="B4" s="11"/>
      <c r="C4" s="12"/>
      <c r="D4" s="13"/>
      <c r="E4" s="13"/>
      <c r="F4" s="13"/>
      <c r="G4" s="13"/>
      <c r="H4" s="11"/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14" t="s">
        <v>84</v>
      </c>
      <c r="B5" s="15"/>
      <c r="C5" s="16"/>
      <c r="D5" s="17"/>
      <c r="E5" s="17"/>
      <c r="F5" s="17"/>
      <c r="G5" s="17"/>
      <c r="H5" s="18"/>
      <c r="I5" s="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0" customHeight="1">
      <c r="A6" s="20">
        <v>45752.0</v>
      </c>
      <c r="B6" s="21"/>
      <c r="C6" s="22"/>
      <c r="D6" s="23"/>
      <c r="E6" s="23"/>
      <c r="F6" s="23"/>
      <c r="G6" s="23"/>
      <c r="H6" s="24"/>
      <c r="I6" s="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25" t="s">
        <v>2</v>
      </c>
      <c r="B7" s="21"/>
      <c r="C7" s="26">
        <f>K50</f>
        <v>0.9428571429</v>
      </c>
      <c r="D7" s="27"/>
      <c r="E7" s="27"/>
      <c r="F7" s="27"/>
      <c r="G7" s="27"/>
      <c r="H7" s="28"/>
      <c r="I7" s="29"/>
      <c r="J7" s="29"/>
      <c r="K7" s="2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75" customHeight="1">
      <c r="A8" s="30" t="s">
        <v>3</v>
      </c>
      <c r="B8" s="21"/>
      <c r="C8" s="31" t="s">
        <v>4</v>
      </c>
      <c r="D8" s="31" t="s">
        <v>5</v>
      </c>
      <c r="E8" s="31" t="s">
        <v>6</v>
      </c>
      <c r="F8" s="32" t="s">
        <v>7</v>
      </c>
      <c r="G8" s="33" t="s">
        <v>8</v>
      </c>
      <c r="H8" s="3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75" customHeight="1">
      <c r="A9" s="35" t="s">
        <v>9</v>
      </c>
      <c r="B9" s="36" t="s">
        <v>10</v>
      </c>
      <c r="C9" s="37" t="s">
        <v>82</v>
      </c>
      <c r="D9" s="37"/>
      <c r="E9" s="37"/>
      <c r="F9" s="38"/>
      <c r="G9" s="39"/>
      <c r="H9" s="2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.75" customHeight="1">
      <c r="A10" s="35" t="s">
        <v>11</v>
      </c>
      <c r="B10" s="36" t="s">
        <v>12</v>
      </c>
      <c r="C10" s="37" t="s">
        <v>82</v>
      </c>
      <c r="D10" s="37"/>
      <c r="E10" s="37"/>
      <c r="F10" s="37"/>
      <c r="G10" s="40"/>
      <c r="H10" s="2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2.75" customHeight="1">
      <c r="A11" s="35" t="s">
        <v>13</v>
      </c>
      <c r="B11" s="36" t="s">
        <v>14</v>
      </c>
      <c r="C11" s="37" t="s">
        <v>82</v>
      </c>
      <c r="D11" s="37"/>
      <c r="E11" s="37"/>
      <c r="F11" s="37"/>
      <c r="G11" s="40"/>
      <c r="H11" s="2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2.75" customHeight="1">
      <c r="A12" s="30" t="s">
        <v>15</v>
      </c>
      <c r="B12" s="21"/>
      <c r="C12" s="31" t="s">
        <v>4</v>
      </c>
      <c r="D12" s="31" t="s">
        <v>5</v>
      </c>
      <c r="E12" s="31" t="s">
        <v>6</v>
      </c>
      <c r="F12" s="32" t="s">
        <v>7</v>
      </c>
      <c r="G12" s="41" t="s">
        <v>8</v>
      </c>
      <c r="H12" s="4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2.75" customHeight="1">
      <c r="A13" s="42" t="s">
        <v>16</v>
      </c>
      <c r="B13" s="36" t="s">
        <v>17</v>
      </c>
      <c r="C13" s="37" t="s">
        <v>83</v>
      </c>
      <c r="D13" s="37"/>
      <c r="E13" s="37"/>
      <c r="F13" s="37"/>
      <c r="G13" s="40"/>
      <c r="H13" s="2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2.75" customHeight="1">
      <c r="A14" s="42">
        <v>2.2</v>
      </c>
      <c r="B14" s="36" t="s">
        <v>18</v>
      </c>
      <c r="C14" s="37" t="s">
        <v>83</v>
      </c>
      <c r="D14" s="37"/>
      <c r="E14" s="37"/>
      <c r="F14" s="38"/>
      <c r="G14" s="39"/>
      <c r="H14" s="2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2.75" customHeight="1">
      <c r="A15" s="42" t="s">
        <v>19</v>
      </c>
      <c r="B15" s="36" t="s">
        <v>20</v>
      </c>
      <c r="C15" s="37" t="s">
        <v>83</v>
      </c>
      <c r="D15" s="37"/>
      <c r="E15" s="37"/>
      <c r="F15" s="37"/>
      <c r="G15" s="40"/>
      <c r="H15" s="2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2.75" customHeight="1">
      <c r="A16" s="42" t="s">
        <v>21</v>
      </c>
      <c r="B16" s="36" t="s">
        <v>22</v>
      </c>
      <c r="C16" s="37" t="s">
        <v>83</v>
      </c>
      <c r="D16" s="37"/>
      <c r="E16" s="37"/>
      <c r="F16" s="37"/>
      <c r="G16" s="40"/>
      <c r="H16" s="2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2.75" customHeight="1">
      <c r="A17" s="42" t="s">
        <v>23</v>
      </c>
      <c r="B17" s="36" t="s">
        <v>24</v>
      </c>
      <c r="C17" s="37" t="s">
        <v>83</v>
      </c>
      <c r="D17" s="37"/>
      <c r="E17" s="37"/>
      <c r="F17" s="38"/>
      <c r="G17" s="39"/>
      <c r="H17" s="2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2.75" customHeight="1">
      <c r="A18" s="42" t="s">
        <v>25</v>
      </c>
      <c r="B18" s="36" t="s">
        <v>26</v>
      </c>
      <c r="C18" s="37"/>
      <c r="D18" s="37" t="s">
        <v>83</v>
      </c>
      <c r="E18" s="37"/>
      <c r="F18" s="37"/>
      <c r="G18" s="40"/>
      <c r="H18" s="2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2.75" customHeight="1">
      <c r="A19" s="42" t="s">
        <v>27</v>
      </c>
      <c r="B19" s="36" t="s">
        <v>28</v>
      </c>
      <c r="C19" s="37" t="s">
        <v>83</v>
      </c>
      <c r="D19" s="37"/>
      <c r="E19" s="37"/>
      <c r="F19" s="38"/>
      <c r="G19" s="39"/>
      <c r="H19" s="2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75" customHeight="1">
      <c r="A20" s="42" t="s">
        <v>29</v>
      </c>
      <c r="B20" s="36" t="s">
        <v>30</v>
      </c>
      <c r="C20" s="37" t="s">
        <v>82</v>
      </c>
      <c r="D20" s="37"/>
      <c r="E20" s="37"/>
      <c r="F20" s="37"/>
      <c r="G20" s="40"/>
      <c r="H20" s="2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2.75" customHeight="1">
      <c r="A21" s="43" t="s">
        <v>31</v>
      </c>
      <c r="B21" s="44"/>
      <c r="C21" s="31" t="s">
        <v>4</v>
      </c>
      <c r="D21" s="31" t="s">
        <v>5</v>
      </c>
      <c r="E21" s="31" t="s">
        <v>6</v>
      </c>
      <c r="F21" s="32" t="s">
        <v>7</v>
      </c>
      <c r="G21" s="41" t="s">
        <v>8</v>
      </c>
      <c r="H21" s="4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2.75" customHeight="1">
      <c r="A22" s="45" t="s">
        <v>32</v>
      </c>
      <c r="B22" s="36" t="s">
        <v>33</v>
      </c>
      <c r="C22" s="37" t="s">
        <v>83</v>
      </c>
      <c r="D22" s="37"/>
      <c r="E22" s="37"/>
      <c r="F22" s="37"/>
      <c r="G22" s="40"/>
      <c r="H22" s="2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2.75" customHeight="1">
      <c r="A23" s="45" t="s">
        <v>34</v>
      </c>
      <c r="B23" s="46" t="s">
        <v>35</v>
      </c>
      <c r="C23" s="37" t="s">
        <v>83</v>
      </c>
      <c r="D23" s="37"/>
      <c r="E23" s="37"/>
      <c r="F23" s="37"/>
      <c r="G23" s="40"/>
      <c r="H23" s="2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2.75" customHeight="1">
      <c r="A24" s="45" t="s">
        <v>36</v>
      </c>
      <c r="B24" s="46" t="s">
        <v>37</v>
      </c>
      <c r="C24" s="37" t="s">
        <v>83</v>
      </c>
      <c r="D24" s="37"/>
      <c r="E24" s="37"/>
      <c r="F24" s="37"/>
      <c r="G24" s="40"/>
      <c r="H24" s="2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2.75" customHeight="1">
      <c r="A25" s="45" t="s">
        <v>38</v>
      </c>
      <c r="B25" s="46" t="s">
        <v>39</v>
      </c>
      <c r="C25" s="37" t="s">
        <v>83</v>
      </c>
      <c r="D25" s="37"/>
      <c r="E25" s="37"/>
      <c r="F25" s="37"/>
      <c r="G25" s="40"/>
      <c r="H25" s="2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2.75" customHeight="1">
      <c r="A26" s="45" t="s">
        <v>38</v>
      </c>
      <c r="B26" s="46" t="s">
        <v>40</v>
      </c>
      <c r="C26" s="37" t="s">
        <v>83</v>
      </c>
      <c r="D26" s="37"/>
      <c r="E26" s="37"/>
      <c r="F26" s="37"/>
      <c r="G26" s="40"/>
      <c r="H26" s="2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2.75" customHeight="1">
      <c r="A27" s="45" t="s">
        <v>41</v>
      </c>
      <c r="B27" s="46" t="s">
        <v>42</v>
      </c>
      <c r="C27" s="37" t="s">
        <v>83</v>
      </c>
      <c r="D27" s="37"/>
      <c r="E27" s="37"/>
      <c r="F27" s="37"/>
      <c r="G27" s="40"/>
      <c r="H27" s="2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2.75" customHeight="1">
      <c r="A28" s="45" t="s">
        <v>43</v>
      </c>
      <c r="B28" s="47" t="s">
        <v>44</v>
      </c>
      <c r="C28" s="37" t="s">
        <v>83</v>
      </c>
      <c r="D28" s="37"/>
      <c r="E28" s="37"/>
      <c r="F28" s="37"/>
      <c r="G28" s="40"/>
      <c r="H28" s="2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2.75" customHeight="1">
      <c r="A29" s="45" t="s">
        <v>45</v>
      </c>
      <c r="B29" s="46" t="s">
        <v>46</v>
      </c>
      <c r="C29" s="37" t="s">
        <v>83</v>
      </c>
      <c r="D29" s="37"/>
      <c r="E29" s="37"/>
      <c r="F29" s="37"/>
      <c r="G29" s="40"/>
      <c r="H29" s="2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2.75" customHeight="1">
      <c r="A30" s="45" t="s">
        <v>47</v>
      </c>
      <c r="B30" s="46" t="s">
        <v>48</v>
      </c>
      <c r="C30" s="37" t="s">
        <v>83</v>
      </c>
      <c r="D30" s="37"/>
      <c r="E30" s="37"/>
      <c r="F30" s="37"/>
      <c r="G30" s="40"/>
      <c r="H30" s="2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2.75" customHeight="1">
      <c r="A31" s="45" t="s">
        <v>49</v>
      </c>
      <c r="B31" s="46" t="s">
        <v>50</v>
      </c>
      <c r="C31" s="37" t="s">
        <v>83</v>
      </c>
      <c r="D31" s="37"/>
      <c r="E31" s="37"/>
      <c r="F31" s="38"/>
      <c r="G31" s="39"/>
      <c r="H31" s="2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2.75" customHeight="1">
      <c r="A32" s="45" t="s">
        <v>51</v>
      </c>
      <c r="B32" s="46" t="s">
        <v>52</v>
      </c>
      <c r="C32" s="37"/>
      <c r="D32" s="37" t="s">
        <v>83</v>
      </c>
      <c r="E32" s="37"/>
      <c r="F32" s="37"/>
      <c r="G32" s="40"/>
      <c r="H32" s="2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2.75" customHeight="1">
      <c r="A33" s="43" t="s">
        <v>53</v>
      </c>
      <c r="B33" s="44"/>
      <c r="C33" s="31" t="s">
        <v>4</v>
      </c>
      <c r="D33" s="31" t="s">
        <v>5</v>
      </c>
      <c r="E33" s="31" t="s">
        <v>6</v>
      </c>
      <c r="F33" s="32" t="s">
        <v>7</v>
      </c>
      <c r="G33" s="41" t="s">
        <v>8</v>
      </c>
      <c r="H33" s="4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2.75" customHeight="1">
      <c r="A34" s="42" t="s">
        <v>54</v>
      </c>
      <c r="B34" s="36" t="s">
        <v>55</v>
      </c>
      <c r="C34" s="37" t="s">
        <v>83</v>
      </c>
      <c r="D34" s="37"/>
      <c r="E34" s="37"/>
      <c r="F34" s="37"/>
      <c r="G34" s="40"/>
      <c r="H34" s="2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2.75" customHeight="1">
      <c r="A35" s="42" t="s">
        <v>56</v>
      </c>
      <c r="B35" s="36" t="s">
        <v>57</v>
      </c>
      <c r="C35" s="37" t="s">
        <v>83</v>
      </c>
      <c r="D35" s="37"/>
      <c r="E35" s="37"/>
      <c r="F35" s="37"/>
      <c r="G35" s="40"/>
      <c r="H35" s="2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2.75" customHeight="1">
      <c r="A36" s="42" t="s">
        <v>58</v>
      </c>
      <c r="B36" s="36" t="s">
        <v>39</v>
      </c>
      <c r="C36" s="37" t="s">
        <v>83</v>
      </c>
      <c r="D36" s="37"/>
      <c r="E36" s="37"/>
      <c r="F36" s="37"/>
      <c r="G36" s="40"/>
      <c r="H36" s="2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2.75" customHeight="1">
      <c r="A37" s="42" t="s">
        <v>59</v>
      </c>
      <c r="B37" s="36" t="s">
        <v>60</v>
      </c>
      <c r="C37" s="37" t="s">
        <v>83</v>
      </c>
      <c r="D37" s="37"/>
      <c r="E37" s="37"/>
      <c r="F37" s="37"/>
      <c r="G37" s="40"/>
      <c r="H37" s="2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2.75" customHeight="1">
      <c r="A38" s="42" t="s">
        <v>61</v>
      </c>
      <c r="B38" s="36" t="s">
        <v>62</v>
      </c>
      <c r="C38" s="37" t="s">
        <v>83</v>
      </c>
      <c r="D38" s="37"/>
      <c r="E38" s="37"/>
      <c r="F38" s="37"/>
      <c r="G38" s="40"/>
      <c r="H38" s="2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2.75" customHeight="1">
      <c r="A39" s="42" t="s">
        <v>63</v>
      </c>
      <c r="B39" s="36" t="s">
        <v>44</v>
      </c>
      <c r="C39" s="37" t="s">
        <v>83</v>
      </c>
      <c r="D39" s="37"/>
      <c r="E39" s="37"/>
      <c r="F39" s="37"/>
      <c r="G39" s="40"/>
      <c r="H39" s="2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2.75" customHeight="1">
      <c r="A40" s="42" t="s">
        <v>64</v>
      </c>
      <c r="B40" s="36" t="s">
        <v>65</v>
      </c>
      <c r="C40" s="37" t="s">
        <v>83</v>
      </c>
      <c r="D40" s="37"/>
      <c r="E40" s="37"/>
      <c r="F40" s="37"/>
      <c r="G40" s="40"/>
      <c r="H40" s="2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2.75" customHeight="1">
      <c r="A41" s="42" t="s">
        <v>66</v>
      </c>
      <c r="B41" s="36" t="s">
        <v>67</v>
      </c>
      <c r="C41" s="37" t="s">
        <v>82</v>
      </c>
      <c r="D41" s="37"/>
      <c r="E41" s="37"/>
      <c r="F41" s="37"/>
      <c r="G41" s="40"/>
      <c r="H41" s="2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2.75" customHeight="1">
      <c r="A42" s="43" t="s">
        <v>68</v>
      </c>
      <c r="B42" s="44"/>
      <c r="C42" s="31" t="s">
        <v>4</v>
      </c>
      <c r="D42" s="31" t="s">
        <v>5</v>
      </c>
      <c r="E42" s="31" t="s">
        <v>6</v>
      </c>
      <c r="F42" s="32" t="s">
        <v>7</v>
      </c>
      <c r="G42" s="41" t="s">
        <v>8</v>
      </c>
      <c r="H42" s="4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2.75" customHeight="1">
      <c r="A43" s="42" t="s">
        <v>69</v>
      </c>
      <c r="B43" s="36" t="s">
        <v>70</v>
      </c>
      <c r="C43" s="37" t="s">
        <v>82</v>
      </c>
      <c r="D43" s="37"/>
      <c r="E43" s="37"/>
      <c r="F43" s="37"/>
      <c r="G43" s="40"/>
      <c r="H43" s="2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2.75" customHeight="1">
      <c r="A44" s="42" t="s">
        <v>71</v>
      </c>
      <c r="B44" s="36" t="s">
        <v>72</v>
      </c>
      <c r="C44" s="37" t="s">
        <v>82</v>
      </c>
      <c r="D44" s="37"/>
      <c r="E44" s="37"/>
      <c r="F44" s="37"/>
      <c r="G44" s="40"/>
      <c r="H44" s="2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2.75" customHeight="1">
      <c r="A45" s="42" t="s">
        <v>73</v>
      </c>
      <c r="B45" s="36" t="s">
        <v>74</v>
      </c>
      <c r="C45" s="37" t="s">
        <v>82</v>
      </c>
      <c r="D45" s="37"/>
      <c r="E45" s="37"/>
      <c r="F45" s="48"/>
      <c r="G45" s="49"/>
      <c r="H45" s="2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2.75" customHeight="1">
      <c r="A46" s="42" t="s">
        <v>75</v>
      </c>
      <c r="B46" s="36" t="s">
        <v>76</v>
      </c>
      <c r="C46" s="37" t="s">
        <v>82</v>
      </c>
      <c r="D46" s="37"/>
      <c r="E46" s="37"/>
      <c r="F46" s="37"/>
      <c r="G46" s="40"/>
      <c r="H46" s="21"/>
      <c r="I46" s="5"/>
      <c r="J46" s="5"/>
      <c r="K46" s="50">
        <f>C48+D48+E48+F48</f>
        <v>35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2.75" customHeight="1">
      <c r="A47" s="42" t="s">
        <v>77</v>
      </c>
      <c r="B47" s="36" t="s">
        <v>78</v>
      </c>
      <c r="C47" s="37" t="s">
        <v>82</v>
      </c>
      <c r="D47" s="37"/>
      <c r="E47" s="37"/>
      <c r="F47" s="38"/>
      <c r="G47" s="39"/>
      <c r="H47" s="21"/>
      <c r="I47" s="5"/>
      <c r="J47" s="5"/>
      <c r="K47" s="50">
        <f>C48+D48+E48</f>
        <v>35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1" t="s">
        <v>79</v>
      </c>
      <c r="B48" s="23"/>
      <c r="C48" s="48">
        <f t="shared" ref="C48:F48" si="1">COUNTA((C9:C11),C13:C20,C22:C32,C34:C41,C43:C47)</f>
        <v>33</v>
      </c>
      <c r="D48" s="52">
        <f t="shared" si="1"/>
        <v>2</v>
      </c>
      <c r="E48" s="52">
        <f t="shared" si="1"/>
        <v>0</v>
      </c>
      <c r="F48" s="48">
        <f t="shared" si="1"/>
        <v>0</v>
      </c>
      <c r="G48" s="49"/>
      <c r="H48" s="21"/>
      <c r="I48" s="5"/>
      <c r="J48" s="5"/>
      <c r="K48" s="53">
        <f>E48/2</f>
        <v>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4"/>
      <c r="B49" s="55"/>
      <c r="C49" s="55"/>
      <c r="D49" s="55"/>
      <c r="E49" s="55"/>
      <c r="F49" s="55"/>
      <c r="G49" s="55"/>
      <c r="H49" s="5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57" t="s">
        <v>80</v>
      </c>
      <c r="H50" s="7"/>
      <c r="I50" s="5"/>
      <c r="J50" s="5"/>
      <c r="K50" s="58">
        <f>((K47-(D48+K48))/K47)</f>
        <v>0.9428571429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9"/>
      <c r="B51" s="60"/>
      <c r="C51" s="60"/>
      <c r="D51" s="60"/>
      <c r="E51" s="60"/>
      <c r="F51" s="60"/>
      <c r="G51" s="60"/>
      <c r="H51" s="6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2"/>
      <c r="B52" s="23"/>
      <c r="C52" s="23"/>
      <c r="D52" s="23"/>
      <c r="E52" s="23"/>
      <c r="F52" s="23"/>
      <c r="G52" s="23"/>
      <c r="H52" s="2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2"/>
      <c r="B53" s="23"/>
      <c r="C53" s="23"/>
      <c r="D53" s="23"/>
      <c r="E53" s="23"/>
      <c r="F53" s="23"/>
      <c r="G53" s="23"/>
      <c r="H53" s="2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2"/>
      <c r="B54" s="23"/>
      <c r="C54" s="23"/>
      <c r="D54" s="23"/>
      <c r="E54" s="23"/>
      <c r="F54" s="23"/>
      <c r="G54" s="23"/>
      <c r="H54" s="2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2"/>
      <c r="B55" s="23"/>
      <c r="C55" s="23"/>
      <c r="D55" s="23"/>
      <c r="E55" s="23"/>
      <c r="F55" s="23"/>
      <c r="G55" s="23"/>
      <c r="H55" s="2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7">
    <mergeCell ref="A54:H54"/>
    <mergeCell ref="A55:H55"/>
    <mergeCell ref="A48:B48"/>
    <mergeCell ref="G48:H48"/>
    <mergeCell ref="A49:H49"/>
    <mergeCell ref="A50:H50"/>
    <mergeCell ref="A51:H51"/>
    <mergeCell ref="A52:H52"/>
    <mergeCell ref="A53:H53"/>
    <mergeCell ref="A1:B4"/>
    <mergeCell ref="C1:H3"/>
    <mergeCell ref="C4:H4"/>
    <mergeCell ref="A5:B5"/>
    <mergeCell ref="C5:H5"/>
    <mergeCell ref="A6:B6"/>
    <mergeCell ref="C6:H6"/>
    <mergeCell ref="A7:B7"/>
    <mergeCell ref="A8:B8"/>
    <mergeCell ref="G9:H9"/>
    <mergeCell ref="G10:H10"/>
    <mergeCell ref="G11:H11"/>
    <mergeCell ref="A12:B12"/>
    <mergeCell ref="G13:H13"/>
    <mergeCell ref="G14:H14"/>
    <mergeCell ref="G15:H15"/>
    <mergeCell ref="G16:H16"/>
    <mergeCell ref="G17:H17"/>
    <mergeCell ref="G18:H18"/>
    <mergeCell ref="G19:H19"/>
    <mergeCell ref="A21:B21"/>
    <mergeCell ref="G20:H20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A33:B33"/>
    <mergeCell ref="G34:H34"/>
    <mergeCell ref="G41:H41"/>
    <mergeCell ref="G43:H43"/>
    <mergeCell ref="G44:H44"/>
    <mergeCell ref="G45:H45"/>
    <mergeCell ref="G46:H46"/>
    <mergeCell ref="G47:H47"/>
    <mergeCell ref="G35:H35"/>
    <mergeCell ref="G36:H36"/>
    <mergeCell ref="G37:H37"/>
    <mergeCell ref="G38:H38"/>
    <mergeCell ref="G39:H39"/>
    <mergeCell ref="G40:H40"/>
    <mergeCell ref="A42:B42"/>
  </mergeCells>
  <conditionalFormatting sqref="F9:G11 F13:G20 F22:G32 F34:G40 F43:G44 F46:G47">
    <cfRule type="cellIs" dxfId="0" priority="1" stopIfTrue="1" operator="equal">
      <formula>"X"</formula>
    </cfRule>
  </conditionalFormatting>
  <conditionalFormatting sqref="C7:G7">
    <cfRule type="cellIs" dxfId="1" priority="2" stopIfTrue="1" operator="between">
      <formula>0.95</formula>
      <formula>1</formula>
    </cfRule>
  </conditionalFormatting>
  <conditionalFormatting sqref="C7:G7">
    <cfRule type="cellIs" dxfId="2" priority="3" stopIfTrue="1" operator="between">
      <formula>0.9</formula>
      <formula>0.94</formula>
    </cfRule>
  </conditionalFormatting>
  <conditionalFormatting sqref="C7:G7">
    <cfRule type="cellIs" dxfId="3" priority="4" stopIfTrue="1" operator="between">
      <formula>0.01</formula>
      <formula>0.9</formula>
    </cfRule>
  </conditionalFormatting>
  <conditionalFormatting sqref="C9:C11">
    <cfRule type="cellIs" dxfId="1" priority="5" stopIfTrue="1" operator="equal">
      <formula>"X"</formula>
    </cfRule>
  </conditionalFormatting>
  <conditionalFormatting sqref="D9:D11">
    <cfRule type="cellIs" dxfId="3" priority="6" stopIfTrue="1" operator="equal">
      <formula>"X"</formula>
    </cfRule>
  </conditionalFormatting>
  <conditionalFormatting sqref="C13:C20">
    <cfRule type="cellIs" dxfId="1" priority="7" stopIfTrue="1" operator="equal">
      <formula>"X"</formula>
    </cfRule>
  </conditionalFormatting>
  <conditionalFormatting sqref="C22:C32">
    <cfRule type="cellIs" dxfId="1" priority="8" stopIfTrue="1" operator="equal">
      <formula>"X"</formula>
    </cfRule>
  </conditionalFormatting>
  <conditionalFormatting sqref="C34:C41">
    <cfRule type="cellIs" dxfId="1" priority="9" stopIfTrue="1" operator="equal">
      <formula>"X"</formula>
    </cfRule>
  </conditionalFormatting>
  <conditionalFormatting sqref="C43:C47">
    <cfRule type="cellIs" dxfId="1" priority="10" stopIfTrue="1" operator="equal">
      <formula>"X"</formula>
    </cfRule>
  </conditionalFormatting>
  <conditionalFormatting sqref="D13:D20">
    <cfRule type="cellIs" dxfId="3" priority="11" stopIfTrue="1" operator="equal">
      <formula>"X"</formula>
    </cfRule>
  </conditionalFormatting>
  <conditionalFormatting sqref="D22:D32">
    <cfRule type="cellIs" dxfId="3" priority="12" stopIfTrue="1" operator="equal">
      <formula>"X"</formula>
    </cfRule>
  </conditionalFormatting>
  <conditionalFormatting sqref="D34:D41">
    <cfRule type="cellIs" dxfId="3" priority="13" stopIfTrue="1" operator="equal">
      <formula>"X"</formula>
    </cfRule>
  </conditionalFormatting>
  <conditionalFormatting sqref="D43:D47">
    <cfRule type="cellIs" dxfId="3" priority="14" stopIfTrue="1" operator="equal">
      <formula>"X"</formula>
    </cfRule>
  </conditionalFormatting>
  <conditionalFormatting sqref="E43:E47">
    <cfRule type="cellIs" dxfId="2" priority="15" stopIfTrue="1" operator="equal">
      <formula>"X"</formula>
    </cfRule>
  </conditionalFormatting>
  <conditionalFormatting sqref="E9">
    <cfRule type="cellIs" dxfId="2" priority="16" stopIfTrue="1" operator="equal">
      <formula>"X"</formula>
    </cfRule>
  </conditionalFormatting>
  <conditionalFormatting sqref="E10:E11">
    <cfRule type="cellIs" dxfId="2" priority="17" stopIfTrue="1" operator="equal">
      <formula>"X"</formula>
    </cfRule>
  </conditionalFormatting>
  <conditionalFormatting sqref="E13:E20">
    <cfRule type="cellIs" dxfId="2" priority="18" stopIfTrue="1" operator="equal">
      <formula>"X"</formula>
    </cfRule>
  </conditionalFormatting>
  <conditionalFormatting sqref="E22:E32">
    <cfRule type="cellIs" dxfId="2" priority="19" stopIfTrue="1" operator="equal">
      <formula>"X"</formula>
    </cfRule>
  </conditionalFormatting>
  <conditionalFormatting sqref="E34:E41">
    <cfRule type="cellIs" dxfId="2" priority="20" stopIfTrue="1" operator="equal">
      <formula>"X"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8.29"/>
    <col customWidth="1" min="3" max="8" width="12.0"/>
    <col customWidth="1" min="9" max="10" width="12.43"/>
    <col customWidth="1" hidden="1" min="11" max="11" width="12.43"/>
    <col customWidth="1" min="12" max="26" width="12.43"/>
  </cols>
  <sheetData>
    <row r="1" ht="24.0" customHeight="1">
      <c r="A1" s="1"/>
      <c r="B1" s="2"/>
      <c r="C1" s="3" t="s">
        <v>0</v>
      </c>
      <c r="D1" s="4"/>
      <c r="E1" s="4"/>
      <c r="F1" s="4"/>
      <c r="G1" s="4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6"/>
      <c r="B2" s="7"/>
      <c r="C2" s="6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6"/>
      <c r="B3" s="7"/>
      <c r="C3" s="6"/>
      <c r="H3" s="7"/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10"/>
      <c r="B4" s="11"/>
      <c r="C4" s="12"/>
      <c r="D4" s="13"/>
      <c r="E4" s="13"/>
      <c r="F4" s="13"/>
      <c r="G4" s="13"/>
      <c r="H4" s="11"/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14" t="s">
        <v>84</v>
      </c>
      <c r="B5" s="15"/>
      <c r="C5" s="16"/>
      <c r="D5" s="17"/>
      <c r="E5" s="17"/>
      <c r="F5" s="17"/>
      <c r="G5" s="17"/>
      <c r="H5" s="18"/>
      <c r="I5" s="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0" customHeight="1">
      <c r="A6" s="20">
        <v>45752.0</v>
      </c>
      <c r="B6" s="21"/>
      <c r="C6" s="22"/>
      <c r="D6" s="23"/>
      <c r="E6" s="23"/>
      <c r="F6" s="23"/>
      <c r="G6" s="23"/>
      <c r="H6" s="24"/>
      <c r="I6" s="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25" t="s">
        <v>2</v>
      </c>
      <c r="B7" s="21"/>
      <c r="C7" s="26">
        <f>K50</f>
        <v>0.9714285714</v>
      </c>
      <c r="D7" s="27"/>
      <c r="E7" s="27"/>
      <c r="F7" s="27"/>
      <c r="G7" s="27"/>
      <c r="H7" s="28"/>
      <c r="I7" s="29"/>
      <c r="J7" s="29"/>
      <c r="K7" s="2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75" customHeight="1">
      <c r="A8" s="30" t="s">
        <v>3</v>
      </c>
      <c r="B8" s="21"/>
      <c r="C8" s="31" t="s">
        <v>4</v>
      </c>
      <c r="D8" s="31" t="s">
        <v>5</v>
      </c>
      <c r="E8" s="31" t="s">
        <v>6</v>
      </c>
      <c r="F8" s="32" t="s">
        <v>7</v>
      </c>
      <c r="G8" s="33" t="s">
        <v>8</v>
      </c>
      <c r="H8" s="3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75" customHeight="1">
      <c r="A9" s="35" t="s">
        <v>9</v>
      </c>
      <c r="B9" s="36" t="s">
        <v>10</v>
      </c>
      <c r="C9" s="37" t="s">
        <v>83</v>
      </c>
      <c r="D9" s="37"/>
      <c r="E9" s="37"/>
      <c r="F9" s="38"/>
      <c r="G9" s="39"/>
      <c r="H9" s="2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.75" customHeight="1">
      <c r="A10" s="35" t="s">
        <v>11</v>
      </c>
      <c r="B10" s="36" t="s">
        <v>12</v>
      </c>
      <c r="C10" s="37" t="s">
        <v>83</v>
      </c>
      <c r="D10" s="37"/>
      <c r="E10" s="37"/>
      <c r="F10" s="37"/>
      <c r="G10" s="40"/>
      <c r="H10" s="2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2.75" customHeight="1">
      <c r="A11" s="35" t="s">
        <v>13</v>
      </c>
      <c r="B11" s="36" t="s">
        <v>14</v>
      </c>
      <c r="C11" s="37" t="s">
        <v>83</v>
      </c>
      <c r="D11" s="37"/>
      <c r="E11" s="37"/>
      <c r="F11" s="37"/>
      <c r="G11" s="40"/>
      <c r="H11" s="2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2.75" customHeight="1">
      <c r="A12" s="30" t="s">
        <v>15</v>
      </c>
      <c r="B12" s="21"/>
      <c r="C12" s="31" t="s">
        <v>4</v>
      </c>
      <c r="D12" s="31" t="s">
        <v>5</v>
      </c>
      <c r="E12" s="31" t="s">
        <v>6</v>
      </c>
      <c r="F12" s="32" t="s">
        <v>7</v>
      </c>
      <c r="G12" s="41" t="s">
        <v>8</v>
      </c>
      <c r="H12" s="4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2.75" customHeight="1">
      <c r="A13" s="42" t="s">
        <v>16</v>
      </c>
      <c r="B13" s="36" t="s">
        <v>17</v>
      </c>
      <c r="C13" s="37" t="s">
        <v>83</v>
      </c>
      <c r="D13" s="37"/>
      <c r="E13" s="37"/>
      <c r="F13" s="37"/>
      <c r="G13" s="40"/>
      <c r="H13" s="2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2.75" customHeight="1">
      <c r="A14" s="42">
        <v>2.2</v>
      </c>
      <c r="B14" s="36" t="s">
        <v>18</v>
      </c>
      <c r="C14" s="37" t="s">
        <v>83</v>
      </c>
      <c r="D14" s="37"/>
      <c r="E14" s="37"/>
      <c r="F14" s="38"/>
      <c r="G14" s="39"/>
      <c r="H14" s="2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2.75" customHeight="1">
      <c r="A15" s="42" t="s">
        <v>19</v>
      </c>
      <c r="B15" s="36" t="s">
        <v>20</v>
      </c>
      <c r="C15" s="37" t="s">
        <v>83</v>
      </c>
      <c r="D15" s="37"/>
      <c r="E15" s="37"/>
      <c r="F15" s="37"/>
      <c r="G15" s="40"/>
      <c r="H15" s="2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2.75" customHeight="1">
      <c r="A16" s="42" t="s">
        <v>21</v>
      </c>
      <c r="B16" s="36" t="s">
        <v>22</v>
      </c>
      <c r="C16" s="37" t="s">
        <v>83</v>
      </c>
      <c r="D16" s="37"/>
      <c r="E16" s="37"/>
      <c r="F16" s="37"/>
      <c r="G16" s="40"/>
      <c r="H16" s="2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2.75" customHeight="1">
      <c r="A17" s="42" t="s">
        <v>23</v>
      </c>
      <c r="B17" s="36" t="s">
        <v>24</v>
      </c>
      <c r="C17" s="37" t="s">
        <v>83</v>
      </c>
      <c r="D17" s="37"/>
      <c r="E17" s="37"/>
      <c r="F17" s="38"/>
      <c r="G17" s="39"/>
      <c r="H17" s="2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2.75" customHeight="1">
      <c r="A18" s="42" t="s">
        <v>25</v>
      </c>
      <c r="B18" s="36" t="s">
        <v>26</v>
      </c>
      <c r="C18" s="37"/>
      <c r="D18" s="37" t="s">
        <v>83</v>
      </c>
      <c r="E18" s="37"/>
      <c r="F18" s="37"/>
      <c r="G18" s="40"/>
      <c r="H18" s="2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2.75" customHeight="1">
      <c r="A19" s="42" t="s">
        <v>27</v>
      </c>
      <c r="B19" s="36" t="s">
        <v>28</v>
      </c>
      <c r="C19" s="37" t="s">
        <v>82</v>
      </c>
      <c r="D19" s="37"/>
      <c r="E19" s="37"/>
      <c r="F19" s="38"/>
      <c r="G19" s="39"/>
      <c r="H19" s="2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75" customHeight="1">
      <c r="A20" s="42" t="s">
        <v>29</v>
      </c>
      <c r="B20" s="36" t="s">
        <v>30</v>
      </c>
      <c r="C20" s="37" t="s">
        <v>83</v>
      </c>
      <c r="D20" s="37"/>
      <c r="E20" s="37"/>
      <c r="F20" s="37"/>
      <c r="G20" s="40"/>
      <c r="H20" s="2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2.75" customHeight="1">
      <c r="A21" s="43" t="s">
        <v>31</v>
      </c>
      <c r="B21" s="44"/>
      <c r="C21" s="31" t="s">
        <v>4</v>
      </c>
      <c r="D21" s="31" t="s">
        <v>5</v>
      </c>
      <c r="E21" s="31" t="s">
        <v>6</v>
      </c>
      <c r="F21" s="32" t="s">
        <v>7</v>
      </c>
      <c r="G21" s="41" t="s">
        <v>8</v>
      </c>
      <c r="H21" s="4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2.75" customHeight="1">
      <c r="A22" s="45" t="s">
        <v>32</v>
      </c>
      <c r="B22" s="36" t="s">
        <v>33</v>
      </c>
      <c r="C22" s="37" t="s">
        <v>83</v>
      </c>
      <c r="D22" s="37"/>
      <c r="E22" s="37"/>
      <c r="F22" s="37"/>
      <c r="G22" s="40"/>
      <c r="H22" s="2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2.75" customHeight="1">
      <c r="A23" s="45" t="s">
        <v>34</v>
      </c>
      <c r="B23" s="46" t="s">
        <v>35</v>
      </c>
      <c r="C23" s="37" t="s">
        <v>83</v>
      </c>
      <c r="D23" s="37"/>
      <c r="E23" s="37"/>
      <c r="F23" s="37"/>
      <c r="G23" s="40"/>
      <c r="H23" s="2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2.75" customHeight="1">
      <c r="A24" s="45" t="s">
        <v>36</v>
      </c>
      <c r="B24" s="46" t="s">
        <v>37</v>
      </c>
      <c r="C24" s="37" t="s">
        <v>83</v>
      </c>
      <c r="D24" s="37"/>
      <c r="E24" s="37"/>
      <c r="F24" s="37"/>
      <c r="G24" s="40"/>
      <c r="H24" s="2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2.75" customHeight="1">
      <c r="A25" s="45" t="s">
        <v>38</v>
      </c>
      <c r="B25" s="46" t="s">
        <v>39</v>
      </c>
      <c r="C25" s="37" t="s">
        <v>83</v>
      </c>
      <c r="D25" s="37"/>
      <c r="E25" s="37"/>
      <c r="F25" s="37"/>
      <c r="G25" s="40"/>
      <c r="H25" s="2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2.75" customHeight="1">
      <c r="A26" s="45" t="s">
        <v>38</v>
      </c>
      <c r="B26" s="46" t="s">
        <v>40</v>
      </c>
      <c r="C26" s="37" t="s">
        <v>83</v>
      </c>
      <c r="D26" s="37"/>
      <c r="E26" s="37"/>
      <c r="F26" s="37"/>
      <c r="G26" s="40"/>
      <c r="H26" s="2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2.75" customHeight="1">
      <c r="A27" s="45" t="s">
        <v>41</v>
      </c>
      <c r="B27" s="46" t="s">
        <v>42</v>
      </c>
      <c r="C27" s="37" t="s">
        <v>83</v>
      </c>
      <c r="D27" s="37"/>
      <c r="E27" s="37"/>
      <c r="F27" s="37"/>
      <c r="G27" s="40"/>
      <c r="H27" s="2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2.75" customHeight="1">
      <c r="A28" s="45" t="s">
        <v>43</v>
      </c>
      <c r="B28" s="47" t="s">
        <v>44</v>
      </c>
      <c r="C28" s="37" t="s">
        <v>83</v>
      </c>
      <c r="D28" s="37"/>
      <c r="E28" s="37"/>
      <c r="F28" s="37"/>
      <c r="G28" s="40"/>
      <c r="H28" s="2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2.75" customHeight="1">
      <c r="A29" s="45" t="s">
        <v>45</v>
      </c>
      <c r="B29" s="46" t="s">
        <v>46</v>
      </c>
      <c r="C29" s="37" t="s">
        <v>83</v>
      </c>
      <c r="D29" s="37"/>
      <c r="E29" s="37"/>
      <c r="F29" s="37"/>
      <c r="G29" s="40"/>
      <c r="H29" s="2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2.75" customHeight="1">
      <c r="A30" s="45" t="s">
        <v>47</v>
      </c>
      <c r="B30" s="46" t="s">
        <v>48</v>
      </c>
      <c r="C30" s="37" t="s">
        <v>83</v>
      </c>
      <c r="D30" s="37"/>
      <c r="E30" s="37"/>
      <c r="F30" s="37"/>
      <c r="G30" s="40"/>
      <c r="H30" s="2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2.75" customHeight="1">
      <c r="A31" s="45" t="s">
        <v>49</v>
      </c>
      <c r="B31" s="46" t="s">
        <v>50</v>
      </c>
      <c r="C31" s="37" t="s">
        <v>83</v>
      </c>
      <c r="D31" s="37"/>
      <c r="E31" s="37"/>
      <c r="F31" s="38"/>
      <c r="G31" s="39"/>
      <c r="H31" s="2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2.75" customHeight="1">
      <c r="A32" s="45" t="s">
        <v>51</v>
      </c>
      <c r="B32" s="46" t="s">
        <v>52</v>
      </c>
      <c r="C32" s="37" t="s">
        <v>82</v>
      </c>
      <c r="D32" s="37"/>
      <c r="E32" s="37"/>
      <c r="F32" s="37"/>
      <c r="G32" s="40"/>
      <c r="H32" s="2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2.75" customHeight="1">
      <c r="A33" s="43" t="s">
        <v>53</v>
      </c>
      <c r="B33" s="44"/>
      <c r="C33" s="31" t="s">
        <v>4</v>
      </c>
      <c r="D33" s="31" t="s">
        <v>5</v>
      </c>
      <c r="E33" s="31" t="s">
        <v>6</v>
      </c>
      <c r="F33" s="32" t="s">
        <v>7</v>
      </c>
      <c r="G33" s="41" t="s">
        <v>8</v>
      </c>
      <c r="H33" s="4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2.75" customHeight="1">
      <c r="A34" s="42" t="s">
        <v>54</v>
      </c>
      <c r="B34" s="36" t="s">
        <v>55</v>
      </c>
      <c r="C34" s="37" t="s">
        <v>83</v>
      </c>
      <c r="D34" s="37"/>
      <c r="E34" s="37"/>
      <c r="F34" s="37"/>
      <c r="G34" s="40"/>
      <c r="H34" s="2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2.75" customHeight="1">
      <c r="A35" s="42" t="s">
        <v>56</v>
      </c>
      <c r="B35" s="36" t="s">
        <v>57</v>
      </c>
      <c r="C35" s="37" t="s">
        <v>83</v>
      </c>
      <c r="D35" s="37"/>
      <c r="E35" s="37"/>
      <c r="F35" s="37"/>
      <c r="G35" s="40"/>
      <c r="H35" s="2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2.75" customHeight="1">
      <c r="A36" s="42" t="s">
        <v>58</v>
      </c>
      <c r="B36" s="36" t="s">
        <v>39</v>
      </c>
      <c r="C36" s="37" t="s">
        <v>83</v>
      </c>
      <c r="D36" s="37"/>
      <c r="E36" s="37"/>
      <c r="F36" s="37"/>
      <c r="G36" s="40"/>
      <c r="H36" s="2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2.75" customHeight="1">
      <c r="A37" s="42" t="s">
        <v>59</v>
      </c>
      <c r="B37" s="36" t="s">
        <v>60</v>
      </c>
      <c r="C37" s="37" t="s">
        <v>83</v>
      </c>
      <c r="D37" s="37"/>
      <c r="E37" s="37"/>
      <c r="F37" s="37"/>
      <c r="G37" s="40"/>
      <c r="H37" s="2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2.75" customHeight="1">
      <c r="A38" s="42" t="s">
        <v>61</v>
      </c>
      <c r="B38" s="36" t="s">
        <v>62</v>
      </c>
      <c r="C38" s="37" t="s">
        <v>83</v>
      </c>
      <c r="D38" s="37"/>
      <c r="E38" s="37"/>
      <c r="F38" s="37"/>
      <c r="G38" s="40"/>
      <c r="H38" s="2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2.75" customHeight="1">
      <c r="A39" s="42" t="s">
        <v>63</v>
      </c>
      <c r="B39" s="36" t="s">
        <v>44</v>
      </c>
      <c r="C39" s="37" t="s">
        <v>83</v>
      </c>
      <c r="D39" s="37"/>
      <c r="E39" s="37"/>
      <c r="F39" s="37"/>
      <c r="G39" s="40"/>
      <c r="H39" s="2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2.75" customHeight="1">
      <c r="A40" s="42" t="s">
        <v>64</v>
      </c>
      <c r="B40" s="36" t="s">
        <v>65</v>
      </c>
      <c r="C40" s="37" t="s">
        <v>83</v>
      </c>
      <c r="D40" s="37"/>
      <c r="E40" s="37"/>
      <c r="F40" s="37"/>
      <c r="G40" s="40"/>
      <c r="H40" s="2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2.75" customHeight="1">
      <c r="A41" s="42" t="s">
        <v>66</v>
      </c>
      <c r="B41" s="36" t="s">
        <v>67</v>
      </c>
      <c r="C41" s="37" t="s">
        <v>83</v>
      </c>
      <c r="D41" s="37"/>
      <c r="E41" s="37"/>
      <c r="F41" s="37"/>
      <c r="G41" s="40"/>
      <c r="H41" s="2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2.75" customHeight="1">
      <c r="A42" s="43" t="s">
        <v>68</v>
      </c>
      <c r="B42" s="44"/>
      <c r="C42" s="31" t="s">
        <v>4</v>
      </c>
      <c r="D42" s="31" t="s">
        <v>5</v>
      </c>
      <c r="E42" s="31" t="s">
        <v>6</v>
      </c>
      <c r="F42" s="32" t="s">
        <v>7</v>
      </c>
      <c r="G42" s="41" t="s">
        <v>8</v>
      </c>
      <c r="H42" s="4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2.75" customHeight="1">
      <c r="A43" s="42" t="s">
        <v>69</v>
      </c>
      <c r="B43" s="36" t="s">
        <v>70</v>
      </c>
      <c r="C43" s="37" t="s">
        <v>83</v>
      </c>
      <c r="D43" s="37"/>
      <c r="E43" s="37"/>
      <c r="F43" s="37"/>
      <c r="G43" s="40"/>
      <c r="H43" s="2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2.75" customHeight="1">
      <c r="A44" s="42" t="s">
        <v>71</v>
      </c>
      <c r="B44" s="36" t="s">
        <v>72</v>
      </c>
      <c r="C44" s="37" t="s">
        <v>83</v>
      </c>
      <c r="D44" s="37"/>
      <c r="E44" s="37"/>
      <c r="F44" s="37"/>
      <c r="G44" s="40"/>
      <c r="H44" s="2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2.75" customHeight="1">
      <c r="A45" s="42" t="s">
        <v>73</v>
      </c>
      <c r="B45" s="36" t="s">
        <v>74</v>
      </c>
      <c r="C45" s="37" t="s">
        <v>83</v>
      </c>
      <c r="D45" s="37"/>
      <c r="E45" s="37"/>
      <c r="F45" s="48"/>
      <c r="G45" s="49"/>
      <c r="H45" s="2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2.75" customHeight="1">
      <c r="A46" s="42" t="s">
        <v>75</v>
      </c>
      <c r="B46" s="36" t="s">
        <v>76</v>
      </c>
      <c r="C46" s="37" t="s">
        <v>83</v>
      </c>
      <c r="D46" s="37"/>
      <c r="E46" s="37"/>
      <c r="F46" s="37"/>
      <c r="G46" s="40"/>
      <c r="H46" s="21"/>
      <c r="I46" s="5"/>
      <c r="J46" s="5"/>
      <c r="K46" s="50">
        <f>C48+D48+E48+F48</f>
        <v>35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2.75" customHeight="1">
      <c r="A47" s="42" t="s">
        <v>77</v>
      </c>
      <c r="B47" s="36" t="s">
        <v>78</v>
      </c>
      <c r="C47" s="37" t="s">
        <v>83</v>
      </c>
      <c r="D47" s="37"/>
      <c r="E47" s="37"/>
      <c r="F47" s="38"/>
      <c r="G47" s="39"/>
      <c r="H47" s="21"/>
      <c r="I47" s="5"/>
      <c r="J47" s="5"/>
      <c r="K47" s="50">
        <f>C48+D48+E48</f>
        <v>35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1" t="s">
        <v>79</v>
      </c>
      <c r="B48" s="23"/>
      <c r="C48" s="48">
        <f t="shared" ref="C48:F48" si="1">COUNTA((C9:C11),C13:C20,C22:C32,C34:C41,C43:C47)</f>
        <v>34</v>
      </c>
      <c r="D48" s="52">
        <f t="shared" si="1"/>
        <v>1</v>
      </c>
      <c r="E48" s="52">
        <f t="shared" si="1"/>
        <v>0</v>
      </c>
      <c r="F48" s="48">
        <f t="shared" si="1"/>
        <v>0</v>
      </c>
      <c r="G48" s="49"/>
      <c r="H48" s="21"/>
      <c r="I48" s="5"/>
      <c r="J48" s="5"/>
      <c r="K48" s="53">
        <f>E48/2</f>
        <v>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4"/>
      <c r="B49" s="55"/>
      <c r="C49" s="55"/>
      <c r="D49" s="55"/>
      <c r="E49" s="55"/>
      <c r="F49" s="55"/>
      <c r="G49" s="55"/>
      <c r="H49" s="5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57" t="s">
        <v>80</v>
      </c>
      <c r="H50" s="7"/>
      <c r="I50" s="5"/>
      <c r="J50" s="5"/>
      <c r="K50" s="58">
        <f>((K47-(D48+K48))/K47)</f>
        <v>0.9714285714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9"/>
      <c r="B51" s="60"/>
      <c r="C51" s="60"/>
      <c r="D51" s="60"/>
      <c r="E51" s="60"/>
      <c r="F51" s="60"/>
      <c r="G51" s="60"/>
      <c r="H51" s="6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2"/>
      <c r="B52" s="23"/>
      <c r="C52" s="23"/>
      <c r="D52" s="23"/>
      <c r="E52" s="23"/>
      <c r="F52" s="23"/>
      <c r="G52" s="23"/>
      <c r="H52" s="2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2"/>
      <c r="B53" s="23"/>
      <c r="C53" s="23"/>
      <c r="D53" s="23"/>
      <c r="E53" s="23"/>
      <c r="F53" s="23"/>
      <c r="G53" s="23"/>
      <c r="H53" s="2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2"/>
      <c r="B54" s="23"/>
      <c r="C54" s="23"/>
      <c r="D54" s="23"/>
      <c r="E54" s="23"/>
      <c r="F54" s="23"/>
      <c r="G54" s="23"/>
      <c r="H54" s="2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2"/>
      <c r="B55" s="23"/>
      <c r="C55" s="23"/>
      <c r="D55" s="23"/>
      <c r="E55" s="23"/>
      <c r="F55" s="23"/>
      <c r="G55" s="23"/>
      <c r="H55" s="2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7">
    <mergeCell ref="A54:H54"/>
    <mergeCell ref="A55:H55"/>
    <mergeCell ref="A48:B48"/>
    <mergeCell ref="G48:H48"/>
    <mergeCell ref="A49:H49"/>
    <mergeCell ref="A50:H50"/>
    <mergeCell ref="A51:H51"/>
    <mergeCell ref="A52:H52"/>
    <mergeCell ref="A53:H53"/>
    <mergeCell ref="A1:B4"/>
    <mergeCell ref="C1:H3"/>
    <mergeCell ref="C4:H4"/>
    <mergeCell ref="A5:B5"/>
    <mergeCell ref="C5:H5"/>
    <mergeCell ref="A6:B6"/>
    <mergeCell ref="C6:H6"/>
    <mergeCell ref="A7:B7"/>
    <mergeCell ref="A8:B8"/>
    <mergeCell ref="G9:H9"/>
    <mergeCell ref="G10:H10"/>
    <mergeCell ref="G11:H11"/>
    <mergeCell ref="A12:B12"/>
    <mergeCell ref="G13:H13"/>
    <mergeCell ref="G14:H14"/>
    <mergeCell ref="G15:H15"/>
    <mergeCell ref="G16:H16"/>
    <mergeCell ref="G17:H17"/>
    <mergeCell ref="G18:H18"/>
    <mergeCell ref="G19:H19"/>
    <mergeCell ref="A21:B21"/>
    <mergeCell ref="G20:H20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A33:B33"/>
    <mergeCell ref="G34:H34"/>
    <mergeCell ref="G41:H41"/>
    <mergeCell ref="G43:H43"/>
    <mergeCell ref="G44:H44"/>
    <mergeCell ref="G45:H45"/>
    <mergeCell ref="G46:H46"/>
    <mergeCell ref="G47:H47"/>
    <mergeCell ref="G35:H35"/>
    <mergeCell ref="G36:H36"/>
    <mergeCell ref="G37:H37"/>
    <mergeCell ref="G38:H38"/>
    <mergeCell ref="G39:H39"/>
    <mergeCell ref="G40:H40"/>
    <mergeCell ref="A42:B42"/>
  </mergeCells>
  <conditionalFormatting sqref="F9:G11 F13:G20 F22:G32 F34:G40 F43:G44 F46:G47">
    <cfRule type="cellIs" dxfId="0" priority="1" stopIfTrue="1" operator="equal">
      <formula>"X"</formula>
    </cfRule>
  </conditionalFormatting>
  <conditionalFormatting sqref="C7:G7">
    <cfRule type="cellIs" dxfId="1" priority="2" stopIfTrue="1" operator="between">
      <formula>0.95</formula>
      <formula>1</formula>
    </cfRule>
  </conditionalFormatting>
  <conditionalFormatting sqref="C7:G7">
    <cfRule type="cellIs" dxfId="2" priority="3" stopIfTrue="1" operator="between">
      <formula>0.9</formula>
      <formula>0.94</formula>
    </cfRule>
  </conditionalFormatting>
  <conditionalFormatting sqref="C7:G7">
    <cfRule type="cellIs" dxfId="3" priority="4" stopIfTrue="1" operator="between">
      <formula>0.01</formula>
      <formula>0.9</formula>
    </cfRule>
  </conditionalFormatting>
  <conditionalFormatting sqref="C9:C11">
    <cfRule type="cellIs" dxfId="1" priority="5" stopIfTrue="1" operator="equal">
      <formula>"X"</formula>
    </cfRule>
  </conditionalFormatting>
  <conditionalFormatting sqref="D9:D11">
    <cfRule type="cellIs" dxfId="3" priority="6" stopIfTrue="1" operator="equal">
      <formula>"X"</formula>
    </cfRule>
  </conditionalFormatting>
  <conditionalFormatting sqref="C13:C20">
    <cfRule type="cellIs" dxfId="1" priority="7" stopIfTrue="1" operator="equal">
      <formula>"X"</formula>
    </cfRule>
  </conditionalFormatting>
  <conditionalFormatting sqref="C22:C32">
    <cfRule type="cellIs" dxfId="1" priority="8" stopIfTrue="1" operator="equal">
      <formula>"X"</formula>
    </cfRule>
  </conditionalFormatting>
  <conditionalFormatting sqref="C34:C41">
    <cfRule type="cellIs" dxfId="1" priority="9" stopIfTrue="1" operator="equal">
      <formula>"X"</formula>
    </cfRule>
  </conditionalFormatting>
  <conditionalFormatting sqref="C43:C47">
    <cfRule type="cellIs" dxfId="1" priority="10" stopIfTrue="1" operator="equal">
      <formula>"X"</formula>
    </cfRule>
  </conditionalFormatting>
  <conditionalFormatting sqref="D13:D20">
    <cfRule type="cellIs" dxfId="3" priority="11" stopIfTrue="1" operator="equal">
      <formula>"X"</formula>
    </cfRule>
  </conditionalFormatting>
  <conditionalFormatting sqref="D22:D32">
    <cfRule type="cellIs" dxfId="3" priority="12" stopIfTrue="1" operator="equal">
      <formula>"X"</formula>
    </cfRule>
  </conditionalFormatting>
  <conditionalFormatting sqref="D34:D41">
    <cfRule type="cellIs" dxfId="3" priority="13" stopIfTrue="1" operator="equal">
      <formula>"X"</formula>
    </cfRule>
  </conditionalFormatting>
  <conditionalFormatting sqref="D43:D47">
    <cfRule type="cellIs" dxfId="3" priority="14" stopIfTrue="1" operator="equal">
      <formula>"X"</formula>
    </cfRule>
  </conditionalFormatting>
  <conditionalFormatting sqref="E43:E47">
    <cfRule type="cellIs" dxfId="2" priority="15" stopIfTrue="1" operator="equal">
      <formula>"X"</formula>
    </cfRule>
  </conditionalFormatting>
  <conditionalFormatting sqref="E9">
    <cfRule type="cellIs" dxfId="2" priority="16" stopIfTrue="1" operator="equal">
      <formula>"X"</formula>
    </cfRule>
  </conditionalFormatting>
  <conditionalFormatting sqref="E10:E11">
    <cfRule type="cellIs" dxfId="2" priority="17" stopIfTrue="1" operator="equal">
      <formula>"X"</formula>
    </cfRule>
  </conditionalFormatting>
  <conditionalFormatting sqref="E13:E20">
    <cfRule type="cellIs" dxfId="2" priority="18" stopIfTrue="1" operator="equal">
      <formula>"X"</formula>
    </cfRule>
  </conditionalFormatting>
  <conditionalFormatting sqref="E22:E32">
    <cfRule type="cellIs" dxfId="2" priority="19" stopIfTrue="1" operator="equal">
      <formula>"X"</formula>
    </cfRule>
  </conditionalFormatting>
  <conditionalFormatting sqref="E34:E41">
    <cfRule type="cellIs" dxfId="2" priority="20" stopIfTrue="1" operator="equal">
      <formula>"X"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2010-09-22T20:59:55Z</dcterms:created>
  <dc:creator>Lfcontreras</dc:creator>
</cp:coreProperties>
</file>