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ENERO 2025" sheetId="2" r:id="rId5"/>
    <sheet state="visible" name="JUNIO2025" sheetId="3" r:id="rId6"/>
    <sheet state="visible" name="DICIEMBRE2025" sheetId="4" r:id="rId7"/>
  </sheets>
  <definedNames/>
  <calcPr/>
  <extLst>
    <ext uri="GoogleSheetsCustomDataVersion2">
      <go:sheetsCustomData xmlns:go="http://customooxmlschemas.google.com/" r:id="rId8" roundtripDataChecksum="C+DGgQ+ZloiM9U/3+WmfOFtoPyaljuP/JiLJ2IhUWgg="/>
    </ext>
  </extLst>
</workbook>
</file>

<file path=xl/sharedStrings.xml><?xml version="1.0" encoding="utf-8"?>
<sst xmlns="http://schemas.openxmlformats.org/spreadsheetml/2006/main" count="250" uniqueCount="79">
  <si>
    <t>MEDICIÓN ADHERENCIA BIOSEGURIDAD</t>
  </si>
  <si>
    <t>Fecha:___________________</t>
  </si>
  <si>
    <t>Aspecto a evaluar</t>
  </si>
  <si>
    <t xml:space="preserve">SI </t>
  </si>
  <si>
    <t xml:space="preserve">NO </t>
  </si>
  <si>
    <t xml:space="preserve">A veces </t>
  </si>
  <si>
    <t xml:space="preserve">Observación </t>
  </si>
  <si>
    <t>¿Existe manual de bioseguridad y es conocido por el personal?</t>
  </si>
  <si>
    <t>¿Se tiene en cuenta que la sangre y la saliva de cualquier paciente atendido en odontología y/o medicina general, deben ser consideradas como potencialmente contaminadas y por consiguiente de RIESGO ALTO (para VIH, Hepatitis B y C y otros) y se adoptan las medidas de bioseguridad necesarias para prevenir accidentes de tipo laboral?</t>
  </si>
  <si>
    <t>¿El personal que labora tiene esquema completo de inmunización para hepatitis B, influenza y tétano?</t>
  </si>
  <si>
    <t>¿El personal asistencial utiliza los elementos de protección personal durante la atencion (gorro, bata, guantes, tapabocas, gafas, visores)?</t>
  </si>
  <si>
    <t>¿El personal se cambia los guantes entre paciente y paciente?</t>
  </si>
  <si>
    <t>¿Realiza desinfección de visor o gafas con detergente enzimático y agua?</t>
  </si>
  <si>
    <t>¿Se mantienen los elementos de protección personal en un lugar seguro y en óptimas condiciones higiénicas?</t>
  </si>
  <si>
    <t>¿No se transita fuera del área de trabajo con los elementos de protección personal puestos?</t>
  </si>
  <si>
    <t>¿El personal conoce los 5 momentos para el lavado de manos?</t>
  </si>
  <si>
    <t>¿Realiza lavado de manos o higienización entre procedimientos, según protocolo ?</t>
  </si>
  <si>
    <t>¿Se cuenta con insumos para el lavado de manos? (jabón líquido antiséptico y toallas de papel; alcohol glicerinado)</t>
  </si>
  <si>
    <t>¿Las uñas se mantienen limpias, cortas y preferiblemente sin esmalte?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</si>
  <si>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emplean joyas ni e brazos ni en manos?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</si>
  <si>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tocan con las manos enguatadas sitios diferentes del cuerpo o se manipulan objetos diferentes a los requeridos en el procedimiento?</t>
    </r>
  </si>
  <si>
    <t>¿Después de cada paciente y antes de iniciar la procedimientos se accionan mínimo de 20 a 30 segundos ?</t>
  </si>
  <si>
    <t>¿La pieza de mano de alta velocidad y contra ángulo, una vez utilizados se retiran de la unidad para realizar la desinfección y se secan antes de utilizarlas de nuevo?</t>
  </si>
  <si>
    <t>Entre paciente y paciente se realiza limpieza y desinfección de  unidad o camilla y equipos biomedicos</t>
  </si>
  <si>
    <t>Se drena el Eyector con desinfectante ( hipoclorito de sodio a 5.000 ppm o cualquier otro insumo apto para esta función)</t>
  </si>
  <si>
    <t>¿Se limpian los demás equipos utilizados durante la atención?</t>
  </si>
  <si>
    <t>¿Se cambia bandeja de instrumental entre paciente y paciente?</t>
  </si>
  <si>
    <t>¿Se maneja con estricta precaución el material cortopunzante desechable,eliminándolo en el guardián según el procedimiento establecido?</t>
  </si>
  <si>
    <r>
      <rPr>
        <rFont val="Arial"/>
        <color theme="1"/>
        <sz val="10.0"/>
      </rPr>
      <t xml:space="preserve">¿Se tiene claro el  proceso de </t>
    </r>
    <r>
      <rPr>
        <rFont val="Arial"/>
        <b/>
        <color theme="1"/>
        <sz val="10.0"/>
      </rPr>
      <t xml:space="preserve">no </t>
    </r>
    <r>
      <rPr>
        <rFont val="Arial"/>
        <color theme="1"/>
        <sz val="10.0"/>
      </rPr>
      <t>reenfundar las agujas desechables en su protector, una vez las haya utilizado?</t>
    </r>
  </si>
  <si>
    <t>¿Existe manual de buenas prácticas de esterilización y es conocido por el personal?</t>
  </si>
  <si>
    <t xml:space="preserve">¿El personal conoce perfectamente el proceso de esterilización? </t>
  </si>
  <si>
    <t>¿El personal conoce cómo se preparan el detergente enzimático y el desinfectante de alto poder utilizados en el consultorio?</t>
  </si>
  <si>
    <t>¿Existe registro de esterilización?</t>
  </si>
  <si>
    <t>¿Existen controles para el proceso de esterilización y queda evidencia?</t>
  </si>
  <si>
    <t>¿El personal conoce el tipo de controles que se manejan en la IPS y sabe interpretarlos?</t>
  </si>
  <si>
    <t>¿Se cuentan con las fichas técnicas de los insumos utilizados en esterilización?</t>
  </si>
  <si>
    <t>¿Se marcan las  bolsas de empaque con fecha de esterilización, fecha de vencimiento, tipo de instrumental, responsable y número de lote de esterilización?</t>
  </si>
  <si>
    <t>¿Se realiza procedimiento de lavado del autoclave y se conoce el procedimiento a realizar?</t>
  </si>
  <si>
    <t>¿Se realiza desinfección de alto nivel a dispositivos intraorales contaminados?</t>
  </si>
  <si>
    <t>¿Semaforiza limas de endodoncia y fresas de acuerdo al Manual de Reuso?</t>
  </si>
  <si>
    <t>¿Se cuenta con recipientes adecuados para el manejo de  desinfectantes y transporte de instrumental a su destino final?</t>
  </si>
  <si>
    <t xml:space="preserve">¿ En el área de lavado utiliza un cepillo de cerdas suaves  para eliminar suciedad y enjuaga bajo el chorro de agua y seca con toalla de papel?
</t>
  </si>
  <si>
    <t>¿Almacena el instrumental estéril en contenedor adecuado y condiciones de aseo?</t>
  </si>
  <si>
    <t>¿Se evidencia instrumental sin oxido,salpicaduras, rayones y en buen estado para su uso?</t>
  </si>
  <si>
    <t xml:space="preserve">¿Se evidencia limpieza y desinfección del espacio o depósito de insumos? 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</si>
  <si>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Reutiliza insumos desechables como agujas, jeringas, hojas de bisturí, discos de papel para pulir resina, tiras de mylar, bandas metálicas, papel de articular, copas de caucho y cepillos de profilaxis entre otros?</t>
    </r>
  </si>
  <si>
    <t xml:space="preserve">¿Se evidencia limpieza y desinfección en todas las áreas de la IPS? ¿Queda documentado? </t>
  </si>
  <si>
    <t>¿El personal conoce cómo hacer las diluciones de hipoclorito y demás insumos utilizados en limpieza y desinfección ?</t>
  </si>
  <si>
    <t>¿El personal conoce los principios básicos de limpieza y desinfección en la IPS?</t>
  </si>
  <si>
    <t>¿El personal del consultorio conoce el manejo de derrames? ¿Se cuenta con kit de derrames?</t>
  </si>
  <si>
    <t>¿Se cuenta con elementos de aseo diferenciados para el área clínica y las áreas administrativas?</t>
  </si>
  <si>
    <t>¿Cumple la norma de no almacenar ni consumir alimentos en el sitio de trabajo?</t>
  </si>
  <si>
    <t>¿La nevera sólo se utiliza para guardar materiales dentales que requieren refrigeración y se mantiene el sitio de trabajo en estricto orden y aseo?</t>
  </si>
  <si>
    <t>¿Al finalizar las actividades diarias a las superficies de mesones, unidad odontológica, camilla, escalerilla, elevador, atril,mesas auxiliares, se les realiza desinfección con detergente desinfectante, se pasa una toalla desechable absorvente en sitios menos contaminados y por último más contaminados para remover material orgánico y luego se pasa otra toalla húmeda en solución desinfectante quedando listo para una nueva jornada?</t>
  </si>
  <si>
    <t>¿Se realiza aseo general con una periodicidad semanal, siguiendo los procedimientos básicos de limpieza y desinfección según lo definido en la IPS?</t>
  </si>
  <si>
    <t>¿Se marcan los contenedores de líquidos de limpieza y desinfección adecuadamente?</t>
  </si>
  <si>
    <t>Calificación</t>
  </si>
  <si>
    <t>Adecuado (45 a 50 puntos)</t>
  </si>
  <si>
    <t>90%-100%</t>
  </si>
  <si>
    <t>Deficiente (40 a 45 puntos)</t>
  </si>
  <si>
    <t>89%-80%</t>
  </si>
  <si>
    <t>Inaceptable (menos de 40 puntos)</t>
  </si>
  <si>
    <t>Fecha:_ ENERO 2025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</si>
  <si>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emplean joyas ni e brazos ni en manos?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</si>
  <si>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tocan con las manos enguatadas sitios diferentes del cuerpo o se manipulan objetos diferentes a los requeridos en el procedimiento?</t>
    </r>
  </si>
  <si>
    <r>
      <rPr>
        <rFont val="Arial"/>
        <color theme="1"/>
        <sz val="10.0"/>
      </rPr>
      <t xml:space="preserve">¿Se tiene claro el  proceso de </t>
    </r>
    <r>
      <rPr>
        <rFont val="Arial"/>
        <b/>
        <color theme="1"/>
        <sz val="10.0"/>
      </rPr>
      <t xml:space="preserve">no </t>
    </r>
    <r>
      <rPr>
        <rFont val="Arial"/>
        <color theme="1"/>
        <sz val="10.0"/>
      </rPr>
      <t>reenfundar las agujas desechables en su protector, una vez las haya utilizado?</t>
    </r>
  </si>
  <si>
    <t>NC</t>
  </si>
  <si>
    <t xml:space="preserve">UNICAMENTE SE LE PONE FECHA DE ESTERILIZACION Y DE VENCIMIENTO 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</si>
  <si>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Reutiliza insumos desechables como agujas, jeringas, hojas de bisturí, discos de papel para pulir resina, tiras de mylar, bandas metálicas, papel de articular, copas de caucho y cepillos de profilaxis entre otros?</t>
    </r>
  </si>
  <si>
    <t>Fecha:_ JUNIO 2025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</si>
  <si>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emplean joyas ni e brazos ni en manos?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</si>
  <si>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tocan con las manos enguatadas sitios diferentes del cuerpo o se manipulan objetos diferentes a los requeridos en el procedimiento?</t>
    </r>
  </si>
  <si>
    <r>
      <rPr>
        <rFont val="Arial"/>
        <color theme="1"/>
        <sz val="10.0"/>
      </rPr>
      <t xml:space="preserve">¿Se tiene claro el  proceso de </t>
    </r>
    <r>
      <rPr>
        <rFont val="Arial"/>
        <b/>
        <color theme="1"/>
        <sz val="10.0"/>
      </rPr>
      <t xml:space="preserve">no </t>
    </r>
    <r>
      <rPr>
        <rFont val="Arial"/>
        <color theme="1"/>
        <sz val="10.0"/>
      </rPr>
      <t>reenfundar las agujas desechables en su protector, una vez las haya utilizado?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</si>
  <si>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Reutiliza insumos desechables como agujas, jeringas, hojas de bisturí, discos de papel para pulir resina, tiras de mylar, bandas metálicas, papel de articular, copas de caucho y cepillos de profilaxis entre otros?</t>
    </r>
  </si>
  <si>
    <t>Fecha: DICIEMBRE 2025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</si>
  <si>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emplean joyas ni e brazos ni en manos?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</si>
  <si>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tocan con las manos enguatadas sitios diferentes del cuerpo o se manipulan objetos diferentes a los requeridos en el procedimiento?</t>
    </r>
  </si>
  <si>
    <r>
      <rPr>
        <rFont val="Arial"/>
        <color theme="1"/>
        <sz val="10.0"/>
      </rPr>
      <t xml:space="preserve">¿Se tiene claro el  proceso de </t>
    </r>
    <r>
      <rPr>
        <rFont val="Arial"/>
        <b/>
        <color theme="1"/>
        <sz val="10.0"/>
      </rPr>
      <t xml:space="preserve">no </t>
    </r>
    <r>
      <rPr>
        <rFont val="Arial"/>
        <color theme="1"/>
        <sz val="10.0"/>
      </rPr>
      <t>reenfundar las agujas desechables en su protector, una vez las haya utilizado?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</si>
  <si>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Reutiliza insumos desechables como agujas, jeringas, hojas de bisturí, discos de papel para pulir resina, tiras de mylar, bandas metálicas, papel de articular, copas de caucho y cepillos de profilaxis entre otros?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</si>
</sst>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Arial"/>
    </font>
    <font>
      <b/>
      <sz val="16.0"/>
      <color theme="1"/>
      <name val="Arial"/>
    </font>
    <font/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8080"/>
        <bgColor rgb="FFFF8080"/>
      </patternFill>
    </fill>
  </fills>
  <borders count="10">
    <border/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3" fontId="7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9" fillId="0" fontId="9" numFmtId="9" xfId="0" applyBorder="1" applyFont="1" applyNumberFormat="1"/>
    <xf borderId="9" fillId="0" fontId="7" numFmtId="0" xfId="0" applyBorder="1" applyFont="1"/>
    <xf borderId="9" fillId="4" fontId="7" numFmtId="0" xfId="0" applyBorder="1" applyFill="1" applyFont="1"/>
    <xf borderId="9" fillId="5" fontId="7" numFmtId="0" xfId="0" applyBorder="1" applyFill="1" applyFont="1"/>
    <xf borderId="9" fillId="6" fontId="7" numFmtId="9" xfId="0" applyBorder="1" applyFill="1" applyFont="1" applyNumberFormat="1"/>
    <xf borderId="9" fillId="0" fontId="7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4" width="9.57"/>
    <col customWidth="1" min="5" max="5" width="27.86"/>
    <col customWidth="1" min="6" max="26" width="10.0"/>
  </cols>
  <sheetData>
    <row r="1" ht="21.0" customHeight="1">
      <c r="A1" s="1"/>
      <c r="B1" s="2" t="s">
        <v>0</v>
      </c>
      <c r="C1" s="3"/>
      <c r="D1" s="3"/>
      <c r="E1" s="4"/>
    </row>
    <row r="2" ht="21.0" customHeight="1">
      <c r="B2" s="5"/>
      <c r="E2" s="6"/>
    </row>
    <row r="3" ht="21.0" customHeight="1">
      <c r="B3" s="5"/>
      <c r="E3" s="6"/>
    </row>
    <row r="4" ht="21.0" customHeight="1">
      <c r="B4" s="7"/>
      <c r="C4" s="8"/>
      <c r="D4" s="8"/>
      <c r="E4" s="9"/>
    </row>
    <row r="5" ht="15.75" customHeight="1">
      <c r="B5" s="10"/>
      <c r="C5" s="10"/>
      <c r="D5" s="10"/>
      <c r="E5" s="10"/>
    </row>
    <row r="6" ht="21.75" customHeight="1">
      <c r="A6" s="11" t="s">
        <v>1</v>
      </c>
      <c r="B6" s="10"/>
      <c r="C6" s="10"/>
      <c r="D6" s="10"/>
      <c r="E6" s="10"/>
    </row>
    <row r="7">
      <c r="A7" s="12"/>
      <c r="B7" s="12"/>
      <c r="C7" s="13"/>
      <c r="D7" s="13"/>
      <c r="E7" s="13"/>
    </row>
    <row r="8" ht="45.0" customHeight="1">
      <c r="A8" s="14" t="s">
        <v>2</v>
      </c>
      <c r="B8" s="15" t="s">
        <v>3</v>
      </c>
      <c r="C8" s="14" t="s">
        <v>4</v>
      </c>
      <c r="D8" s="15" t="s">
        <v>5</v>
      </c>
      <c r="E8" s="15" t="s">
        <v>6</v>
      </c>
      <c r="I8" s="1"/>
    </row>
    <row r="9" ht="42.75" customHeight="1">
      <c r="A9" s="16" t="s">
        <v>7</v>
      </c>
      <c r="B9" s="17"/>
      <c r="C9" s="18"/>
      <c r="D9" s="17"/>
      <c r="E9" s="17"/>
    </row>
    <row r="10" ht="107.25" customHeight="1">
      <c r="A10" s="19" t="s">
        <v>8</v>
      </c>
      <c r="B10" s="17"/>
      <c r="C10" s="18"/>
      <c r="D10" s="17"/>
      <c r="E10" s="17"/>
    </row>
    <row r="11" ht="42.75" customHeight="1">
      <c r="A11" s="19" t="s">
        <v>9</v>
      </c>
      <c r="B11" s="17"/>
      <c r="C11" s="18"/>
      <c r="D11" s="17"/>
      <c r="E11" s="17"/>
    </row>
    <row r="12" ht="42.75" customHeight="1">
      <c r="A12" s="16" t="s">
        <v>10</v>
      </c>
      <c r="B12" s="17"/>
      <c r="C12" s="18"/>
      <c r="D12" s="17"/>
      <c r="E12" s="17"/>
    </row>
    <row r="13" ht="42.75" customHeight="1">
      <c r="A13" s="19" t="s">
        <v>11</v>
      </c>
      <c r="B13" s="17"/>
      <c r="C13" s="18"/>
      <c r="D13" s="17"/>
      <c r="E13" s="17"/>
    </row>
    <row r="14" ht="42.75" customHeight="1">
      <c r="A14" s="16" t="s">
        <v>12</v>
      </c>
      <c r="B14" s="17"/>
      <c r="C14" s="18"/>
      <c r="D14" s="17"/>
      <c r="E14" s="17"/>
    </row>
    <row r="15" ht="42.75" customHeight="1">
      <c r="A15" s="19" t="s">
        <v>13</v>
      </c>
      <c r="B15" s="17"/>
      <c r="C15" s="18"/>
      <c r="D15" s="17"/>
      <c r="E15" s="17"/>
    </row>
    <row r="16" ht="42.75" customHeight="1">
      <c r="A16" s="19" t="s">
        <v>14</v>
      </c>
      <c r="B16" s="17"/>
      <c r="C16" s="18"/>
      <c r="D16" s="17"/>
      <c r="E16" s="17"/>
    </row>
    <row r="17" ht="42.75" customHeight="1">
      <c r="A17" s="16" t="s">
        <v>15</v>
      </c>
      <c r="B17" s="17"/>
      <c r="C17" s="18"/>
      <c r="D17" s="17"/>
      <c r="E17" s="17"/>
    </row>
    <row r="18" ht="42.75" customHeight="1">
      <c r="A18" s="16" t="s">
        <v>16</v>
      </c>
      <c r="B18" s="17"/>
      <c r="C18" s="18"/>
      <c r="D18" s="17"/>
      <c r="E18" s="17"/>
    </row>
    <row r="19" ht="42.75" customHeight="1">
      <c r="A19" s="16" t="s">
        <v>17</v>
      </c>
      <c r="B19" s="17"/>
      <c r="C19" s="18"/>
      <c r="D19" s="17"/>
      <c r="E19" s="17"/>
    </row>
    <row r="20" ht="42.75" customHeight="1">
      <c r="A20" s="19" t="s">
        <v>18</v>
      </c>
      <c r="B20" s="17"/>
      <c r="C20" s="18"/>
      <c r="D20" s="17"/>
      <c r="E20" s="17"/>
    </row>
    <row r="21" ht="42.75" customHeight="1">
      <c r="A21" s="19" t="s">
        <v>19</v>
      </c>
      <c r="B21" s="17"/>
      <c r="C21" s="18"/>
      <c r="D21" s="17"/>
      <c r="E21" s="17"/>
    </row>
    <row r="22" ht="42.75" customHeight="1">
      <c r="A22" s="19" t="s">
        <v>20</v>
      </c>
      <c r="B22" s="17"/>
      <c r="C22" s="18"/>
      <c r="D22" s="17"/>
      <c r="E22" s="17"/>
    </row>
    <row r="23" ht="65.25" customHeight="1">
      <c r="A23" s="16" t="s">
        <v>21</v>
      </c>
      <c r="B23" s="17"/>
      <c r="C23" s="18"/>
      <c r="D23" s="17"/>
      <c r="E23" s="17"/>
    </row>
    <row r="24" ht="53.25" customHeight="1">
      <c r="A24" s="19" t="s">
        <v>22</v>
      </c>
      <c r="B24" s="17"/>
      <c r="C24" s="18"/>
      <c r="D24" s="17"/>
      <c r="E24" s="17"/>
    </row>
    <row r="25" ht="85.5" customHeight="1">
      <c r="A25" s="16" t="s">
        <v>23</v>
      </c>
      <c r="B25" s="17"/>
      <c r="C25" s="18"/>
      <c r="D25" s="17"/>
      <c r="E25" s="17"/>
    </row>
    <row r="26" ht="55.5" customHeight="1">
      <c r="A26" s="16" t="s">
        <v>24</v>
      </c>
      <c r="B26" s="17"/>
      <c r="C26" s="18"/>
      <c r="D26" s="17"/>
      <c r="E26" s="17"/>
    </row>
    <row r="27" ht="42.75" customHeight="1">
      <c r="A27" s="16" t="s">
        <v>25</v>
      </c>
      <c r="B27" s="17"/>
      <c r="C27" s="18"/>
      <c r="D27" s="17"/>
      <c r="E27" s="17"/>
    </row>
    <row r="28" ht="42.75" customHeight="1">
      <c r="A28" s="19" t="s">
        <v>26</v>
      </c>
      <c r="B28" s="17"/>
      <c r="C28" s="18"/>
      <c r="D28" s="17"/>
      <c r="E28" s="17"/>
    </row>
    <row r="29" ht="42.75" customHeight="1">
      <c r="A29" s="19" t="s">
        <v>27</v>
      </c>
      <c r="B29" s="17"/>
      <c r="C29" s="18"/>
      <c r="D29" s="17"/>
      <c r="E29" s="17"/>
    </row>
    <row r="30" ht="42.75" customHeight="1">
      <c r="A30" s="19" t="s">
        <v>28</v>
      </c>
      <c r="B30" s="17"/>
      <c r="C30" s="18"/>
      <c r="D30" s="17"/>
      <c r="E30" s="17"/>
    </row>
    <row r="31" ht="42.75" customHeight="1">
      <c r="A31" s="16" t="s">
        <v>29</v>
      </c>
      <c r="B31" s="17"/>
      <c r="C31" s="18"/>
      <c r="D31" s="17"/>
      <c r="E31" s="17"/>
    </row>
    <row r="32" ht="42.75" customHeight="1">
      <c r="A32" s="16" t="s">
        <v>30</v>
      </c>
      <c r="B32" s="17"/>
      <c r="C32" s="18"/>
      <c r="D32" s="17"/>
      <c r="E32" s="17"/>
    </row>
    <row r="33" ht="42.75" customHeight="1">
      <c r="A33" s="16" t="s">
        <v>31</v>
      </c>
      <c r="B33" s="17"/>
      <c r="C33" s="18"/>
      <c r="D33" s="17"/>
      <c r="E33" s="17"/>
    </row>
    <row r="34" ht="42.75" customHeight="1">
      <c r="A34" s="16" t="s">
        <v>32</v>
      </c>
      <c r="B34" s="17"/>
      <c r="C34" s="18"/>
      <c r="D34" s="17"/>
      <c r="E34" s="17"/>
    </row>
    <row r="35" ht="42.75" customHeight="1">
      <c r="A35" s="16" t="s">
        <v>33</v>
      </c>
      <c r="B35" s="17"/>
      <c r="C35" s="18"/>
      <c r="D35" s="17"/>
      <c r="E35" s="17"/>
    </row>
    <row r="36" ht="42.75" customHeight="1">
      <c r="A36" s="16" t="s">
        <v>34</v>
      </c>
      <c r="B36" s="17"/>
      <c r="C36" s="18"/>
      <c r="D36" s="17"/>
      <c r="E36" s="17"/>
    </row>
    <row r="37" ht="42.75" customHeight="1">
      <c r="A37" s="16" t="s">
        <v>35</v>
      </c>
      <c r="B37" s="17"/>
      <c r="C37" s="18"/>
      <c r="D37" s="17"/>
      <c r="E37" s="17"/>
    </row>
    <row r="38" ht="51.75" customHeight="1">
      <c r="A38" s="16" t="s">
        <v>36</v>
      </c>
      <c r="B38" s="17"/>
      <c r="C38" s="18"/>
      <c r="D38" s="17"/>
      <c r="E38" s="17"/>
    </row>
    <row r="39" ht="42.75" customHeight="1">
      <c r="A39" s="19" t="s">
        <v>37</v>
      </c>
      <c r="B39" s="17"/>
      <c r="C39" s="18"/>
      <c r="D39" s="17"/>
      <c r="E39" s="17"/>
    </row>
    <row r="40" ht="42.75" customHeight="1">
      <c r="A40" s="16" t="s">
        <v>38</v>
      </c>
      <c r="B40" s="17"/>
      <c r="C40" s="18"/>
      <c r="D40" s="17"/>
      <c r="E40" s="17"/>
    </row>
    <row r="41" ht="42.75" customHeight="1">
      <c r="A41" s="16" t="s">
        <v>39</v>
      </c>
      <c r="B41" s="17"/>
      <c r="C41" s="18"/>
      <c r="D41" s="17"/>
      <c r="E41" s="17"/>
    </row>
    <row r="42" ht="42.75" customHeight="1">
      <c r="A42" s="16" t="s">
        <v>40</v>
      </c>
      <c r="B42" s="17"/>
      <c r="C42" s="18"/>
      <c r="D42" s="17"/>
      <c r="E42" s="17"/>
    </row>
    <row r="43" ht="49.5" customHeight="1">
      <c r="A43" s="16" t="s">
        <v>41</v>
      </c>
      <c r="B43" s="17"/>
      <c r="C43" s="18"/>
      <c r="D43" s="17"/>
      <c r="E43" s="17"/>
    </row>
    <row r="44" ht="42.75" customHeight="1">
      <c r="A44" s="16" t="s">
        <v>42</v>
      </c>
      <c r="B44" s="17"/>
      <c r="C44" s="18"/>
      <c r="D44" s="17"/>
      <c r="E44" s="17"/>
    </row>
    <row r="45" ht="42.75" customHeight="1">
      <c r="A45" s="16" t="s">
        <v>43</v>
      </c>
      <c r="B45" s="17"/>
      <c r="C45" s="18"/>
      <c r="D45" s="17"/>
      <c r="E45" s="17"/>
    </row>
    <row r="46" ht="42.75" customHeight="1">
      <c r="A46" s="16" t="s">
        <v>44</v>
      </c>
      <c r="B46" s="17"/>
      <c r="C46" s="18"/>
      <c r="D46" s="17"/>
      <c r="E46" s="17"/>
    </row>
    <row r="47" ht="60.0" customHeight="1">
      <c r="A47" s="16" t="s">
        <v>45</v>
      </c>
      <c r="B47" s="17"/>
      <c r="C47" s="18"/>
      <c r="D47" s="17"/>
      <c r="E47" s="17"/>
    </row>
    <row r="48" ht="42.75" customHeight="1">
      <c r="A48" s="16" t="s">
        <v>46</v>
      </c>
      <c r="B48" s="17"/>
      <c r="C48" s="18"/>
      <c r="D48" s="17"/>
      <c r="E48" s="17"/>
    </row>
    <row r="49" ht="42.75" customHeight="1">
      <c r="A49" s="16" t="s">
        <v>47</v>
      </c>
      <c r="B49" s="17"/>
      <c r="C49" s="18"/>
      <c r="D49" s="17"/>
      <c r="E49" s="17"/>
    </row>
    <row r="50" ht="42.75" customHeight="1">
      <c r="A50" s="16" t="s">
        <v>48</v>
      </c>
      <c r="B50" s="17"/>
      <c r="C50" s="18"/>
      <c r="D50" s="17"/>
      <c r="E50" s="17"/>
    </row>
    <row r="51" ht="42.75" customHeight="1">
      <c r="A51" s="16" t="s">
        <v>49</v>
      </c>
      <c r="B51" s="17"/>
      <c r="C51" s="18"/>
      <c r="D51" s="17"/>
      <c r="E51" s="17"/>
    </row>
    <row r="52" ht="42.75" customHeight="1">
      <c r="A52" s="16" t="s">
        <v>50</v>
      </c>
      <c r="B52" s="17"/>
      <c r="C52" s="18"/>
      <c r="D52" s="17"/>
      <c r="E52" s="17"/>
    </row>
    <row r="53" ht="42.75" customHeight="1">
      <c r="A53" s="16" t="s">
        <v>51</v>
      </c>
      <c r="B53" s="17"/>
      <c r="C53" s="18"/>
      <c r="D53" s="17"/>
      <c r="E53" s="17"/>
    </row>
    <row r="54" ht="42.75" customHeight="1">
      <c r="A54" s="19" t="s">
        <v>52</v>
      </c>
      <c r="B54" s="17"/>
      <c r="C54" s="18"/>
      <c r="D54" s="17"/>
      <c r="E54" s="17"/>
    </row>
    <row r="55" ht="113.25" customHeight="1">
      <c r="A55" s="19" t="s">
        <v>53</v>
      </c>
      <c r="B55" s="17"/>
      <c r="C55" s="18"/>
      <c r="D55" s="17"/>
      <c r="E55" s="17"/>
    </row>
    <row r="56" ht="54.0" customHeight="1">
      <c r="A56" s="19" t="s">
        <v>54</v>
      </c>
      <c r="B56" s="17"/>
      <c r="C56" s="18"/>
      <c r="D56" s="17"/>
      <c r="E56" s="17"/>
    </row>
    <row r="57" ht="42.75" customHeight="1">
      <c r="A57" s="16" t="s">
        <v>55</v>
      </c>
      <c r="B57" s="17"/>
      <c r="C57" s="18"/>
      <c r="D57" s="17"/>
      <c r="E57" s="17"/>
    </row>
    <row r="58" ht="15.75" customHeight="1">
      <c r="A58" s="20"/>
      <c r="B58" s="20"/>
      <c r="C58" s="20"/>
      <c r="D58" s="20"/>
      <c r="E58" s="20"/>
    </row>
    <row r="59" ht="22.5" customHeight="1">
      <c r="A59" s="21" t="s">
        <v>56</v>
      </c>
      <c r="B59" s="22">
        <f t="shared" ref="B59:D59" si="1">SUM(B9:B57)</f>
        <v>0</v>
      </c>
      <c r="C59" s="22">
        <f t="shared" si="1"/>
        <v>0</v>
      </c>
      <c r="D59" s="22">
        <f t="shared" si="1"/>
        <v>0</v>
      </c>
      <c r="E59" s="23">
        <f>B59/50</f>
        <v>0</v>
      </c>
    </row>
    <row r="60" ht="15.75" customHeight="1">
      <c r="A60" s="19"/>
      <c r="B60" s="24"/>
      <c r="C60" s="20"/>
      <c r="D60" s="20"/>
      <c r="E60" s="20"/>
    </row>
    <row r="61" ht="15.75" customHeight="1">
      <c r="A61" s="19" t="s">
        <v>57</v>
      </c>
      <c r="B61" s="25" t="s">
        <v>58</v>
      </c>
      <c r="C61" s="20"/>
      <c r="D61" s="20"/>
      <c r="E61" s="20"/>
    </row>
    <row r="62" ht="15.75" customHeight="1">
      <c r="A62" s="19" t="s">
        <v>59</v>
      </c>
      <c r="B62" s="26" t="s">
        <v>60</v>
      </c>
      <c r="C62" s="20"/>
      <c r="D62" s="20"/>
      <c r="E62" s="20"/>
    </row>
    <row r="63" ht="15.75" customHeight="1">
      <c r="A63" s="19" t="s">
        <v>61</v>
      </c>
      <c r="B63" s="27">
        <v>-0.8</v>
      </c>
      <c r="C63" s="20"/>
      <c r="D63" s="20"/>
      <c r="E63" s="2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A4"/>
    <mergeCell ref="B1:E3"/>
    <mergeCell ref="B4:E4"/>
  </mergeCells>
  <conditionalFormatting sqref="E59">
    <cfRule type="cellIs" dxfId="0" priority="1" operator="lessThan">
      <formula>0.8</formula>
    </cfRule>
  </conditionalFormatting>
  <conditionalFormatting sqref="E59">
    <cfRule type="cellIs" dxfId="1" priority="2" operator="between">
      <formula>0.8</formula>
      <formula>0.89999</formula>
    </cfRule>
  </conditionalFormatting>
  <conditionalFormatting sqref="E59">
    <cfRule type="cellIs" dxfId="2" priority="3" operator="greaterThan">
      <formula>0.899999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4" width="9.57"/>
    <col customWidth="1" min="5" max="5" width="27.86"/>
    <col customWidth="1" min="6" max="26" width="10.0"/>
  </cols>
  <sheetData>
    <row r="1" ht="21.0" customHeight="1">
      <c r="A1" s="1"/>
      <c r="B1" s="2" t="s">
        <v>0</v>
      </c>
      <c r="C1" s="3"/>
      <c r="D1" s="3"/>
      <c r="E1" s="4"/>
    </row>
    <row r="2" ht="21.0" customHeight="1">
      <c r="B2" s="5"/>
      <c r="E2" s="6"/>
    </row>
    <row r="3" ht="21.0" customHeight="1">
      <c r="B3" s="5"/>
      <c r="E3" s="6"/>
    </row>
    <row r="4" ht="21.0" customHeight="1">
      <c r="B4" s="7"/>
      <c r="C4" s="8"/>
      <c r="D4" s="8"/>
      <c r="E4" s="9"/>
    </row>
    <row r="5" ht="15.75" customHeight="1">
      <c r="B5" s="10"/>
      <c r="C5" s="10"/>
      <c r="D5" s="10"/>
      <c r="E5" s="10"/>
    </row>
    <row r="6" ht="21.75" customHeight="1">
      <c r="A6" s="11" t="s">
        <v>62</v>
      </c>
      <c r="B6" s="10"/>
      <c r="C6" s="10"/>
      <c r="D6" s="10"/>
      <c r="E6" s="10"/>
    </row>
    <row r="7">
      <c r="A7" s="12"/>
      <c r="B7" s="12"/>
      <c r="C7" s="13"/>
      <c r="D7" s="13"/>
      <c r="E7" s="13"/>
    </row>
    <row r="8" ht="45.0" customHeight="1">
      <c r="A8" s="14" t="s">
        <v>2</v>
      </c>
      <c r="B8" s="15" t="s">
        <v>3</v>
      </c>
      <c r="C8" s="14" t="s">
        <v>4</v>
      </c>
      <c r="D8" s="15" t="s">
        <v>5</v>
      </c>
      <c r="E8" s="15" t="s">
        <v>6</v>
      </c>
      <c r="I8" s="1"/>
    </row>
    <row r="9" ht="42.75" customHeight="1">
      <c r="A9" s="16" t="s">
        <v>7</v>
      </c>
      <c r="B9" s="28">
        <v>1.0</v>
      </c>
      <c r="C9" s="18"/>
      <c r="D9" s="17"/>
      <c r="E9" s="17"/>
    </row>
    <row r="10" ht="107.25" customHeight="1">
      <c r="A10" s="19" t="s">
        <v>8</v>
      </c>
      <c r="B10" s="28">
        <v>1.0</v>
      </c>
      <c r="C10" s="18"/>
      <c r="D10" s="17"/>
      <c r="E10" s="17"/>
    </row>
    <row r="11" ht="42.75" customHeight="1">
      <c r="A11" s="19" t="s">
        <v>9</v>
      </c>
      <c r="B11" s="28">
        <v>1.0</v>
      </c>
      <c r="C11" s="18"/>
      <c r="D11" s="17"/>
      <c r="E11" s="17"/>
    </row>
    <row r="12" ht="42.75" customHeight="1">
      <c r="A12" s="16" t="s">
        <v>10</v>
      </c>
      <c r="B12" s="28">
        <v>1.0</v>
      </c>
      <c r="C12" s="18"/>
      <c r="D12" s="17"/>
      <c r="E12" s="17"/>
    </row>
    <row r="13" ht="42.75" customHeight="1">
      <c r="A13" s="19" t="s">
        <v>11</v>
      </c>
      <c r="B13" s="28">
        <v>1.0</v>
      </c>
      <c r="C13" s="18"/>
      <c r="D13" s="17"/>
      <c r="E13" s="17"/>
    </row>
    <row r="14" ht="42.75" customHeight="1">
      <c r="A14" s="16" t="s">
        <v>12</v>
      </c>
      <c r="B14" s="28">
        <v>1.0</v>
      </c>
      <c r="C14" s="18"/>
      <c r="D14" s="17"/>
      <c r="E14" s="17"/>
    </row>
    <row r="15" ht="42.75" customHeight="1">
      <c r="A15" s="19" t="s">
        <v>13</v>
      </c>
      <c r="B15" s="28">
        <v>1.0</v>
      </c>
      <c r="C15" s="18"/>
      <c r="D15" s="17"/>
      <c r="E15" s="17"/>
    </row>
    <row r="16" ht="42.75" customHeight="1">
      <c r="A16" s="19" t="s">
        <v>14</v>
      </c>
      <c r="B16" s="28">
        <v>1.0</v>
      </c>
      <c r="C16" s="18"/>
      <c r="D16" s="17"/>
      <c r="E16" s="17"/>
    </row>
    <row r="17" ht="42.75" customHeight="1">
      <c r="A17" s="16" t="s">
        <v>15</v>
      </c>
      <c r="B17" s="28">
        <v>1.0</v>
      </c>
      <c r="C17" s="18"/>
      <c r="D17" s="17"/>
      <c r="E17" s="17"/>
    </row>
    <row r="18" ht="42.75" customHeight="1">
      <c r="A18" s="16" t="s">
        <v>16</v>
      </c>
      <c r="B18" s="28">
        <v>1.0</v>
      </c>
      <c r="C18" s="18"/>
      <c r="D18" s="17"/>
      <c r="E18" s="17"/>
    </row>
    <row r="19" ht="42.75" customHeight="1">
      <c r="A19" s="16" t="s">
        <v>17</v>
      </c>
      <c r="B19" s="28">
        <v>1.0</v>
      </c>
      <c r="C19" s="18"/>
      <c r="D19" s="17"/>
      <c r="E19" s="17"/>
    </row>
    <row r="20" ht="42.75" customHeight="1">
      <c r="A20" s="19" t="s">
        <v>18</v>
      </c>
      <c r="B20" s="17"/>
      <c r="C20" s="29">
        <v>1.0</v>
      </c>
      <c r="D20" s="17"/>
      <c r="E20" s="17"/>
    </row>
    <row r="21" ht="42.75" customHeight="1">
      <c r="A21" s="19" t="s">
        <v>63</v>
      </c>
      <c r="B21" s="28">
        <v>1.0</v>
      </c>
      <c r="C21" s="18"/>
      <c r="D21" s="17"/>
      <c r="E21" s="17"/>
    </row>
    <row r="22" ht="42.75" customHeight="1">
      <c r="A22" s="19" t="s">
        <v>64</v>
      </c>
      <c r="B22" s="28">
        <v>1.0</v>
      </c>
      <c r="C22" s="18"/>
      <c r="D22" s="17"/>
      <c r="E22" s="17"/>
    </row>
    <row r="23" ht="65.25" customHeight="1">
      <c r="A23" s="16" t="s">
        <v>21</v>
      </c>
      <c r="B23" s="28">
        <v>1.0</v>
      </c>
      <c r="C23" s="18"/>
      <c r="D23" s="17"/>
      <c r="E23" s="17"/>
    </row>
    <row r="24" ht="53.25" customHeight="1">
      <c r="A24" s="19" t="s">
        <v>22</v>
      </c>
      <c r="B24" s="28">
        <v>1.0</v>
      </c>
      <c r="C24" s="18"/>
      <c r="D24" s="17"/>
      <c r="E24" s="17"/>
    </row>
    <row r="25" ht="85.5" customHeight="1">
      <c r="A25" s="16" t="s">
        <v>23</v>
      </c>
      <c r="B25" s="28">
        <v>1.0</v>
      </c>
      <c r="C25" s="18"/>
      <c r="D25" s="17"/>
      <c r="E25" s="17"/>
    </row>
    <row r="26" ht="55.5" customHeight="1">
      <c r="A26" s="16" t="s">
        <v>24</v>
      </c>
      <c r="B26" s="28">
        <v>1.0</v>
      </c>
      <c r="C26" s="18"/>
      <c r="D26" s="17"/>
      <c r="E26" s="17"/>
    </row>
    <row r="27" ht="42.75" customHeight="1">
      <c r="A27" s="16" t="s">
        <v>25</v>
      </c>
      <c r="B27" s="28">
        <v>1.0</v>
      </c>
      <c r="C27" s="18"/>
      <c r="D27" s="17"/>
      <c r="E27" s="17"/>
    </row>
    <row r="28" ht="42.75" customHeight="1">
      <c r="A28" s="19" t="s">
        <v>26</v>
      </c>
      <c r="B28" s="28">
        <v>1.0</v>
      </c>
      <c r="C28" s="18"/>
      <c r="D28" s="17"/>
      <c r="E28" s="17"/>
    </row>
    <row r="29" ht="42.75" customHeight="1">
      <c r="A29" s="19" t="s">
        <v>27</v>
      </c>
      <c r="B29" s="28">
        <v>1.0</v>
      </c>
      <c r="C29" s="18"/>
      <c r="D29" s="17"/>
      <c r="E29" s="17"/>
    </row>
    <row r="30" ht="42.75" customHeight="1">
      <c r="A30" s="19" t="s">
        <v>65</v>
      </c>
      <c r="B30" s="28">
        <v>1.0</v>
      </c>
      <c r="C30" s="18"/>
      <c r="D30" s="17"/>
      <c r="E30" s="17"/>
    </row>
    <row r="31" ht="42.75" customHeight="1">
      <c r="A31" s="16" t="s">
        <v>29</v>
      </c>
      <c r="B31" s="28">
        <v>1.0</v>
      </c>
      <c r="C31" s="18"/>
      <c r="D31" s="17"/>
      <c r="E31" s="17"/>
    </row>
    <row r="32" ht="42.75" customHeight="1">
      <c r="A32" s="16" t="s">
        <v>30</v>
      </c>
      <c r="B32" s="28">
        <v>1.0</v>
      </c>
      <c r="C32" s="18"/>
      <c r="D32" s="17"/>
      <c r="E32" s="17"/>
    </row>
    <row r="33" ht="42.75" customHeight="1">
      <c r="A33" s="16" t="s">
        <v>31</v>
      </c>
      <c r="B33" s="28">
        <v>1.0</v>
      </c>
      <c r="C33" s="18"/>
      <c r="D33" s="17"/>
      <c r="E33" s="17"/>
    </row>
    <row r="34" ht="42.75" customHeight="1">
      <c r="A34" s="16" t="s">
        <v>32</v>
      </c>
      <c r="B34" s="28">
        <v>1.0</v>
      </c>
      <c r="C34" s="18"/>
      <c r="D34" s="17"/>
      <c r="E34" s="17"/>
    </row>
    <row r="35" ht="42.75" customHeight="1">
      <c r="A35" s="16" t="s">
        <v>33</v>
      </c>
      <c r="B35" s="28">
        <v>1.0</v>
      </c>
      <c r="C35" s="18"/>
      <c r="D35" s="17"/>
      <c r="E35" s="17"/>
    </row>
    <row r="36" ht="42.75" customHeight="1">
      <c r="A36" s="16" t="s">
        <v>34</v>
      </c>
      <c r="B36" s="28">
        <v>1.0</v>
      </c>
      <c r="C36" s="18"/>
      <c r="D36" s="17"/>
      <c r="E36" s="17"/>
    </row>
    <row r="37" ht="42.75" customHeight="1">
      <c r="A37" s="16" t="s">
        <v>35</v>
      </c>
      <c r="B37" s="17"/>
      <c r="C37" s="29" t="s">
        <v>66</v>
      </c>
      <c r="D37" s="17"/>
      <c r="E37" s="17"/>
    </row>
    <row r="38" ht="51.75" customHeight="1">
      <c r="A38" s="16" t="s">
        <v>36</v>
      </c>
      <c r="B38" s="17"/>
      <c r="C38" s="29">
        <v>1.0</v>
      </c>
      <c r="D38" s="17"/>
      <c r="E38" s="28" t="s">
        <v>67</v>
      </c>
    </row>
    <row r="39" ht="42.75" customHeight="1">
      <c r="A39" s="19" t="s">
        <v>37</v>
      </c>
      <c r="B39" s="28">
        <v>1.0</v>
      </c>
      <c r="C39" s="18"/>
      <c r="D39" s="17"/>
      <c r="E39" s="17"/>
    </row>
    <row r="40" ht="42.75" customHeight="1">
      <c r="A40" s="16" t="s">
        <v>38</v>
      </c>
      <c r="B40" s="28">
        <v>1.0</v>
      </c>
      <c r="C40" s="18"/>
      <c r="D40" s="17"/>
      <c r="E40" s="17"/>
    </row>
    <row r="41" ht="42.75" customHeight="1">
      <c r="A41" s="16" t="s">
        <v>39</v>
      </c>
      <c r="B41" s="28">
        <v>1.0</v>
      </c>
      <c r="C41" s="18"/>
      <c r="D41" s="17"/>
      <c r="E41" s="17"/>
    </row>
    <row r="42" ht="42.75" customHeight="1">
      <c r="A42" s="16" t="s">
        <v>40</v>
      </c>
      <c r="B42" s="28">
        <v>1.0</v>
      </c>
      <c r="C42" s="18"/>
      <c r="D42" s="17"/>
      <c r="E42" s="17"/>
    </row>
    <row r="43" ht="49.5" customHeight="1">
      <c r="A43" s="16" t="s">
        <v>41</v>
      </c>
      <c r="B43" s="28">
        <v>1.0</v>
      </c>
      <c r="C43" s="18"/>
      <c r="D43" s="17"/>
      <c r="E43" s="17"/>
    </row>
    <row r="44" ht="42.75" customHeight="1">
      <c r="A44" s="16" t="s">
        <v>42</v>
      </c>
      <c r="B44" s="28">
        <v>1.0</v>
      </c>
      <c r="C44" s="18"/>
      <c r="D44" s="17"/>
      <c r="E44" s="17"/>
    </row>
    <row r="45" ht="42.75" customHeight="1">
      <c r="A45" s="16" t="s">
        <v>43</v>
      </c>
      <c r="B45" s="28">
        <v>1.0</v>
      </c>
      <c r="C45" s="18"/>
      <c r="D45" s="17"/>
      <c r="E45" s="17"/>
    </row>
    <row r="46" ht="42.75" customHeight="1">
      <c r="A46" s="16" t="s">
        <v>44</v>
      </c>
      <c r="B46" s="28">
        <v>1.0</v>
      </c>
      <c r="C46" s="18"/>
      <c r="D46" s="17"/>
      <c r="E46" s="17"/>
    </row>
    <row r="47" ht="60.0" customHeight="1">
      <c r="A47" s="16" t="s">
        <v>68</v>
      </c>
      <c r="B47" s="28">
        <v>1.0</v>
      </c>
      <c r="C47" s="18"/>
      <c r="D47" s="17"/>
      <c r="E47" s="17"/>
    </row>
    <row r="48" ht="42.75" customHeight="1">
      <c r="A48" s="16" t="s">
        <v>46</v>
      </c>
      <c r="B48" s="28">
        <v>1.0</v>
      </c>
      <c r="C48" s="18"/>
      <c r="D48" s="17"/>
      <c r="E48" s="17"/>
    </row>
    <row r="49" ht="42.75" customHeight="1">
      <c r="A49" s="16" t="s">
        <v>47</v>
      </c>
      <c r="B49" s="28">
        <v>1.0</v>
      </c>
      <c r="C49" s="18"/>
      <c r="D49" s="17"/>
      <c r="E49" s="17"/>
    </row>
    <row r="50" ht="42.75" customHeight="1">
      <c r="A50" s="16" t="s">
        <v>48</v>
      </c>
      <c r="B50" s="28">
        <v>1.0</v>
      </c>
      <c r="C50" s="18"/>
      <c r="D50" s="17"/>
      <c r="E50" s="17"/>
    </row>
    <row r="51" ht="42.75" customHeight="1">
      <c r="A51" s="16" t="s">
        <v>49</v>
      </c>
      <c r="B51" s="28">
        <v>1.0</v>
      </c>
      <c r="C51" s="18"/>
      <c r="D51" s="17"/>
      <c r="E51" s="17"/>
    </row>
    <row r="52" ht="42.75" customHeight="1">
      <c r="A52" s="16" t="s">
        <v>50</v>
      </c>
      <c r="B52" s="28">
        <v>1.0</v>
      </c>
      <c r="C52" s="18"/>
      <c r="D52" s="17"/>
      <c r="E52" s="17"/>
    </row>
    <row r="53" ht="42.75" customHeight="1">
      <c r="A53" s="16" t="s">
        <v>51</v>
      </c>
      <c r="B53" s="28">
        <v>1.0</v>
      </c>
      <c r="C53" s="18"/>
      <c r="D53" s="17"/>
      <c r="E53" s="17"/>
    </row>
    <row r="54" ht="42.75" customHeight="1">
      <c r="A54" s="19" t="s">
        <v>52</v>
      </c>
      <c r="B54" s="28">
        <v>1.0</v>
      </c>
      <c r="C54" s="18"/>
      <c r="D54" s="17"/>
      <c r="E54" s="17"/>
    </row>
    <row r="55" ht="113.25" customHeight="1">
      <c r="A55" s="19" t="s">
        <v>53</v>
      </c>
      <c r="B55" s="28">
        <v>1.0</v>
      </c>
      <c r="C55" s="18"/>
      <c r="D55" s="17"/>
      <c r="E55" s="17"/>
    </row>
    <row r="56" ht="54.0" customHeight="1">
      <c r="A56" s="19" t="s">
        <v>54</v>
      </c>
      <c r="B56" s="28">
        <v>1.0</v>
      </c>
      <c r="C56" s="18"/>
      <c r="D56" s="17"/>
      <c r="E56" s="17"/>
    </row>
    <row r="57" ht="42.75" customHeight="1">
      <c r="A57" s="16" t="s">
        <v>55</v>
      </c>
      <c r="B57" s="28">
        <v>1.0</v>
      </c>
      <c r="C57" s="18"/>
      <c r="D57" s="17"/>
      <c r="E57" s="17"/>
    </row>
    <row r="58" ht="15.75" customHeight="1">
      <c r="A58" s="20"/>
      <c r="B58" s="30">
        <v>1.0</v>
      </c>
      <c r="C58" s="20"/>
      <c r="D58" s="20"/>
      <c r="E58" s="20"/>
    </row>
    <row r="59" ht="22.5" customHeight="1">
      <c r="A59" s="21" t="s">
        <v>56</v>
      </c>
      <c r="B59" s="22">
        <f>SUM(B9:B58)</f>
        <v>47</v>
      </c>
      <c r="C59" s="22">
        <f t="shared" ref="C59:D59" si="1">SUM(C9:C57)</f>
        <v>2</v>
      </c>
      <c r="D59" s="22">
        <f t="shared" si="1"/>
        <v>0</v>
      </c>
      <c r="E59" s="23">
        <f>B59/50</f>
        <v>0.94</v>
      </c>
    </row>
    <row r="60" ht="15.75" customHeight="1">
      <c r="A60" s="19"/>
      <c r="B60" s="24"/>
      <c r="C60" s="20"/>
      <c r="D60" s="20"/>
      <c r="E60" s="20"/>
    </row>
    <row r="61" ht="15.75" customHeight="1">
      <c r="A61" s="19" t="s">
        <v>57</v>
      </c>
      <c r="B61" s="25" t="s">
        <v>58</v>
      </c>
      <c r="C61" s="20"/>
      <c r="D61" s="20"/>
      <c r="E61" s="20"/>
    </row>
    <row r="62" ht="15.75" customHeight="1">
      <c r="A62" s="19" t="s">
        <v>59</v>
      </c>
      <c r="B62" s="26" t="s">
        <v>60</v>
      </c>
      <c r="C62" s="20"/>
      <c r="D62" s="20"/>
      <c r="E62" s="20"/>
    </row>
    <row r="63" ht="15.75" customHeight="1">
      <c r="A63" s="19" t="s">
        <v>61</v>
      </c>
      <c r="B63" s="27">
        <v>-0.8</v>
      </c>
      <c r="C63" s="20"/>
      <c r="D63" s="20"/>
      <c r="E63" s="2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A4"/>
    <mergeCell ref="B1:E3"/>
    <mergeCell ref="B4:E4"/>
  </mergeCells>
  <conditionalFormatting sqref="E59">
    <cfRule type="cellIs" dxfId="0" priority="1" operator="lessThan">
      <formula>0.8</formula>
    </cfRule>
  </conditionalFormatting>
  <conditionalFormatting sqref="E59">
    <cfRule type="cellIs" dxfId="1" priority="2" operator="between">
      <formula>0.8</formula>
      <formula>0.89999</formula>
    </cfRule>
  </conditionalFormatting>
  <conditionalFormatting sqref="E59">
    <cfRule type="cellIs" dxfId="2" priority="3" operator="greaterThan">
      <formula>0.899999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4" width="9.57"/>
    <col customWidth="1" min="5" max="5" width="27.86"/>
    <col customWidth="1" min="6" max="26" width="10.0"/>
  </cols>
  <sheetData>
    <row r="1" ht="21.0" customHeight="1">
      <c r="A1" s="1"/>
      <c r="B1" s="2" t="s">
        <v>0</v>
      </c>
      <c r="C1" s="3"/>
      <c r="D1" s="3"/>
      <c r="E1" s="4"/>
    </row>
    <row r="2" ht="21.0" customHeight="1">
      <c r="B2" s="5"/>
      <c r="E2" s="6"/>
    </row>
    <row r="3" ht="21.0" customHeight="1">
      <c r="B3" s="5"/>
      <c r="E3" s="6"/>
    </row>
    <row r="4" ht="21.0" customHeight="1">
      <c r="B4" s="7"/>
      <c r="C4" s="8"/>
      <c r="D4" s="8"/>
      <c r="E4" s="9"/>
    </row>
    <row r="5" ht="15.75" customHeight="1">
      <c r="B5" s="10"/>
      <c r="C5" s="10"/>
      <c r="D5" s="10"/>
      <c r="E5" s="10"/>
    </row>
    <row r="6" ht="21.75" customHeight="1">
      <c r="A6" s="11" t="s">
        <v>69</v>
      </c>
      <c r="B6" s="10"/>
      <c r="C6" s="10"/>
      <c r="D6" s="10"/>
      <c r="E6" s="10"/>
    </row>
    <row r="7">
      <c r="A7" s="12"/>
      <c r="B7" s="12"/>
      <c r="C7" s="13"/>
      <c r="D7" s="13"/>
      <c r="E7" s="13"/>
    </row>
    <row r="8" ht="45.0" customHeight="1">
      <c r="A8" s="14" t="s">
        <v>2</v>
      </c>
      <c r="B8" s="15" t="s">
        <v>3</v>
      </c>
      <c r="C8" s="14" t="s">
        <v>4</v>
      </c>
      <c r="D8" s="15" t="s">
        <v>5</v>
      </c>
      <c r="E8" s="15" t="s">
        <v>6</v>
      </c>
      <c r="I8" s="1"/>
    </row>
    <row r="9" ht="42.75" customHeight="1">
      <c r="A9" s="16" t="s">
        <v>7</v>
      </c>
      <c r="B9" s="28">
        <v>1.0</v>
      </c>
      <c r="C9" s="18"/>
      <c r="D9" s="17"/>
      <c r="E9" s="17"/>
    </row>
    <row r="10" ht="107.25" customHeight="1">
      <c r="A10" s="19" t="s">
        <v>8</v>
      </c>
      <c r="B10" s="28">
        <v>1.0</v>
      </c>
      <c r="C10" s="18"/>
      <c r="D10" s="17"/>
      <c r="E10" s="17"/>
    </row>
    <row r="11" ht="42.75" customHeight="1">
      <c r="A11" s="19" t="s">
        <v>9</v>
      </c>
      <c r="B11" s="28">
        <v>1.0</v>
      </c>
      <c r="C11" s="18"/>
      <c r="D11" s="17"/>
      <c r="E11" s="17"/>
    </row>
    <row r="12" ht="42.75" customHeight="1">
      <c r="A12" s="16" t="s">
        <v>10</v>
      </c>
      <c r="B12" s="28">
        <v>1.0</v>
      </c>
      <c r="C12" s="18"/>
      <c r="D12" s="17"/>
      <c r="E12" s="17"/>
    </row>
    <row r="13" ht="42.75" customHeight="1">
      <c r="A13" s="19" t="s">
        <v>11</v>
      </c>
      <c r="B13" s="28">
        <v>1.0</v>
      </c>
      <c r="C13" s="18"/>
      <c r="D13" s="17"/>
      <c r="E13" s="17"/>
    </row>
    <row r="14" ht="42.75" customHeight="1">
      <c r="A14" s="16" t="s">
        <v>12</v>
      </c>
      <c r="B14" s="28">
        <v>1.0</v>
      </c>
      <c r="C14" s="18"/>
      <c r="D14" s="17"/>
      <c r="E14" s="17"/>
    </row>
    <row r="15" ht="42.75" customHeight="1">
      <c r="A15" s="19" t="s">
        <v>13</v>
      </c>
      <c r="B15" s="28">
        <v>1.0</v>
      </c>
      <c r="C15" s="18"/>
      <c r="D15" s="17"/>
      <c r="E15" s="17"/>
    </row>
    <row r="16" ht="42.75" customHeight="1">
      <c r="A16" s="19" t="s">
        <v>14</v>
      </c>
      <c r="B16" s="28">
        <v>1.0</v>
      </c>
      <c r="C16" s="18"/>
      <c r="D16" s="17"/>
      <c r="E16" s="17"/>
    </row>
    <row r="17" ht="42.75" customHeight="1">
      <c r="A17" s="16" t="s">
        <v>15</v>
      </c>
      <c r="B17" s="28">
        <v>1.0</v>
      </c>
      <c r="C17" s="18"/>
      <c r="D17" s="17"/>
      <c r="E17" s="17"/>
    </row>
    <row r="18" ht="42.75" customHeight="1">
      <c r="A18" s="16" t="s">
        <v>16</v>
      </c>
      <c r="B18" s="28">
        <v>1.0</v>
      </c>
      <c r="C18" s="18"/>
      <c r="D18" s="17"/>
      <c r="E18" s="17"/>
    </row>
    <row r="19" ht="42.75" customHeight="1">
      <c r="A19" s="16" t="s">
        <v>17</v>
      </c>
      <c r="B19" s="28">
        <v>1.0</v>
      </c>
      <c r="C19" s="18"/>
      <c r="D19" s="17"/>
      <c r="E19" s="17"/>
    </row>
    <row r="20" ht="42.75" customHeight="1">
      <c r="A20" s="19" t="s">
        <v>18</v>
      </c>
      <c r="B20" s="17"/>
      <c r="C20" s="29">
        <v>1.0</v>
      </c>
      <c r="D20" s="17"/>
      <c r="E20" s="17"/>
    </row>
    <row r="21" ht="42.75" customHeight="1">
      <c r="A21" s="19" t="s">
        <v>70</v>
      </c>
      <c r="B21" s="28">
        <v>1.0</v>
      </c>
      <c r="C21" s="18"/>
      <c r="D21" s="17"/>
      <c r="E21" s="17"/>
    </row>
    <row r="22" ht="42.75" customHeight="1">
      <c r="A22" s="19" t="s">
        <v>71</v>
      </c>
      <c r="B22" s="28">
        <v>1.0</v>
      </c>
      <c r="C22" s="18"/>
      <c r="D22" s="17"/>
      <c r="E22" s="17"/>
    </row>
    <row r="23" ht="65.25" customHeight="1">
      <c r="A23" s="16" t="s">
        <v>21</v>
      </c>
      <c r="B23" s="28">
        <v>1.0</v>
      </c>
      <c r="C23" s="18"/>
      <c r="D23" s="17"/>
      <c r="E23" s="17"/>
    </row>
    <row r="24" ht="53.25" customHeight="1">
      <c r="A24" s="19" t="s">
        <v>22</v>
      </c>
      <c r="B24" s="28">
        <v>1.0</v>
      </c>
      <c r="C24" s="18"/>
      <c r="D24" s="17"/>
      <c r="E24" s="17"/>
    </row>
    <row r="25" ht="85.5" customHeight="1">
      <c r="A25" s="16" t="s">
        <v>23</v>
      </c>
      <c r="B25" s="28">
        <v>1.0</v>
      </c>
      <c r="C25" s="18"/>
      <c r="D25" s="17"/>
      <c r="E25" s="17"/>
    </row>
    <row r="26" ht="55.5" customHeight="1">
      <c r="A26" s="16" t="s">
        <v>24</v>
      </c>
      <c r="B26" s="28">
        <v>1.0</v>
      </c>
      <c r="C26" s="18"/>
      <c r="D26" s="17"/>
      <c r="E26" s="17"/>
    </row>
    <row r="27" ht="42.75" customHeight="1">
      <c r="A27" s="16" t="s">
        <v>25</v>
      </c>
      <c r="B27" s="28">
        <v>1.0</v>
      </c>
      <c r="C27" s="18"/>
      <c r="D27" s="17"/>
      <c r="E27" s="17"/>
    </row>
    <row r="28" ht="42.75" customHeight="1">
      <c r="A28" s="19" t="s">
        <v>26</v>
      </c>
      <c r="B28" s="28">
        <v>1.0</v>
      </c>
      <c r="C28" s="18"/>
      <c r="D28" s="17"/>
      <c r="E28" s="17"/>
    </row>
    <row r="29" ht="42.75" customHeight="1">
      <c r="A29" s="19" t="s">
        <v>27</v>
      </c>
      <c r="B29" s="28">
        <v>1.0</v>
      </c>
      <c r="C29" s="18"/>
      <c r="D29" s="17"/>
      <c r="E29" s="17"/>
    </row>
    <row r="30" ht="42.75" customHeight="1">
      <c r="A30" s="19" t="s">
        <v>72</v>
      </c>
      <c r="B30" s="28">
        <v>1.0</v>
      </c>
      <c r="C30" s="18"/>
      <c r="D30" s="17"/>
      <c r="E30" s="17"/>
    </row>
    <row r="31" ht="42.75" customHeight="1">
      <c r="A31" s="16" t="s">
        <v>29</v>
      </c>
      <c r="B31" s="28">
        <v>1.0</v>
      </c>
      <c r="C31" s="18"/>
      <c r="D31" s="17"/>
      <c r="E31" s="17"/>
    </row>
    <row r="32" ht="42.75" customHeight="1">
      <c r="A32" s="16" t="s">
        <v>30</v>
      </c>
      <c r="B32" s="28">
        <v>1.0</v>
      </c>
      <c r="C32" s="18"/>
      <c r="D32" s="17"/>
      <c r="E32" s="17"/>
    </row>
    <row r="33" ht="42.75" customHeight="1">
      <c r="A33" s="16" t="s">
        <v>31</v>
      </c>
      <c r="B33" s="28">
        <v>1.0</v>
      </c>
      <c r="C33" s="18"/>
      <c r="D33" s="17"/>
      <c r="E33" s="17"/>
    </row>
    <row r="34" ht="42.75" customHeight="1">
      <c r="A34" s="16" t="s">
        <v>32</v>
      </c>
      <c r="B34" s="28">
        <v>1.0</v>
      </c>
      <c r="C34" s="18"/>
      <c r="D34" s="17"/>
      <c r="E34" s="17"/>
    </row>
    <row r="35" ht="42.75" customHeight="1">
      <c r="A35" s="16" t="s">
        <v>33</v>
      </c>
      <c r="B35" s="28">
        <v>1.0</v>
      </c>
      <c r="C35" s="18"/>
      <c r="D35" s="17"/>
      <c r="E35" s="17"/>
    </row>
    <row r="36" ht="42.75" customHeight="1">
      <c r="A36" s="16" t="s">
        <v>34</v>
      </c>
      <c r="B36" s="28">
        <v>1.0</v>
      </c>
      <c r="C36" s="18"/>
      <c r="D36" s="17"/>
      <c r="E36" s="17"/>
    </row>
    <row r="37" ht="42.75" customHeight="1">
      <c r="A37" s="16" t="s">
        <v>35</v>
      </c>
      <c r="B37" s="28">
        <v>1.0</v>
      </c>
      <c r="C37" s="18"/>
      <c r="D37" s="17"/>
      <c r="E37" s="17"/>
    </row>
    <row r="38" ht="51.75" customHeight="1">
      <c r="A38" s="16" t="s">
        <v>36</v>
      </c>
      <c r="B38" s="28">
        <v>1.0</v>
      </c>
      <c r="C38" s="18"/>
      <c r="D38" s="17"/>
      <c r="E38" s="17"/>
    </row>
    <row r="39" ht="42.75" customHeight="1">
      <c r="A39" s="19" t="s">
        <v>37</v>
      </c>
      <c r="B39" s="28">
        <v>1.0</v>
      </c>
      <c r="C39" s="18"/>
      <c r="D39" s="17"/>
      <c r="E39" s="17"/>
    </row>
    <row r="40" ht="42.75" customHeight="1">
      <c r="A40" s="16" t="s">
        <v>38</v>
      </c>
      <c r="B40" s="28">
        <v>1.0</v>
      </c>
      <c r="C40" s="18"/>
      <c r="D40" s="17"/>
      <c r="E40" s="17"/>
    </row>
    <row r="41" ht="42.75" customHeight="1">
      <c r="A41" s="16" t="s">
        <v>39</v>
      </c>
      <c r="B41" s="28">
        <v>1.0</v>
      </c>
      <c r="C41" s="18"/>
      <c r="D41" s="17"/>
      <c r="E41" s="17"/>
    </row>
    <row r="42" ht="42.75" customHeight="1">
      <c r="A42" s="16" t="s">
        <v>40</v>
      </c>
      <c r="B42" s="28">
        <v>1.0</v>
      </c>
      <c r="C42" s="18"/>
      <c r="D42" s="17"/>
      <c r="E42" s="17"/>
    </row>
    <row r="43" ht="49.5" customHeight="1">
      <c r="A43" s="16" t="s">
        <v>41</v>
      </c>
      <c r="B43" s="28">
        <v>1.0</v>
      </c>
      <c r="C43" s="18"/>
      <c r="D43" s="17"/>
      <c r="E43" s="17"/>
    </row>
    <row r="44" ht="42.75" customHeight="1">
      <c r="A44" s="16" t="s">
        <v>42</v>
      </c>
      <c r="B44" s="28">
        <v>1.0</v>
      </c>
      <c r="C44" s="18"/>
      <c r="D44" s="17"/>
      <c r="E44" s="17"/>
    </row>
    <row r="45" ht="42.75" customHeight="1">
      <c r="A45" s="16" t="s">
        <v>43</v>
      </c>
      <c r="B45" s="28">
        <v>1.0</v>
      </c>
      <c r="C45" s="18"/>
      <c r="D45" s="17"/>
      <c r="E45" s="17"/>
    </row>
    <row r="46" ht="42.75" customHeight="1">
      <c r="A46" s="16" t="s">
        <v>44</v>
      </c>
      <c r="B46" s="28">
        <v>1.0</v>
      </c>
      <c r="C46" s="18"/>
      <c r="D46" s="17"/>
      <c r="E46" s="17"/>
    </row>
    <row r="47" ht="60.0" customHeight="1">
      <c r="A47" s="16" t="s">
        <v>73</v>
      </c>
      <c r="B47" s="28">
        <v>1.0</v>
      </c>
      <c r="C47" s="18"/>
      <c r="D47" s="17"/>
      <c r="E47" s="17"/>
    </row>
    <row r="48" ht="42.75" customHeight="1">
      <c r="A48" s="16" t="s">
        <v>46</v>
      </c>
      <c r="B48" s="28">
        <v>1.0</v>
      </c>
      <c r="C48" s="18"/>
      <c r="D48" s="17"/>
      <c r="E48" s="17"/>
    </row>
    <row r="49" ht="42.75" customHeight="1">
      <c r="A49" s="16" t="s">
        <v>47</v>
      </c>
      <c r="B49" s="28">
        <v>1.0</v>
      </c>
      <c r="C49" s="18"/>
      <c r="D49" s="17"/>
      <c r="E49" s="17"/>
    </row>
    <row r="50" ht="42.75" customHeight="1">
      <c r="A50" s="16" t="s">
        <v>48</v>
      </c>
      <c r="B50" s="28">
        <v>1.0</v>
      </c>
      <c r="C50" s="18"/>
      <c r="D50" s="17"/>
      <c r="E50" s="17"/>
    </row>
    <row r="51" ht="42.75" customHeight="1">
      <c r="A51" s="16" t="s">
        <v>49</v>
      </c>
      <c r="B51" s="28">
        <v>1.0</v>
      </c>
      <c r="C51" s="18"/>
      <c r="D51" s="17"/>
      <c r="E51" s="17"/>
    </row>
    <row r="52" ht="42.75" customHeight="1">
      <c r="A52" s="16" t="s">
        <v>50</v>
      </c>
      <c r="B52" s="28">
        <v>1.0</v>
      </c>
      <c r="C52" s="18"/>
      <c r="D52" s="17"/>
      <c r="E52" s="17"/>
    </row>
    <row r="53" ht="42.75" customHeight="1">
      <c r="A53" s="16" t="s">
        <v>51</v>
      </c>
      <c r="B53" s="28">
        <v>1.0</v>
      </c>
      <c r="C53" s="18"/>
      <c r="D53" s="17"/>
      <c r="E53" s="17"/>
    </row>
    <row r="54" ht="42.75" customHeight="1">
      <c r="A54" s="19" t="s">
        <v>52</v>
      </c>
      <c r="B54" s="28">
        <v>1.0</v>
      </c>
      <c r="C54" s="18"/>
      <c r="D54" s="17"/>
      <c r="E54" s="17"/>
    </row>
    <row r="55" ht="113.25" customHeight="1">
      <c r="A55" s="19" t="s">
        <v>53</v>
      </c>
      <c r="B55" s="28">
        <v>1.0</v>
      </c>
      <c r="C55" s="18"/>
      <c r="D55" s="17"/>
      <c r="E55" s="17"/>
    </row>
    <row r="56" ht="54.0" customHeight="1">
      <c r="A56" s="19" t="s">
        <v>54</v>
      </c>
      <c r="B56" s="28">
        <v>1.0</v>
      </c>
      <c r="C56" s="18"/>
      <c r="D56" s="17"/>
      <c r="E56" s="17"/>
    </row>
    <row r="57" ht="42.75" customHeight="1">
      <c r="A57" s="16" t="s">
        <v>55</v>
      </c>
      <c r="B57" s="28">
        <v>1.0</v>
      </c>
      <c r="C57" s="18"/>
      <c r="D57" s="17"/>
      <c r="E57" s="17"/>
    </row>
    <row r="58" ht="15.75" customHeight="1">
      <c r="A58" s="20"/>
      <c r="B58" s="30">
        <v>1.0</v>
      </c>
      <c r="C58" s="20"/>
      <c r="D58" s="20"/>
      <c r="E58" s="20"/>
    </row>
    <row r="59" ht="22.5" customHeight="1">
      <c r="A59" s="21" t="s">
        <v>56</v>
      </c>
      <c r="B59" s="22">
        <f>SUM(B9:B58)</f>
        <v>49</v>
      </c>
      <c r="C59" s="22">
        <f t="shared" ref="C59:D59" si="1">SUM(C9:C57)</f>
        <v>1</v>
      </c>
      <c r="D59" s="22">
        <f t="shared" si="1"/>
        <v>0</v>
      </c>
      <c r="E59" s="23">
        <f>B59/50</f>
        <v>0.98</v>
      </c>
    </row>
    <row r="60" ht="15.75" customHeight="1">
      <c r="A60" s="19"/>
      <c r="B60" s="24"/>
      <c r="C60" s="20"/>
      <c r="D60" s="20"/>
      <c r="E60" s="20"/>
    </row>
    <row r="61" ht="15.75" customHeight="1">
      <c r="A61" s="19" t="s">
        <v>57</v>
      </c>
      <c r="B61" s="25" t="s">
        <v>58</v>
      </c>
      <c r="C61" s="20"/>
      <c r="D61" s="20"/>
      <c r="E61" s="20"/>
    </row>
    <row r="62" ht="15.75" customHeight="1">
      <c r="A62" s="19" t="s">
        <v>59</v>
      </c>
      <c r="B62" s="26" t="s">
        <v>60</v>
      </c>
      <c r="C62" s="20"/>
      <c r="D62" s="20"/>
      <c r="E62" s="20"/>
    </row>
    <row r="63" ht="15.75" customHeight="1">
      <c r="A63" s="19" t="s">
        <v>61</v>
      </c>
      <c r="B63" s="27">
        <v>-0.8</v>
      </c>
      <c r="C63" s="20"/>
      <c r="D63" s="20"/>
      <c r="E63" s="2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A4"/>
    <mergeCell ref="B1:E3"/>
    <mergeCell ref="B4:E4"/>
  </mergeCells>
  <conditionalFormatting sqref="E59">
    <cfRule type="cellIs" dxfId="0" priority="1" operator="lessThan">
      <formula>0.8</formula>
    </cfRule>
  </conditionalFormatting>
  <conditionalFormatting sqref="E59">
    <cfRule type="cellIs" dxfId="1" priority="2" operator="between">
      <formula>0.8</formula>
      <formula>0.89999</formula>
    </cfRule>
  </conditionalFormatting>
  <conditionalFormatting sqref="E59">
    <cfRule type="cellIs" dxfId="2" priority="3" operator="greaterThan">
      <formula>0.899999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4" width="9.57"/>
    <col customWidth="1" min="5" max="5" width="27.86"/>
    <col customWidth="1" min="6" max="26" width="10.0"/>
  </cols>
  <sheetData>
    <row r="1" ht="21.0" customHeight="1">
      <c r="A1" s="1"/>
      <c r="B1" s="2" t="s">
        <v>0</v>
      </c>
      <c r="C1" s="3"/>
      <c r="D1" s="3"/>
      <c r="E1" s="4"/>
    </row>
    <row r="2" ht="21.0" customHeight="1">
      <c r="B2" s="5"/>
      <c r="E2" s="6"/>
    </row>
    <row r="3" ht="21.0" customHeight="1">
      <c r="B3" s="5"/>
      <c r="E3" s="6"/>
    </row>
    <row r="4" ht="21.0" customHeight="1">
      <c r="B4" s="7"/>
      <c r="C4" s="8"/>
      <c r="D4" s="8"/>
      <c r="E4" s="9"/>
    </row>
    <row r="5" ht="15.75" customHeight="1">
      <c r="B5" s="10"/>
      <c r="C5" s="10"/>
      <c r="D5" s="10"/>
      <c r="E5" s="10"/>
    </row>
    <row r="6" ht="21.75" customHeight="1">
      <c r="A6" s="11" t="s">
        <v>74</v>
      </c>
      <c r="B6" s="10"/>
      <c r="C6" s="10"/>
      <c r="D6" s="10"/>
      <c r="E6" s="10"/>
    </row>
    <row r="7">
      <c r="A7" s="12"/>
      <c r="B7" s="12"/>
      <c r="C7" s="13"/>
      <c r="D7" s="13"/>
      <c r="E7" s="13"/>
    </row>
    <row r="8" ht="45.0" customHeight="1">
      <c r="A8" s="14" t="s">
        <v>2</v>
      </c>
      <c r="B8" s="15" t="s">
        <v>3</v>
      </c>
      <c r="C8" s="14" t="s">
        <v>4</v>
      </c>
      <c r="D8" s="15" t="s">
        <v>5</v>
      </c>
      <c r="E8" s="15" t="s">
        <v>6</v>
      </c>
      <c r="I8" s="1"/>
    </row>
    <row r="9" ht="42.75" customHeight="1">
      <c r="A9" s="16" t="s">
        <v>7</v>
      </c>
      <c r="B9" s="28">
        <v>1.0</v>
      </c>
      <c r="C9" s="18"/>
      <c r="D9" s="17"/>
      <c r="E9" s="17"/>
    </row>
    <row r="10" ht="107.25" customHeight="1">
      <c r="A10" s="19" t="s">
        <v>8</v>
      </c>
      <c r="B10" s="28">
        <v>1.0</v>
      </c>
      <c r="C10" s="18"/>
      <c r="D10" s="17"/>
      <c r="E10" s="17"/>
    </row>
    <row r="11" ht="42.75" customHeight="1">
      <c r="A11" s="19" t="s">
        <v>9</v>
      </c>
      <c r="B11" s="28">
        <v>1.0</v>
      </c>
      <c r="C11" s="18"/>
      <c r="D11" s="17"/>
      <c r="E11" s="17"/>
    </row>
    <row r="12" ht="42.75" customHeight="1">
      <c r="A12" s="16" t="s">
        <v>10</v>
      </c>
      <c r="B12" s="28">
        <v>1.0</v>
      </c>
      <c r="C12" s="18"/>
      <c r="D12" s="17"/>
      <c r="E12" s="17"/>
    </row>
    <row r="13" ht="42.75" customHeight="1">
      <c r="A13" s="19" t="s">
        <v>11</v>
      </c>
      <c r="B13" s="28">
        <v>1.0</v>
      </c>
      <c r="C13" s="18"/>
      <c r="D13" s="17"/>
      <c r="E13" s="17"/>
    </row>
    <row r="14" ht="42.75" customHeight="1">
      <c r="A14" s="16" t="s">
        <v>12</v>
      </c>
      <c r="B14" s="28">
        <v>1.0</v>
      </c>
      <c r="C14" s="18"/>
      <c r="D14" s="17"/>
      <c r="E14" s="17"/>
    </row>
    <row r="15" ht="42.75" customHeight="1">
      <c r="A15" s="19" t="s">
        <v>13</v>
      </c>
      <c r="B15" s="28">
        <v>1.0</v>
      </c>
      <c r="C15" s="18"/>
      <c r="D15" s="17"/>
      <c r="E15" s="17"/>
    </row>
    <row r="16" ht="42.75" customHeight="1">
      <c r="A16" s="19" t="s">
        <v>14</v>
      </c>
      <c r="B16" s="28">
        <v>1.0</v>
      </c>
      <c r="C16" s="18"/>
      <c r="D16" s="17"/>
      <c r="E16" s="17"/>
    </row>
    <row r="17" ht="42.75" customHeight="1">
      <c r="A17" s="16" t="s">
        <v>15</v>
      </c>
      <c r="B17" s="28">
        <v>1.0</v>
      </c>
      <c r="C17" s="18"/>
      <c r="D17" s="17"/>
      <c r="E17" s="17"/>
    </row>
    <row r="18" ht="42.75" customHeight="1">
      <c r="A18" s="16" t="s">
        <v>16</v>
      </c>
      <c r="B18" s="28">
        <v>1.0</v>
      </c>
      <c r="C18" s="18"/>
      <c r="D18" s="17"/>
      <c r="E18" s="17"/>
    </row>
    <row r="19" ht="42.75" customHeight="1">
      <c r="A19" s="16" t="s">
        <v>17</v>
      </c>
      <c r="B19" s="28">
        <v>1.0</v>
      </c>
      <c r="C19" s="18"/>
      <c r="D19" s="17"/>
      <c r="E19" s="17"/>
    </row>
    <row r="20" ht="42.75" customHeight="1">
      <c r="A20" s="19" t="s">
        <v>18</v>
      </c>
      <c r="B20" s="28">
        <v>1.0</v>
      </c>
      <c r="C20" s="18"/>
      <c r="D20" s="17"/>
      <c r="E20" s="17"/>
    </row>
    <row r="21" ht="42.75" customHeight="1">
      <c r="A21" s="19" t="s">
        <v>75</v>
      </c>
      <c r="B21" s="28">
        <v>1.0</v>
      </c>
      <c r="C21" s="18"/>
      <c r="D21" s="17"/>
      <c r="E21" s="17"/>
    </row>
    <row r="22" ht="42.75" customHeight="1">
      <c r="A22" s="19" t="s">
        <v>76</v>
      </c>
      <c r="B22" s="28">
        <v>1.0</v>
      </c>
      <c r="C22" s="18"/>
      <c r="D22" s="17"/>
      <c r="E22" s="17"/>
    </row>
    <row r="23" ht="65.25" customHeight="1">
      <c r="A23" s="16" t="s">
        <v>21</v>
      </c>
      <c r="B23" s="28">
        <v>1.0</v>
      </c>
      <c r="C23" s="18"/>
      <c r="D23" s="17"/>
      <c r="E23" s="17"/>
    </row>
    <row r="24" ht="53.25" customHeight="1">
      <c r="A24" s="19" t="s">
        <v>22</v>
      </c>
      <c r="B24" s="28">
        <v>1.0</v>
      </c>
      <c r="C24" s="18"/>
      <c r="D24" s="17"/>
      <c r="E24" s="17"/>
    </row>
    <row r="25" ht="85.5" customHeight="1">
      <c r="A25" s="16" t="s">
        <v>23</v>
      </c>
      <c r="B25" s="28">
        <v>1.0</v>
      </c>
      <c r="C25" s="18"/>
      <c r="D25" s="17"/>
      <c r="E25" s="17"/>
    </row>
    <row r="26" ht="55.5" customHeight="1">
      <c r="A26" s="16" t="s">
        <v>24</v>
      </c>
      <c r="B26" s="28">
        <v>1.0</v>
      </c>
      <c r="C26" s="18"/>
      <c r="D26" s="17"/>
      <c r="E26" s="17"/>
    </row>
    <row r="27" ht="42.75" customHeight="1">
      <c r="A27" s="16" t="s">
        <v>25</v>
      </c>
      <c r="B27" s="28">
        <v>1.0</v>
      </c>
      <c r="C27" s="18"/>
      <c r="D27" s="17"/>
      <c r="E27" s="17"/>
    </row>
    <row r="28" ht="42.75" customHeight="1">
      <c r="A28" s="19" t="s">
        <v>26</v>
      </c>
      <c r="B28" s="28">
        <v>1.0</v>
      </c>
      <c r="C28" s="18"/>
      <c r="D28" s="17"/>
      <c r="E28" s="17"/>
    </row>
    <row r="29" ht="42.75" customHeight="1">
      <c r="A29" s="19" t="s">
        <v>27</v>
      </c>
      <c r="B29" s="28">
        <v>1.0</v>
      </c>
      <c r="C29" s="18"/>
      <c r="D29" s="17"/>
      <c r="E29" s="17"/>
    </row>
    <row r="30" ht="42.75" customHeight="1">
      <c r="A30" s="19" t="s">
        <v>77</v>
      </c>
      <c r="B30" s="28">
        <v>1.0</v>
      </c>
      <c r="C30" s="18"/>
      <c r="D30" s="17"/>
      <c r="E30" s="17"/>
    </row>
    <row r="31" ht="42.75" customHeight="1">
      <c r="A31" s="16" t="s">
        <v>29</v>
      </c>
      <c r="B31" s="28">
        <v>1.0</v>
      </c>
      <c r="C31" s="18"/>
      <c r="D31" s="17"/>
      <c r="E31" s="17"/>
    </row>
    <row r="32" ht="42.75" customHeight="1">
      <c r="A32" s="16" t="s">
        <v>30</v>
      </c>
      <c r="B32" s="28">
        <v>1.0</v>
      </c>
      <c r="C32" s="18"/>
      <c r="D32" s="17"/>
      <c r="E32" s="17"/>
    </row>
    <row r="33" ht="42.75" customHeight="1">
      <c r="A33" s="16" t="s">
        <v>31</v>
      </c>
      <c r="B33" s="28">
        <v>1.0</v>
      </c>
      <c r="C33" s="18"/>
      <c r="D33" s="17"/>
      <c r="E33" s="17"/>
    </row>
    <row r="34" ht="42.75" customHeight="1">
      <c r="A34" s="16" t="s">
        <v>32</v>
      </c>
      <c r="B34" s="28">
        <v>1.0</v>
      </c>
      <c r="C34" s="18"/>
      <c r="D34" s="17"/>
      <c r="E34" s="17"/>
    </row>
    <row r="35" ht="42.75" customHeight="1">
      <c r="A35" s="16" t="s">
        <v>33</v>
      </c>
      <c r="B35" s="28">
        <v>1.0</v>
      </c>
      <c r="C35" s="18"/>
      <c r="D35" s="17"/>
      <c r="E35" s="17"/>
    </row>
    <row r="36" ht="42.75" customHeight="1">
      <c r="A36" s="16" t="s">
        <v>34</v>
      </c>
      <c r="B36" s="28">
        <v>1.0</v>
      </c>
      <c r="C36" s="18"/>
      <c r="D36" s="17"/>
      <c r="E36" s="17"/>
    </row>
    <row r="37" ht="42.75" customHeight="1">
      <c r="A37" s="16" t="s">
        <v>35</v>
      </c>
      <c r="B37" s="28">
        <v>1.0</v>
      </c>
      <c r="C37" s="18"/>
      <c r="D37" s="17"/>
      <c r="E37" s="17"/>
    </row>
    <row r="38" ht="51.75" customHeight="1">
      <c r="A38" s="16" t="s">
        <v>36</v>
      </c>
      <c r="B38" s="28">
        <v>1.0</v>
      </c>
      <c r="C38" s="18"/>
      <c r="D38" s="17"/>
      <c r="E38" s="17"/>
    </row>
    <row r="39" ht="42.75" customHeight="1">
      <c r="A39" s="19" t="s">
        <v>37</v>
      </c>
      <c r="B39" s="28">
        <v>1.0</v>
      </c>
      <c r="C39" s="18"/>
      <c r="D39" s="17"/>
      <c r="E39" s="17"/>
    </row>
    <row r="40" ht="42.75" customHeight="1">
      <c r="A40" s="16" t="s">
        <v>38</v>
      </c>
      <c r="B40" s="28">
        <v>1.0</v>
      </c>
      <c r="C40" s="18"/>
      <c r="D40" s="17"/>
      <c r="E40" s="17"/>
    </row>
    <row r="41" ht="42.75" customHeight="1">
      <c r="A41" s="16" t="s">
        <v>39</v>
      </c>
      <c r="B41" s="28">
        <v>1.0</v>
      </c>
      <c r="C41" s="18"/>
      <c r="D41" s="17"/>
      <c r="E41" s="17"/>
    </row>
    <row r="42" ht="42.75" customHeight="1">
      <c r="A42" s="16" t="s">
        <v>40</v>
      </c>
      <c r="B42" s="28">
        <v>1.0</v>
      </c>
      <c r="C42" s="18"/>
      <c r="D42" s="17"/>
      <c r="E42" s="17"/>
    </row>
    <row r="43" ht="49.5" customHeight="1">
      <c r="A43" s="16" t="s">
        <v>41</v>
      </c>
      <c r="B43" s="28">
        <v>1.0</v>
      </c>
      <c r="C43" s="18"/>
      <c r="D43" s="17"/>
      <c r="E43" s="17"/>
    </row>
    <row r="44" ht="42.75" customHeight="1">
      <c r="A44" s="16" t="s">
        <v>42</v>
      </c>
      <c r="B44" s="28">
        <v>1.0</v>
      </c>
      <c r="C44" s="18"/>
      <c r="D44" s="17"/>
      <c r="E44" s="17"/>
    </row>
    <row r="45" ht="42.75" customHeight="1">
      <c r="A45" s="16" t="s">
        <v>43</v>
      </c>
      <c r="B45" s="28">
        <v>1.0</v>
      </c>
      <c r="C45" s="18"/>
      <c r="D45" s="17"/>
      <c r="E45" s="17"/>
    </row>
    <row r="46" ht="42.75" customHeight="1">
      <c r="A46" s="16" t="s">
        <v>44</v>
      </c>
      <c r="B46" s="28">
        <v>1.0</v>
      </c>
      <c r="C46" s="18"/>
      <c r="D46" s="17"/>
      <c r="E46" s="17"/>
    </row>
    <row r="47" ht="60.0" customHeight="1">
      <c r="A47" s="16" t="s">
        <v>78</v>
      </c>
      <c r="B47" s="28">
        <v>1.0</v>
      </c>
      <c r="C47" s="18"/>
      <c r="D47" s="17"/>
      <c r="E47" s="17"/>
    </row>
    <row r="48" ht="42.75" customHeight="1">
      <c r="A48" s="16" t="s">
        <v>46</v>
      </c>
      <c r="B48" s="28">
        <v>1.0</v>
      </c>
      <c r="C48" s="18"/>
      <c r="D48" s="17"/>
      <c r="E48" s="17"/>
    </row>
    <row r="49" ht="42.75" customHeight="1">
      <c r="A49" s="16" t="s">
        <v>47</v>
      </c>
      <c r="B49" s="28">
        <v>1.0</v>
      </c>
      <c r="C49" s="18"/>
      <c r="D49" s="17"/>
      <c r="E49" s="17"/>
    </row>
    <row r="50" ht="42.75" customHeight="1">
      <c r="A50" s="16" t="s">
        <v>48</v>
      </c>
      <c r="B50" s="28">
        <v>1.0</v>
      </c>
      <c r="C50" s="18"/>
      <c r="D50" s="17"/>
      <c r="E50" s="17"/>
    </row>
    <row r="51" ht="42.75" customHeight="1">
      <c r="A51" s="16" t="s">
        <v>49</v>
      </c>
      <c r="B51" s="28">
        <v>1.0</v>
      </c>
      <c r="C51" s="18"/>
      <c r="D51" s="17"/>
      <c r="E51" s="17"/>
    </row>
    <row r="52" ht="42.75" customHeight="1">
      <c r="A52" s="16" t="s">
        <v>50</v>
      </c>
      <c r="B52" s="28">
        <v>1.0</v>
      </c>
      <c r="C52" s="18"/>
      <c r="D52" s="17"/>
      <c r="E52" s="17"/>
    </row>
    <row r="53" ht="42.75" customHeight="1">
      <c r="A53" s="16" t="s">
        <v>51</v>
      </c>
      <c r="B53" s="28">
        <v>1.0</v>
      </c>
      <c r="C53" s="18"/>
      <c r="D53" s="17"/>
      <c r="E53" s="17"/>
    </row>
    <row r="54" ht="42.75" customHeight="1">
      <c r="A54" s="19" t="s">
        <v>52</v>
      </c>
      <c r="B54" s="28">
        <v>1.0</v>
      </c>
      <c r="C54" s="18"/>
      <c r="D54" s="17"/>
      <c r="E54" s="17"/>
    </row>
    <row r="55" ht="113.25" customHeight="1">
      <c r="A55" s="19" t="s">
        <v>53</v>
      </c>
      <c r="B55" s="28">
        <v>1.0</v>
      </c>
      <c r="C55" s="18"/>
      <c r="D55" s="17"/>
      <c r="E55" s="17"/>
    </row>
    <row r="56" ht="54.0" customHeight="1">
      <c r="A56" s="19" t="s">
        <v>54</v>
      </c>
      <c r="B56" s="28">
        <v>1.0</v>
      </c>
      <c r="C56" s="18"/>
      <c r="D56" s="17"/>
      <c r="E56" s="17"/>
    </row>
    <row r="57" ht="42.75" customHeight="1">
      <c r="A57" s="16" t="s">
        <v>55</v>
      </c>
      <c r="B57" s="28">
        <v>1.0</v>
      </c>
      <c r="C57" s="18"/>
      <c r="D57" s="17"/>
      <c r="E57" s="17"/>
    </row>
    <row r="58" ht="15.75" customHeight="1">
      <c r="A58" s="20"/>
      <c r="B58" s="30">
        <v>1.0</v>
      </c>
      <c r="C58" s="20"/>
      <c r="D58" s="20"/>
      <c r="E58" s="20"/>
    </row>
    <row r="59" ht="22.5" customHeight="1">
      <c r="A59" s="21" t="s">
        <v>56</v>
      </c>
      <c r="B59" s="22">
        <f>SUM(B9:B58)</f>
        <v>50</v>
      </c>
      <c r="C59" s="22">
        <f t="shared" ref="C59:D59" si="1">SUM(C9:C57)</f>
        <v>0</v>
      </c>
      <c r="D59" s="22">
        <f t="shared" si="1"/>
        <v>0</v>
      </c>
      <c r="E59" s="23">
        <f>B59/50</f>
        <v>1</v>
      </c>
    </row>
    <row r="60" ht="15.75" customHeight="1">
      <c r="A60" s="19"/>
      <c r="B60" s="24"/>
      <c r="C60" s="20"/>
      <c r="D60" s="20"/>
      <c r="E60" s="20"/>
    </row>
    <row r="61" ht="15.75" customHeight="1">
      <c r="A61" s="19" t="s">
        <v>57</v>
      </c>
      <c r="B61" s="25" t="s">
        <v>58</v>
      </c>
      <c r="C61" s="20"/>
      <c r="D61" s="20"/>
      <c r="E61" s="20"/>
    </row>
    <row r="62" ht="15.75" customHeight="1">
      <c r="A62" s="19" t="s">
        <v>59</v>
      </c>
      <c r="B62" s="26" t="s">
        <v>60</v>
      </c>
      <c r="C62" s="20"/>
      <c r="D62" s="20"/>
      <c r="E62" s="20"/>
    </row>
    <row r="63" ht="15.75" customHeight="1">
      <c r="A63" s="19" t="s">
        <v>61</v>
      </c>
      <c r="B63" s="27">
        <v>-0.8</v>
      </c>
      <c r="C63" s="20"/>
      <c r="D63" s="20"/>
      <c r="E63" s="2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A4"/>
    <mergeCell ref="B1:E3"/>
    <mergeCell ref="B4:E4"/>
  </mergeCells>
  <conditionalFormatting sqref="E59">
    <cfRule type="cellIs" dxfId="0" priority="1" operator="lessThan">
      <formula>0.8</formula>
    </cfRule>
  </conditionalFormatting>
  <conditionalFormatting sqref="E59">
    <cfRule type="cellIs" dxfId="1" priority="2" operator="between">
      <formula>0.8</formula>
      <formula>0.89999</formula>
    </cfRule>
  </conditionalFormatting>
  <conditionalFormatting sqref="E59">
    <cfRule type="cellIs" dxfId="2" priority="3" operator="greaterThan">
      <formula>0.899999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2018-10-29T20:51:55Z</dcterms:created>
  <dc:creator>Luisa Fernanda Contreras Konno</dc:creator>
</cp:coreProperties>
</file>