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8c14d6ad31308235/RES. 3100-2019/"/>
    </mc:Choice>
  </mc:AlternateContent>
  <xr:revisionPtr revIDLastSave="3" documentId="14_{22FADEEC-6DFC-4B0E-A6C7-7E3C7FD3D304}" xr6:coauthVersionLast="47" xr6:coauthVersionMax="47" xr10:uidLastSave="{6230479F-916D-4E26-9D17-B9F16398EBAA}"/>
  <bookViews>
    <workbookView xWindow="-108" yWindow="-108" windowWidth="23256" windowHeight="13896" tabRatio="999" xr2:uid="{00000000-000D-0000-FFFF-FFFF00000000}"/>
  </bookViews>
  <sheets>
    <sheet name="Tabla de contenido" sheetId="1" r:id="rId1"/>
    <sheet name="Consolidado" sheetId="2" r:id="rId2"/>
    <sheet name="11.1.1TH" sheetId="3" r:id="rId3"/>
    <sheet name="11.1.2.INF" sheetId="4" r:id="rId4"/>
    <sheet name="11.1.3.DOT" sheetId="5" r:id="rId5"/>
    <sheet name="11.1.4MD" sheetId="6" r:id="rId6"/>
    <sheet name="11.1.5.PP" sheetId="7" r:id="rId7"/>
    <sheet name="11.1.6.HCR" sheetId="8" r:id="rId8"/>
    <sheet name="11.1.7INT" sheetId="9" r:id="rId9"/>
    <sheet name="11.2.1.S_CE_G" sheetId="10" r:id="rId10"/>
    <sheet name="11.2.2.S_CE_E" sheetId="11" r:id="rId11"/>
    <sheet name="11.2.3.S_CE_V" sheetId="12" r:id="rId12"/>
    <sheet name="11.2.4.S_CE_SST" sheetId="13" r:id="rId13"/>
    <sheet name="11.3.1.S_TR" sheetId="14" r:id="rId14"/>
    <sheet name=" 11.3.2.SF" sheetId="15" r:id="rId15"/>
    <sheet name="11.3.3.S_Rx_OD" sheetId="16" r:id="rId16"/>
    <sheet name="11.3.4.S_IDx" sheetId="17" r:id="rId17"/>
    <sheet name=" 11.3.5.S_MNuc" sheetId="18" r:id="rId18"/>
    <sheet name="11.3.6.S_Radio" sheetId="19" r:id="rId19"/>
    <sheet name="11.3.7.S_Quimio" sheetId="20" r:id="rId20"/>
    <sheet name="11.3.8 S_Dx VASC" sheetId="21" r:id="rId21"/>
    <sheet name="11.3.9S_HI" sheetId="22" r:id="rId22"/>
    <sheet name="11.3.10 S_GPT" sheetId="23" r:id="rId23"/>
    <sheet name="11.3.11.S_TMLC" sheetId="24" r:id="rId24"/>
    <sheet name="11.3.12.S_LC" sheetId="25" r:id="rId25"/>
    <sheet name=" 11.3.13 S_TM_CU" sheetId="26" r:id="rId26"/>
    <sheet name="11.3.14.S_LCU" sheetId="27" r:id="rId27"/>
    <sheet name="11.3.15.S_LHT" sheetId="28" r:id="rId28"/>
    <sheet name="11.3.16.S_LPT" sheetId="29" r:id="rId29"/>
    <sheet name="11.3.17.S_Dial" sheetId="30" r:id="rId30"/>
    <sheet name="11.4.1.S_HP" sheetId="31" r:id="rId31"/>
    <sheet name="11.4.2.S_HP_PC" sheetId="32" r:id="rId32"/>
    <sheet name="11.4.3.S_CBN" sheetId="33" r:id="rId33"/>
    <sheet name="11.4.4.S_CIN " sheetId="34" r:id="rId34"/>
    <sheet name="11.4.5.S_CINN" sheetId="35" r:id="rId35"/>
    <sheet name="11.4.6. S_CINP" sheetId="36" r:id="rId36"/>
    <sheet name="11.4.7.S_CIP" sheetId="37" r:id="rId37"/>
    <sheet name="11.4.8.S_CIMA" sheetId="38" r:id="rId38"/>
    <sheet name="11.4.9.S_CIA" sheetId="39" r:id="rId39"/>
    <sheet name="11.4.10.S_HSM CSP" sheetId="40" r:id="rId40"/>
    <sheet name="11.4.11.S_HSP" sheetId="41" r:id="rId41"/>
    <sheet name="11.4.12.S_CB_CSP" sheetId="42" r:id="rId42"/>
    <sheet name="11.5.1.S_CX" sheetId="43" r:id="rId43"/>
    <sheet name="11.6.1.S_UR" sheetId="44" r:id="rId44"/>
    <sheet name="11.6.2.S_TR_AS" sheetId="45" r:id="rId45"/>
    <sheet name="11.6.3.S_AT_PH" sheetId="46" r:id="rId46"/>
    <sheet name="11.6.4.S_A.parto" sheetId="47" r:id="rId47"/>
  </sheets>
  <definedNames>
    <definedName name="_xlnm._FilterDatabase" localSheetId="25" hidden="1">' 11.3.13 S_TM_CU'!$A$4:$D$30</definedName>
    <definedName name="_xlnm._FilterDatabase" localSheetId="14" hidden="1">' 11.3.2.SF'!$A$4:$D$71</definedName>
    <definedName name="_xlnm._FilterDatabase" localSheetId="17" hidden="1">' 11.3.5.S_MNuc'!$A$7:$D$99</definedName>
    <definedName name="_xlnm._FilterDatabase" localSheetId="2" hidden="1">'11.1.1TH'!$A$3:$D$28</definedName>
    <definedName name="_xlnm._FilterDatabase" localSheetId="3" hidden="1">'11.1.2.INF'!$A$3:$D$23</definedName>
    <definedName name="_xlnm._FilterDatabase" localSheetId="4" hidden="1">'11.1.3.DOT'!$A$3:$D$66</definedName>
    <definedName name="_xlnm._FilterDatabase" localSheetId="5" hidden="1">'11.1.4MD'!$A$3:$D$62</definedName>
    <definedName name="_xlnm._FilterDatabase" localSheetId="6" hidden="1">'11.1.5.PP'!$A$3:$D$112</definedName>
    <definedName name="_xlnm._FilterDatabase" localSheetId="7" hidden="1">'11.1.6.HCR'!$A$4:$D$30</definedName>
    <definedName name="_xlnm._FilterDatabase" localSheetId="8" hidden="1">'11.1.7INT'!$A$3:$D$8</definedName>
    <definedName name="_xlnm._FilterDatabase" localSheetId="9" hidden="1">'11.2.1.S_CE_G'!$A$4:$D$158</definedName>
    <definedName name="_xlnm._FilterDatabase" localSheetId="10" hidden="1">'11.2.2.S_CE_E'!$A$4:$D$91</definedName>
    <definedName name="_xlnm._FilterDatabase" localSheetId="11" hidden="1">'11.2.3.S_CE_V'!$A$4:$D$81</definedName>
    <definedName name="_xlnm._FilterDatabase" localSheetId="12" hidden="1">'11.2.4.S_CE_SST'!$A$4:$D$53</definedName>
    <definedName name="_xlnm._FilterDatabase" localSheetId="13" hidden="1">'11.3.1.S_TR'!$A$4:$D$77</definedName>
    <definedName name="_xlnm._FilterDatabase" localSheetId="22" hidden="1">'11.3.10 S_GPT'!$A$4:$D$47</definedName>
    <definedName name="_xlnm._FilterDatabase" localSheetId="23" hidden="1">'11.3.11.S_TMLC'!$A$4:$D$45</definedName>
    <definedName name="_xlnm._FilterDatabase" localSheetId="24" hidden="1">'11.3.12.S_LC'!$A$4:$D$78</definedName>
    <definedName name="_xlnm._FilterDatabase" localSheetId="26" hidden="1">'11.3.14.S_LCU'!$A$4:$D$52</definedName>
    <definedName name="_xlnm._FilterDatabase" localSheetId="27" hidden="1">'11.3.15.S_LHT'!$A$4:$D$43</definedName>
    <definedName name="_xlnm._FilterDatabase" localSheetId="28" hidden="1">'11.3.16.S_LPT'!$A$4:$D$72</definedName>
    <definedName name="_xlnm._FilterDatabase" localSheetId="29" hidden="1">'11.3.17.S_Dial'!$A$4:$D$124</definedName>
    <definedName name="_xlnm._FilterDatabase" localSheetId="15" hidden="1">'11.3.3.S_Rx_OD'!$A$4:$D$69</definedName>
    <definedName name="_xlnm._FilterDatabase" localSheetId="16" hidden="1">'11.3.4.S_IDx'!$A$5:$D$154</definedName>
    <definedName name="_xlnm._FilterDatabase" localSheetId="18" hidden="1">'11.3.6.S_Radio'!$A$7:$D$115</definedName>
    <definedName name="_xlnm._FilterDatabase" localSheetId="19" hidden="1">'11.3.7.S_Quimio'!$A$7:$D$107</definedName>
    <definedName name="_xlnm._FilterDatabase" localSheetId="20" hidden="1">'11.3.8 S_Dx VASC'!$A$6:$U$53</definedName>
    <definedName name="_xlnm._FilterDatabase" localSheetId="21" hidden="1">'11.3.9S_HI'!$A$4:$D$116</definedName>
    <definedName name="_xlnm._FilterDatabase" localSheetId="30" hidden="1">'11.4.1.S_HP'!$A$4:$D$263</definedName>
    <definedName name="Z_0D95EE29_7809_4A7B_AA05_28E397903348_.wvu.FilterData" localSheetId="17" hidden="1">' 11.3.5.S_MNuc'!$A$7:$D$99</definedName>
    <definedName name="Z_0D95EE29_7809_4A7B_AA05_28E397903348_.wvu.FilterData" localSheetId="2" hidden="1">'11.1.1TH'!$A$3:$D$10</definedName>
  </definedNames>
  <calcPr calcId="191028"/>
  <customWorkbookViews>
    <customWorkbookView name="Filtro 1" guid="{0D95EE29-7809-4A7B-AA05-28E39790334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21" i="47" l="1"/>
  <c r="C220" i="47"/>
  <c r="C219" i="47"/>
  <c r="C102" i="46"/>
  <c r="C101" i="46"/>
  <c r="C100" i="46"/>
  <c r="C290" i="45"/>
  <c r="C289" i="45"/>
  <c r="C288" i="45"/>
  <c r="C251" i="44"/>
  <c r="C250" i="44"/>
  <c r="C249" i="44"/>
  <c r="C241" i="43"/>
  <c r="C240" i="43"/>
  <c r="C239" i="43"/>
  <c r="C118" i="42"/>
  <c r="C117" i="42"/>
  <c r="C116" i="42"/>
  <c r="C178" i="41"/>
  <c r="C177" i="41"/>
  <c r="C176" i="41"/>
  <c r="C140" i="40"/>
  <c r="C139" i="40"/>
  <c r="C138" i="40"/>
  <c r="C128" i="39"/>
  <c r="C127" i="39"/>
  <c r="C126" i="39"/>
  <c r="C113" i="38"/>
  <c r="C112" i="38"/>
  <c r="C111" i="38"/>
  <c r="C142" i="37"/>
  <c r="C141" i="37"/>
  <c r="C140" i="37"/>
  <c r="C116" i="36"/>
  <c r="C115" i="36"/>
  <c r="C114" i="36"/>
  <c r="C146" i="35"/>
  <c r="C145" i="35"/>
  <c r="C144" i="35"/>
  <c r="C115" i="34"/>
  <c r="C114" i="34"/>
  <c r="C113" i="34"/>
  <c r="C93" i="33"/>
  <c r="C92" i="33"/>
  <c r="C91" i="33"/>
  <c r="C249" i="32"/>
  <c r="C248" i="32"/>
  <c r="C247" i="32"/>
  <c r="C268" i="31"/>
  <c r="C267" i="31"/>
  <c r="C266" i="31"/>
  <c r="C129" i="30"/>
  <c r="C128" i="30"/>
  <c r="C127" i="30"/>
  <c r="C77" i="29"/>
  <c r="C76" i="29"/>
  <c r="C75" i="29"/>
  <c r="C48" i="28"/>
  <c r="C47" i="28"/>
  <c r="C46" i="28"/>
  <c r="C57" i="27"/>
  <c r="C56" i="27"/>
  <c r="C55" i="27"/>
  <c r="C62" i="26"/>
  <c r="F59" i="2" s="1"/>
  <c r="C61" i="26"/>
  <c r="E59" i="2" s="1"/>
  <c r="C60" i="26"/>
  <c r="D59" i="2" s="1"/>
  <c r="C83" i="25"/>
  <c r="C82" i="25"/>
  <c r="C81" i="25"/>
  <c r="C50" i="24"/>
  <c r="C49" i="24"/>
  <c r="C48" i="24"/>
  <c r="C52" i="23"/>
  <c r="C51" i="23"/>
  <c r="C50" i="23"/>
  <c r="C121" i="22"/>
  <c r="C120" i="22"/>
  <c r="C119" i="22"/>
  <c r="U58" i="21"/>
  <c r="R58" i="21"/>
  <c r="O58" i="21"/>
  <c r="L58" i="21"/>
  <c r="I58" i="21"/>
  <c r="F58" i="21"/>
  <c r="C58" i="21"/>
  <c r="U57" i="21"/>
  <c r="R57" i="21"/>
  <c r="O57" i="21"/>
  <c r="L57" i="21"/>
  <c r="I57" i="21"/>
  <c r="F57" i="21"/>
  <c r="C57" i="21"/>
  <c r="U56" i="21"/>
  <c r="R56" i="21"/>
  <c r="O56" i="21"/>
  <c r="L56" i="21"/>
  <c r="I56" i="21"/>
  <c r="F56" i="21"/>
  <c r="C56" i="21"/>
  <c r="C112" i="20"/>
  <c r="C111" i="20"/>
  <c r="C110" i="20"/>
  <c r="C120" i="19"/>
  <c r="C119" i="19"/>
  <c r="C118" i="19"/>
  <c r="C104" i="18"/>
  <c r="C103" i="18"/>
  <c r="C102" i="18"/>
  <c r="C220" i="17"/>
  <c r="C219" i="17"/>
  <c r="C218" i="17"/>
  <c r="C74" i="16"/>
  <c r="C73" i="16"/>
  <c r="C72" i="16"/>
  <c r="C76" i="15"/>
  <c r="C75" i="15"/>
  <c r="C74" i="15"/>
  <c r="C82" i="14"/>
  <c r="C81" i="14"/>
  <c r="C80" i="14"/>
  <c r="C58" i="13"/>
  <c r="C57" i="13"/>
  <c r="C56" i="13"/>
  <c r="C86" i="12"/>
  <c r="C85" i="12"/>
  <c r="C84" i="12"/>
  <c r="C96" i="11"/>
  <c r="C95" i="11"/>
  <c r="C94" i="11"/>
  <c r="C163" i="10"/>
  <c r="C162" i="10"/>
  <c r="C161" i="10"/>
  <c r="C14" i="9"/>
  <c r="C13" i="9"/>
  <c r="C12" i="9"/>
  <c r="C66" i="8"/>
  <c r="C65" i="8"/>
  <c r="C64" i="8"/>
  <c r="C117" i="7"/>
  <c r="F8" i="2"/>
  <c r="C116" i="7"/>
  <c r="E8" i="2"/>
  <c r="C115" i="7"/>
  <c r="D8" i="2"/>
  <c r="G8" i="2"/>
  <c r="C67" i="6"/>
  <c r="C66" i="6"/>
  <c r="C65" i="6"/>
  <c r="C70" i="5"/>
  <c r="C69" i="5"/>
  <c r="C68" i="5"/>
  <c r="C204" i="4"/>
  <c r="C203" i="4"/>
  <c r="C202" i="4"/>
  <c r="C32" i="3"/>
  <c r="C31" i="3"/>
  <c r="C30" i="3"/>
  <c r="D110" i="2"/>
  <c r="F110" i="2"/>
  <c r="G110" i="2"/>
  <c r="E110" i="2"/>
  <c r="D109" i="2"/>
  <c r="F109" i="2"/>
  <c r="G109" i="2"/>
  <c r="E109" i="2"/>
  <c r="D108" i="2"/>
  <c r="F108" i="2"/>
  <c r="G108" i="2"/>
  <c r="E108" i="2"/>
  <c r="F107" i="2"/>
  <c r="D107" i="2"/>
  <c r="G107" i="2"/>
  <c r="E107" i="2"/>
  <c r="D91" i="2"/>
  <c r="F91" i="2"/>
  <c r="G91" i="2"/>
  <c r="E91" i="2"/>
  <c r="D78" i="2"/>
  <c r="F78" i="2"/>
  <c r="G78" i="2"/>
  <c r="E78" i="2"/>
  <c r="D77" i="2"/>
  <c r="F77" i="2"/>
  <c r="G77" i="2"/>
  <c r="E77" i="2"/>
  <c r="D76" i="2"/>
  <c r="F76" i="2"/>
  <c r="G76" i="2"/>
  <c r="E76" i="2"/>
  <c r="D75" i="2"/>
  <c r="F75" i="2"/>
  <c r="G75" i="2"/>
  <c r="E75" i="2"/>
  <c r="D74" i="2"/>
  <c r="F74" i="2"/>
  <c r="G74" i="2"/>
  <c r="E74" i="2"/>
  <c r="D73" i="2"/>
  <c r="F73" i="2"/>
  <c r="G73" i="2"/>
  <c r="E73" i="2"/>
  <c r="F72" i="2"/>
  <c r="D72" i="2"/>
  <c r="G72" i="2"/>
  <c r="E72" i="2"/>
  <c r="D71" i="2"/>
  <c r="F71" i="2"/>
  <c r="G71" i="2"/>
  <c r="E71" i="2"/>
  <c r="D70" i="2"/>
  <c r="F70" i="2"/>
  <c r="G70" i="2"/>
  <c r="E70" i="2"/>
  <c r="D69" i="2"/>
  <c r="F69" i="2"/>
  <c r="G69" i="2"/>
  <c r="E69" i="2"/>
  <c r="D68" i="2"/>
  <c r="F68" i="2"/>
  <c r="G68" i="2"/>
  <c r="E68" i="2"/>
  <c r="D67" i="2"/>
  <c r="F67" i="2"/>
  <c r="G67" i="2"/>
  <c r="E67" i="2"/>
  <c r="D63" i="2"/>
  <c r="F63" i="2"/>
  <c r="G63" i="2"/>
  <c r="E63" i="2"/>
  <c r="D62" i="2"/>
  <c r="F62" i="2"/>
  <c r="G62" i="2"/>
  <c r="E62" i="2"/>
  <c r="F61" i="2"/>
  <c r="D61" i="2"/>
  <c r="G61" i="2"/>
  <c r="E61" i="2"/>
  <c r="D60" i="2"/>
  <c r="F60" i="2"/>
  <c r="G60" i="2"/>
  <c r="E60" i="2"/>
  <c r="D58" i="2"/>
  <c r="F58" i="2"/>
  <c r="G58" i="2"/>
  <c r="E58" i="2"/>
  <c r="D57" i="2"/>
  <c r="F57" i="2"/>
  <c r="G57" i="2"/>
  <c r="E57" i="2"/>
  <c r="D56" i="2"/>
  <c r="F56" i="2"/>
  <c r="G56" i="2"/>
  <c r="E56" i="2"/>
  <c r="D55" i="2"/>
  <c r="F55" i="2"/>
  <c r="G55" i="2"/>
  <c r="E55" i="2"/>
  <c r="D54" i="2"/>
  <c r="F54" i="2"/>
  <c r="G54" i="2"/>
  <c r="E54" i="2"/>
  <c r="D53" i="2"/>
  <c r="F53" i="2"/>
  <c r="G53" i="2"/>
  <c r="E53" i="2"/>
  <c r="D52" i="2"/>
  <c r="F52" i="2"/>
  <c r="G52" i="2"/>
  <c r="E52" i="2"/>
  <c r="F51" i="2"/>
  <c r="D51" i="2"/>
  <c r="G51" i="2"/>
  <c r="E51" i="2"/>
  <c r="D50" i="2"/>
  <c r="F50" i="2"/>
  <c r="G50" i="2"/>
  <c r="E50" i="2"/>
  <c r="D49" i="2"/>
  <c r="F49" i="2"/>
  <c r="G49" i="2"/>
  <c r="E49" i="2"/>
  <c r="D48" i="2"/>
  <c r="F48" i="2"/>
  <c r="G48" i="2"/>
  <c r="E48" i="2"/>
  <c r="D47" i="2"/>
  <c r="F47" i="2"/>
  <c r="G47" i="2"/>
  <c r="E47" i="2"/>
  <c r="D46" i="2"/>
  <c r="F46" i="2"/>
  <c r="G46" i="2"/>
  <c r="E46" i="2"/>
  <c r="F45" i="2"/>
  <c r="D45" i="2"/>
  <c r="G45" i="2"/>
  <c r="E45" i="2"/>
  <c r="D44" i="2"/>
  <c r="C44" i="2"/>
  <c r="F44" i="2"/>
  <c r="G44" i="2"/>
  <c r="E44" i="2"/>
  <c r="D43" i="2"/>
  <c r="F43" i="2"/>
  <c r="G43" i="2"/>
  <c r="E43" i="2"/>
  <c r="D42" i="2"/>
  <c r="F42" i="2"/>
  <c r="G42" i="2"/>
  <c r="E42" i="2"/>
  <c r="D41" i="2"/>
  <c r="F41" i="2"/>
  <c r="G41" i="2"/>
  <c r="E41" i="2"/>
  <c r="D27" i="2"/>
  <c r="F27" i="2"/>
  <c r="G27" i="2"/>
  <c r="E27" i="2"/>
  <c r="D26" i="2"/>
  <c r="F26" i="2"/>
  <c r="G26" i="2"/>
  <c r="E26" i="2"/>
  <c r="D25" i="2"/>
  <c r="F25" i="2"/>
  <c r="G25" i="2"/>
  <c r="E25" i="2"/>
  <c r="D24" i="2"/>
  <c r="F24" i="2"/>
  <c r="G24" i="2"/>
  <c r="E24" i="2"/>
  <c r="D10" i="2"/>
  <c r="F10" i="2"/>
  <c r="G10" i="2"/>
  <c r="E10" i="2"/>
  <c r="D9" i="2"/>
  <c r="F9" i="2"/>
  <c r="G9" i="2"/>
  <c r="E9" i="2"/>
  <c r="D7" i="2"/>
  <c r="F7" i="2"/>
  <c r="G7" i="2"/>
  <c r="E7" i="2"/>
  <c r="D6" i="2"/>
  <c r="F6" i="2"/>
  <c r="G6" i="2"/>
  <c r="E6" i="2"/>
  <c r="D5" i="2"/>
  <c r="F5" i="2"/>
  <c r="G5" i="2"/>
  <c r="E5" i="2"/>
  <c r="D4" i="2"/>
  <c r="F4" i="2"/>
  <c r="G4" i="2"/>
  <c r="E4" i="2"/>
  <c r="G5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libri"/>
          </rPr>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900-000001000000}">
      <text>
        <r>
          <rPr>
            <sz val="11"/>
            <color rgb="FF000000"/>
            <rFont val="Calibri"/>
          </rPr>
          <t>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B00-000001000000}">
      <text>
        <r>
          <rPr>
            <sz val="11"/>
            <color rgb="FF000000"/>
            <rFont val="Calibri"/>
          </rPr>
          <t>Servicio en el cual se intervienen a los usuarios mediante las acciones de vacunación, definidas por el Estado como parte de las prestaciones de salud pública para lograr la protección de la población, o solicitadas de forma particular por el médico tratante o por el usuario en su decisión de evitar enfermedades inmunoprevenibles.
	-Carolina Maria Agudelo Guzman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C00-000001000000}">
      <text>
        <r>
          <rPr>
            <sz val="11"/>
            <color rgb="FF000000"/>
            <rFont val="Calibri"/>
          </rPr>
          <t>Es el servicio de salud donde se interroga y examina a un paciente, con el fin de monitorear la exposición a factores de riesgo laborales y determinar la existencia de consecuencias en la salud de las personas por dicha exposición. Se realizan valoraciones complementarias como apoyo al diagnóstico y forman parte de las evaluaciones médicas ocupacionales.
	-Carolina Maria Agudelo Guzman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D00-000001000000}">
      <text>
        <r>
          <rPr>
            <sz val="11"/>
            <color rgb="FF000000"/>
            <rFont val="Calibri"/>
          </rPr>
          <t>Son los servicios donde se realizan procedimientos de tratamiento y rehabilitación a fin de prevenir discapacidades y lograr la curación o paliación de las enfermedades o síntomas.
Incluye: Fisioterapia o terapia física, fonoaudiología o terapia del lenguaje, terapia ocupacional y terapia respiratoria.
	-Alejandra Cadavid Londoño</t>
        </r>
      </text>
    </comment>
    <comment ref="B3" authorId="0" shapeId="0" xr:uid="{00000000-0006-0000-0D00-000002000000}">
      <text>
        <r>
          <rPr>
            <sz val="11"/>
            <color rgb="FF000000"/>
            <rFont val="Calibri"/>
          </rPr>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E00-000001000000}">
      <text>
        <r>
          <rPr>
            <sz val="11"/>
            <color rgb="FF000000"/>
            <rFont val="Calibri"/>
          </rPr>
          <t>Es el servicio de atención en salud que apoya las actividades, procedimientos e intervenciones de carácter técnico, científico y administrativo, relacionados con los medicamentos y los dispositivos médicos utilizados en la promoción de la salud y la prevención, diagnóstico, tratamiento y rehabilitación de la enfermedad, con el fin de contribuir en forma armónica e integral al mejoramiento de la calidad de vida individual y colectiva.
Complejidad Baja
En el servicio farmacéutico de baja complejidad se incluyen como mínimo los siguientes procesos generales: selección, adquisición, transporte, recepción, almacenamiento, conservación, control de fechas de vencimiento, control de cadena de frío, distribución, dispensación, uso, devolución; participación en grupos interdisciplinarios; farmacovigilancia, información y educación al paciente y la comunidad sobre uso adecuado y destrucción o desnaturalización de medicamentos y dispositivos médicos.
Complejidad media y alta
Adicional a los procesos generales que se realizan en la baja complejidad, se ejecutan todos o algunos de los siguientes procesos especiales:
- Atención farmacéutica.
- Preparaciones: magistrales, estériles y no estériles.
- Nutriciones parenterales.
- Mezcla de medicamentos oncológicos.
- Adecuación y ajuste de concentraciones para cumplir con las dosis prescritas, o reempaque o reenvase.
- Participación en programas relacionados con medicamentos y dispositivos médicos.
- Realización o participación en estudios sobre uso adecuado, demanda insatisfecha, farmacoepidemiología, farmacoeconomía, uso de antibióticos, farmacia clínica y cualquier tema relacionado de interés para el paciente, el servicio farmacéutico, las autoridades y la comunidad.
- Monitorización de medicamentos.
- Control, dispensación y distribución de radiofármacos.
- Investigación clínica.
- Preparación de guías para la entrega o aceptación de donaciones de medicamentos y dispositivos médicos.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F00-000001000000}">
      <text>
        <r>
          <rPr>
            <sz val="11"/>
            <color rgb="FF000000"/>
            <rFont val="Calibri"/>
          </rPr>
          <t>Es el servicio dedicado al diagnóstico de las enfermedades odontológicas, mediante el uso de métodos diagnósticos con imágenes obtenidas mediante radiaciones ionizantes.
Estructura del servicio:
Complejidad: No aplica.
Modalidades de prestación: Intramural
Extramural: Unidad móvil
Telemedicina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000-000001000000}">
      <text>
        <r>
          <rPr>
            <sz val="11"/>
            <color rgb="FF000000"/>
            <rFont val="Calibri"/>
          </rPr>
          <t>Es el servicio dedicado al diagnóstico o tratamiento de las enfermedades mediante el uso de radiaciones ionizantes o no ionizantes.
Estructura del servicio:
Complejidad:
Para métodos diagnósticos con imágenes obtenidas mediante el uso de radiaciones ionizantes: complejidad baja, media y alta.
Para métodos diagnósticos con imágenes obtenidas mediante el uso de radiaciones no ionizantes: complejidad media.
Modalidades de prestación: Intramural
Extramural  Unidad móvil: La prestación en esta modalidad aplica para el uso de métodos diagnósticos con imágenes obtenidas mediante el uso de radiaciones ionizantes y no ionizantes.
 Domiciliaria y Jornada de Salud: La prestación en esta modalidad aplica únicamente para el uso de métodos diagnósticos con imágenes obtenidas mediante el uso de radiaciones no ionizantes.
Telemedicina: La prestación en esta modalidad aplica para el uso de métodos diagnósticos con imágenes obtenidas mediante el uso de radiaciones ionizantes y no ionizantes en complejidad baja, media y alta.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1400-000001000000}">
      <text>
        <r>
          <rPr>
            <sz val="11"/>
            <color rgb="FF000000"/>
            <rFont val="Calibri"/>
          </rPr>
          <t>Es el servicio que utiliza métodos y procedimientos para el diagnóstico de enfermedades o disfunciones del sistema cardiovascular o de sus órganos o la demostración de sus procesos fisiológicos.
Estructura del servicio:
Complejidad: Media
Modalidades de prestación: Intramural
Es el servicio que utiliza métodos y procedimientos para el diagnóstico de enfermedades o disfunciones del sistema cardiovascular y vascular periférico (venoso, arterial y linfático), de sus órganos o la demostración de sus procesos fisiológicos.
	-JUAN PABLO JIMENEZ OCHOA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500-000001000000}">
      <text>
        <r>
          <rPr>
            <sz val="11"/>
            <color rgb="FF000000"/>
            <rFont val="Calibri"/>
          </rPr>
          <t>Es el servicio en el cual se realizan procedimientos diagnósticos y terapéuticos del sistema vascular y cardiovascular mediante técnicas invasivas.
Estructura del servicio:
Complejidad: Alta.
Modalidad de prestación: Intramural
Descripción del servicio:
Es el servicio en el cual se realizan procedimientos diagnósticos y terapéuticos del sistema vascular. cardiovascular y no vascular mediante técnicas invasivas bajo visión angiográfica.
	-JUAN PABLO JIMENEZ OCHOA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600-000001000000}">
      <text>
        <r>
          <rPr>
            <sz val="11"/>
            <color rgb="FF000000"/>
            <rFont val="Calibri"/>
          </rPr>
          <t>Servicio en el que se realizan procedimientos previos a la transfusión sanguínea, que incluye la consecución, abastecimiento, almacenamiento, distribución de los componentes sanguíneos y la realización de las pruebas pre transfusionales, con el fin de asegurar la selección adecuada del componente sanguíneo a transfundir.
Estructura del Servicio:
Complejidad: No aplica.
Modalidad de prestación: Intramural
Descripción del servicio:
Servicio en el que se reallzan procedimientos previos a la transfusión sanguínea, que incluye: la consecución, abastecimiento, almacenamiento y distribución de los componentes sanguíneos y la realización de las pruebas pre transfusionales con el fin de asegurar la selección  adecuada del componente sanguineo a transfundir, y su entrega al servicio en donde será transfundido e\ paciente.
Los prestadores de servicios de salud habilitarán este servicio para brindar apoyo a otros servicios de salud. No podrá habilitarse como servicio único.
	-JUAN PABLO JIMENEZ OCHOA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700-000001000000}">
      <text>
        <r>
          <rPr>
            <sz val="11"/>
            <color rgb="FF000000"/>
            <rFont val="Calibri"/>
          </rPr>
          <t>Servicio en el cual se realiza la toma y recepción de muestras de origen humano, que serán remitidas para su procesamiento al servicio de laboratorio clínico.
Complejidad: No Aplica
Modalidades de prestación: Intramural
Extramural: Unidad Móvil, Jornada de Salud y Domiciliaria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800-000001000000}">
      <text>
        <r>
          <rPr>
            <sz val="11"/>
            <color rgb="FF000000"/>
            <rFont val="Calibri"/>
          </rPr>
          <t>Servicio en el cual se realizan procedimientos de análisis de especímenes biológicos de origen humano.
En este servicio se podrá realizar toma de muestras de origen humano. En tal caso, no será necesario habilitar el servicio de toma de muestras de laboratorio clínico.
Cuando se realicen pruebas de inmunología para trasplantes debe garantizarse atención 24 horas para el procesamiento de las muestras.
Estructura del servicio
Complejidad: Baja y alta
Modalidades de prestación: Intramural
Extramural: Jornada de Salud, Unidad Móvil, Domiciliaria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900-000001000000}">
      <text>
        <r>
          <rPr>
            <sz val="11"/>
            <color rgb="FF000000"/>
            <rFont val="Calibri"/>
          </rPr>
          <t>Servicio destinado a la realización de toma de muestras de tejido del cuello del útero, pruebas ADN/VPH, técnicas de inspección visual y muestras ginecológicas.
Estructura del servicio:
Complejidad: No Aplica
Modalidades de prestación: Intramural
Extramural: Jornada de Salud y Unidad Móvil
Descripción del servicio:
Servicio en el cual se realiza la toma y recepción de muestras de origen humano, que serán remitidas para su procesamiento.
	-JUAN PABLO JIMENEZ OCHOA</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A00-000001000000}">
      <text>
        <r>
          <rPr>
            <sz val="11"/>
            <color rgb="FF000000"/>
            <rFont val="Calibri"/>
          </rPr>
          <t>Servicio en el cual se realiza el análisis de las muestras de citología cervico-uterinas.
Estructura del servicio:
Complejidad: No Aplica
Modalidades de prestación: Intramural
Extramural: Unidad Móvil y Jornadas de Salud.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B00-000001000000}">
      <text>
        <r>
          <rPr>
            <sz val="11"/>
            <color rgb="FF000000"/>
            <rFont val="Calibri"/>
          </rPr>
          <t>Servicio donde se realizan los procedimientos técnicos para la preparación y montaje de tejidos de origen humano como paso previo a su estudio por el medico especialista en patología.
Estructura del Servicio
Complejidad: No Aplica
Modalidad de prestación: Intramural</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C00-000001000000}">
      <text>
        <r>
          <rPr>
            <sz val="11"/>
            <color rgb="FF000000"/>
            <rFont val="Calibri"/>
          </rPr>
          <t>Servicio donde se realiza el estudio integral de fragmentos de tejido u órganos (biopsias), de origen humano.
Estructura del servicio:
Complejidad: Media
Modalidad de prestación: Intramural</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D00-000001000000}">
      <text>
        <r>
          <rPr>
            <sz val="11"/>
            <color rgb="FF000000"/>
            <rFont val="Calibri"/>
          </rPr>
          <t>Servicio donde se realizan las terapias de suplencia de la Insuficiencia Renal Crónica o Aguda, así como otras terapias extracorpóreas, dentro de las cuales se encuentran: Hemodiálisis y Diálisis peritoneal
Estructura del servicio:
Complejidad:
Hemodiálisis: Alta.
Diálisis peritoneal: mediana.
Modalidades de prestación:
Hemodiálisis: Intramural.
Extramural Jornada de salud: Aplica únicamente para realizarse en los servicios de cuidado intensivo y hospitalización.
Telemedicina – Categorías
Telexperticia sincrónico prestador remisor y prestador de referencia
Entre dos profesionales
Diálisis peritoneal: Intramural.
Telemedicina – Categorías
Telexperticia sincrónico prestador remisor y prestador de referencia
Entre dos profesionales
	-Carolina Maria Agudelo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E00-000001000000}">
      <text>
        <r>
          <rPr>
            <sz val="11"/>
            <color rgb="FF000000"/>
            <rFont val="Calibri"/>
          </rPr>
          <t>Es el servicio que presta atención en salud a pacientes que por su condición de salud requieren estancia hospitalaria mayor a 24 horas para monitorización o realización de procedimientos. 
Cuando se realice trasplante de células progenitoras hematopoyéticas los autorizados son los que proceden de: 
• Médula Ósea 
• Sangre periférica 
• Sangre de cordón umbilical 
ESTRUCTURA DEL SERVICIO:
Complejidades: Baja, mediana y alta 
Modalidades de prestación: 
1. Intramural 
2. Extramural Domiciliaria (aplica únicamente para baja complejidad) 
3. Telemedicina – Categorías: 
3.1. Telexperticia sincrónico y asincrónico prestador remisor y prestador referencia 
3.1.1. Entre dos profesionales 
3.1.1. Entre personal no profesional de salud y profesional de salud en modalidad domiciliaria 
3.2. Telemonitoreo sincrónico y asincrónico- prestador remisor y prestador referencia en modalidad domiciliaria 
El servicio de hospitalización en la modalidad extramural domiciliaria será prestado con criterios controlados, con el apoyo de profesionales, técnicos o auxiliares de salud y la participación de la familia o un cuidador.
	-Elizabeth Cristina Gaviria Gaviria
	-DESCRIPCIÓN DEL SERVICIO</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F00-000001000000}">
      <text>
        <r>
          <rPr>
            <sz val="11"/>
            <color rgb="FF000000"/>
            <rFont val="Calibri"/>
          </rPr>
          <t>Es el servicio que presta atención en salud al paciente con patología crónica con y sin ventilación, requiere valoraciones y cuidados por personal de salud, a través de un plan individualizado de atención, buscando mantener al paciente en su entorno, mantener funciones, prevenir el deterioro, con la máxima comodidad y alivio de síntomas posibles, garantizando su seguridad, cuando su condición clínica lo amerite.
El servicio de hospitalización paciente crónico será prestado con criterios controlados, con el apoyo de profesionales, técnicos o auxiliares de salud y la participación de la familia o un cuidador.
	-Carolina Maria Agudelo Guzman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100-000001000000}">
      <text>
        <r>
          <rPr>
            <sz val="11"/>
            <color rgb="FF000000"/>
            <rFont val="Calibri"/>
          </rPr>
          <t>Es el servicio donde se realizan actividades para la atención integral de la salud del neonato (0-30 días de vida o 44 semanas de edad corregida), que previsiblemente tienen un bajo riesgo de necesitar medidas terapéuticas de soporte vital, pero que cumplen con criterios médicos de ingreso a la unidad de cuidado intermedio
Estructura del servicio:
Complejidad: Media
Modalidad de prestación: Intramural.</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200-000001000000}">
      <text>
        <r>
          <rPr>
            <sz val="11"/>
            <color rgb="FF000000"/>
            <rFont val="Calibri"/>
          </rPr>
          <t>Servicio para la atención de pacientes recién nacidos críticamente enfermos, hasta los 28 días de vida o 44 semanas de edad corregida.
Estructura del servicio:
Complejidad: Alta
Modalidad de prestación: Intramural.</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300-000001000000}">
      <text>
        <r>
          <rPr>
            <sz val="11"/>
            <color rgb="FF000000"/>
            <rFont val="Calibri"/>
          </rPr>
          <t>Es el servicio para la atención de pacientes pediátricos con edades desde 1 mes o 44 semanas de edad corregida hasta los 18 años cumplidos de vida, o hasta la edad que por criterio médico pueden ser manejados en este servicio, que previsiblemente tienen un bajo riesgo de necesitar medidas terapéuticas de soporte vital.</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400-000001000000}">
      <text>
        <r>
          <rPr>
            <sz val="11"/>
            <color rgb="FF000000"/>
            <rFont val="Calibri"/>
          </rPr>
          <t>Servicio para la atención de pacientes pediátricos con edades desde 1 mes hasta los 18 años cumplidos de vida, cuya condición clínica pone en peligro la vida, críticamente enfermos con patologías que requieren soporte, monitorización y tratamiento especializado.
Estructura del servicio:
Complejidad: Alta
Modalidad de prestación: Intramural.</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500-000001000000}">
      <text>
        <r>
          <rPr>
            <sz val="11"/>
            <color rgb="FF000000"/>
            <rFont val="Calibri"/>
          </rPr>
          <t>Es el servicio para la atención de pacientes adultos o aquellos pacientes que por criterio médico puedan ser manejados en este servicio, que previsiblemente tienen un bajo riesgo de necesitar medidas terapéuticas de soporte vital, pero cuya condición de enfermedad requiere la utilización de técnicas de monitoreo no invasivo, vigilancia y manejo especial, incluyendo cuidados de enfermería adicionales a los que recibiría en servicios de hospitalización.
Estructura del servicio:
Complejidad: Media
Modalidad de prestación: Intramural y Telemedicina
Cuando este servicio se preste en la modalidad de telemedicina prestador remisor, su alcance se limitará para la consulta médica especializada con un prestador de referencia, para las siguientes entidades nosológicas:
 Atención inicial del trauma craneoencefálico.
 Sepsis de origen médico o quirúrgico.
 Síndromes coronarios agudos.
 Exacerbación de enfermedad pulmonar obstructiva crónica.
 Complicaciones relacionadas con embarazo y parto.
 En ningún momento se indicará atención bajo la modalidad de telemedicina para condiciones de salud que, de acuerdo con la evidencia, aún con manejo presencial por especialista, tenga alta presunción de complicaciones o desenlaces adversos.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600-000001000000}">
      <text>
        <r>
          <rPr>
            <sz val="11"/>
            <color rgb="FF000000"/>
            <rFont val="Calibri"/>
          </rPr>
          <t>Servicio para la atención de pacientes adultos críticamente enfermos o aquellos pacientes que por criterio médico puedan ser manejados en este servicio, con patologías que requieran soporte vital, monitoría y manejo especializado, cuya condición clínica pone en peligro la vida en forma inminente.
Estructura del servicio:
Complejidad: Alta
Modalidad de prestación: Intramural</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800-000001000000}">
      <text>
        <r>
          <rPr>
            <sz val="11"/>
            <color rgb="FF000000"/>
            <rFont val="Calibri"/>
          </rPr>
          <t>Es el servicio que presta atención a pacientes en internación parcial, diurna, nocturna, fin de semana y otras que no impliquen estancia completa.
	-Carolina Maria Agudelo Guzman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900-000001000000}">
      <text>
        <r>
          <rPr>
            <sz val="11"/>
            <color rgb="FF000000"/>
            <rFont val="Calibri"/>
          </rPr>
          <t>Es el servicio de internación en infraestructura no hospitalaria, para la atención de personas con consumo de sustancias psicoactivas, que incluye pernoctada.
	-Carolina Maria Agudelo Guzman</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A00-000001000000}">
      <text>
        <r>
          <rPr>
            <sz val="11"/>
            <color rgb="FF000000"/>
            <rFont val="Calibri"/>
          </rPr>
          <t>Servicio destinado a la realización de procedimientos e intervenciones quirúrgicas, que requieren total asepsia. Los procedimientos e intervenciones pueden requerir o no internación para el manejo post operatorio.
Cuando se realicen procedimientos de trasplantes de órganos y tejidos los autorizados son:
Órganos:
Riñón, hígado, corazón, páncreas, pulmón, intestino, multivisceral y los demás que el Gobierno Nacional autorice.
Tejidos:
Tejidos oculares, osteomuscular, cardiovascular, piel y componentes de la piel y los demás que el Gobierno Nacional autorice.
Estructura del servicio:
Complejidades: Baja: Aplica únicamente para zonas dispersas
Media
Alta
Modalidades de prestación: Intramural
Extramural: Jornada de Salud y Unidad Móvil - No aplica para trasplantes.
Telemedicina. - No aplica para trasplantes.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B00-000001000000}">
      <text>
        <r>
          <rPr>
            <sz val="11"/>
            <color rgb="FF000000"/>
            <rFont val="Calibri"/>
          </rPr>
          <t>Servicio responsable de dar atención a las alteraciones de la integridad física, funcional y/o psíquica por cualquier causa con diversos grados de severidad, que comprometen la vida o funcionalidad de la persona y que requiere de la protección inmediata de servicios de salud, a fin de conservar la vida y prevenir consecuencias críticas presentes o futuras. El servicio debe ser prestado las 24 horas del día.
Estructura del Servicio
Complejidades: Baja, media y alta
Modalidad de prestación: Intramural</t>
        </r>
      </text>
    </comment>
  </commentList>
</comments>
</file>

<file path=xl/sharedStrings.xml><?xml version="1.0" encoding="utf-8"?>
<sst xmlns="http://schemas.openxmlformats.org/spreadsheetml/2006/main" count="10815" uniqueCount="4526">
  <si>
    <t>VOLVER A TABLA DE CONTENIDO</t>
  </si>
  <si>
    <t>Grupo servicio</t>
  </si>
  <si>
    <t>Servicio</t>
  </si>
  <si>
    <t>Páginas</t>
  </si>
  <si>
    <t>11.1. ESTÁNDARES Y CRITERIOS APLICABLES A TODOS LOS SERVICIOS</t>
  </si>
  <si>
    <t xml:space="preserve">Estandar de Talento Humano </t>
  </si>
  <si>
    <t xml:space="preserve">11.1.1 TALENTO HUMANO </t>
  </si>
  <si>
    <t>Estandar</t>
  </si>
  <si>
    <t>59 -61</t>
  </si>
  <si>
    <t>Criterios</t>
  </si>
  <si>
    <t>Estado</t>
  </si>
  <si>
    <t>Comentarios</t>
  </si>
  <si>
    <t>TSTH</t>
  </si>
  <si>
    <t xml:space="preserve">1. El talento humano en salud y otros profesionales que se relacionan con la atención o resultados en salud de los usuarios, cuentan con los titulos,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 </t>
  </si>
  <si>
    <t xml:space="preserve">11.1.2. INFRAESTRUCTURA </t>
  </si>
  <si>
    <t>61 - 68</t>
  </si>
  <si>
    <t>C</t>
  </si>
  <si>
    <t xml:space="preserve">11.1.3. DOTACIÓN </t>
  </si>
  <si>
    <t>68 - 71</t>
  </si>
  <si>
    <t>2. El talento humano en salud cuenta con copia de la resolución de autorización del ejercicio expedido por la autoridad competente  o inscripción e en el ReTHUS</t>
  </si>
  <si>
    <t>NC</t>
  </si>
  <si>
    <t xml:space="preserve">11.1.4. MEDICAMENTOS, DISPOSITIVOS MÉDICOS E INSUMOS </t>
  </si>
  <si>
    <t>71 - 73</t>
  </si>
  <si>
    <t>3. El prestador de servicios de salud determina la cantidad necesaria de talento humano requerido para cada uno de los servicios ofertados y prestados, de acuerdo con la capacidad instalada, la relación entre la oferta y demanda, la oportunidad en la prestación, tiempo de la atención y el riesgo en la atención. Este criterio no aplica para profesionales independientes de salud</t>
  </si>
  <si>
    <t>NA</t>
  </si>
  <si>
    <t>11.1.5. PROCESOS PRIORITARIOS</t>
  </si>
  <si>
    <t>73 - 77</t>
  </si>
  <si>
    <t>4. El prestador de servicios de salud que actúe como escenario de práctica formativa en el área de la salud, cuenta con:</t>
  </si>
  <si>
    <t>11.1.6. HISTORIA CLÍNICA Y REGISTROS</t>
  </si>
  <si>
    <t>77 - 79</t>
  </si>
  <si>
    <t>4.1. Convenio vigente con la institución educativa autorizada por la entidad competente</t>
  </si>
  <si>
    <t>11.1.7. INTERDEPENDENCIA</t>
  </si>
  <si>
    <t>4.2. Información documentada de los mecanismos de supervisión permanente del personal en entrnamiento</t>
  </si>
  <si>
    <t xml:space="preserve">4.3. Estudio de la capacidad instalada en el cual se dtermine el número máximo de estudiantes que simultaneamente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clinicos" publicados por el Ministerio de Salud y Protección Social </t>
  </si>
  <si>
    <t>11.2. GRUPO CONSULTA  EXTERNA</t>
  </si>
  <si>
    <t>5. En los servicios de salud diferentes a los servicios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 dolor y cuidado paliativo, el profesional en medicina tratante cuenta con constancia de asistencia en las acciones de formación continua en el manejo de dolor y cuidado paliativo, cuando no sea especialista en dolor y cuidado paliativo</t>
  </si>
  <si>
    <t>11.2.1. SERVICIO DE CONSULTA EXTERNA GENERAL</t>
  </si>
  <si>
    <t>6. El talento humano en salud de los servicios de atención del parto, cuidado intensivo y cuidado intermedio neonatal, pediátrico y adultos, cuentan con constancia de asistencia en las acciones de formación continua para la gestión del duelo</t>
  </si>
  <si>
    <t>80-84</t>
  </si>
  <si>
    <t>7. En los servicios de salud donde se realicen imagenes diagnósticas por ultrasonido, cuenta con médico especialista en radiologia e imagenes diagnósticas también podrán realizar imagenes diagnósticas aquellos médicos especialistas, quienes en su pensum o formación académica hayan adquirido los conocimientos del manejo e interpretación del espectro electromagnetico, del ultrasonido especialmente, así como de la radiaciones ionizantes para establecer el diagnóstico o el tratamiento de las enfermedades inherentes a su especialidad, para lo cual deberá acreditar el respectivo certificado.</t>
  </si>
  <si>
    <t>11.2.2. SERVICIO DE CONSULTA EXTERNA ESPECIALIZADA</t>
  </si>
  <si>
    <t>85-88</t>
  </si>
  <si>
    <t>8. Los profesionales de la medicina de los servicios de hospitalización de baja, mediana y alta complejidad, hospitalización paciente crónico con y sin ventilador, cuidados intensivos neonatales, pediátricos y adultos; urgencias, y servicios del grupo quirurgico en modalidad intramural,cuentan con certificación vigente de aprobación de la evaluación de competencias esenciales para el cuidado de la donante expedida por el Instituto Nacional de Salud.</t>
  </si>
  <si>
    <t>11.2.3. SERVICIO DE VACUNACIÓN</t>
  </si>
  <si>
    <t>9. Las instituciones prestadoras de servicios de salud con servicios de cuidado intensivo pediatrico y adulto que adicionalmente habiliten servicio quirurgico de neurocirugía, tienen disponibilidad de coordinador operativo de trasplantes.</t>
  </si>
  <si>
    <t>88-91</t>
  </si>
  <si>
    <t>10. El talento humano en salud de los servicios de salud de los grupos de consulta externa, internación y el servicio de urgencias, cuentan con constancia de asistencia en las acciones de formación continua en la atención integral en salud de las personas victimas de violencia sexual.</t>
  </si>
  <si>
    <t>11.2.4. SERVICIO DE SEGURIDAD Y SALUD EN EL TRABAJO</t>
  </si>
  <si>
    <t>11. El talento humano en salud de los servicios de transporte asistencial, atención prehospitalaria y urgencias, cuentasn con constancia de asistencia en las acciones de formación continua en la atención a personas víctimas de ataques con agentes químicos.</t>
  </si>
  <si>
    <t>91-93</t>
  </si>
  <si>
    <t>12. Cuando en un servicio de salud se realicen "pruebas en punto de atención del paciente - (point of care testing - POCT)", el talento humano en salud qeu las realice, a excepción del profesional en bacteriologia cuenta con constancia de asistencia en las acciones de formación continua en la atención a personas víctimas de ataques con agentes químicos.</t>
  </si>
  <si>
    <t>11.3. GRUPO APOYO DIAGNÓSTICO Y COMPLEMENTACIÓN TERAPÉUTICA</t>
  </si>
  <si>
    <t>13. Procedimientos bajo sedación:</t>
  </si>
  <si>
    <t>11.3.1. SERVICIO DE TERAPIAS</t>
  </si>
  <si>
    <t>94-97</t>
  </si>
  <si>
    <r>
      <t xml:space="preserve">13.1 Cuando fuera de salas de cirugía, se realicen procedimientos bajo sedación Grado I y II, adicional al profesional de salud que realiza el procedimiento, </t>
    </r>
    <r>
      <rPr>
        <b/>
        <sz val="11"/>
        <rFont val="Calibri"/>
      </rPr>
      <t>cuenta con:</t>
    </r>
  </si>
  <si>
    <t>11.3.2. SERVICIO FARMACÉUTICO</t>
  </si>
  <si>
    <t>97-101</t>
  </si>
  <si>
    <t xml:space="preserve">13.1.1. Profesional en la medicina especialista en anestesiologia, o profesional de la medicina o profesional en odontologia, según aplique, el cual será el encargado de administrar el medicamento y realizar el monitoreo continuo del paciente (registro de signos vitales y la respuesta a la sedación) </t>
  </si>
  <si>
    <t>11.3.3 SERVICIO DE RADIOLOGiA ODONTOLÓGICA</t>
  </si>
  <si>
    <t>101-103</t>
  </si>
  <si>
    <t>13.1.2. Todos los profesionales, a excepción del profesional de la medicina especialista en anestesiologia, deben demostrar constancia de asistencia a curso de formación continua en soporte vital básico y sedación</t>
  </si>
  <si>
    <t>11.3.4 SERVICIO DE IMÁGENES DIAGNÓSTICAS</t>
  </si>
  <si>
    <t>103-104</t>
  </si>
  <si>
    <t>13.1.3 Para sedacción con óxido nitroso en odontologia, el profesional de la odontología cuenta con constancia de asistencia en las acciones de formación continua para uso clínico y práctico de este gas.</t>
  </si>
  <si>
    <t xml:space="preserve">13.2. Cuando fuera de las salas de cirugia, se realicen procedimientos bajo sedación grado III, adicional al profesional de salud que realiza el procedimiento, cuenta con profesional de la medicina con especialidad médico - quirúrgica, quién será el responsable de administrar la sedación </t>
  </si>
  <si>
    <t xml:space="preserve">13.3. Cuando fuera de las salas de cirugía, se realicen procedimientos bajo sedación grado IV, adicional al profesional de  salud que realiza el procedimiento, cuenta con profesional de la medicina especialisa en anestesiologia, quién será el responsable de administrar la sedación  </t>
  </si>
  <si>
    <t>13.4 Cuenta con profesional de la medicina especialista en anestesiologia cuando la atención de trate de pacientes con caracteristicas particulares: poco colaboradores; edades extremas; con enfermedades severas:cardíacas, pulmonares, hepáticas, renales o del sistema nervioso central;cualquier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analgesia</t>
  </si>
  <si>
    <t>Modalidad de telemedicina prestador remisor - prestador de referencia</t>
  </si>
  <si>
    <t>11.3.5 SERVICIO DE MEDICINA NUCLEAR</t>
  </si>
  <si>
    <t>14. Adicional a los criterios del estándar de talento humano enunciados que le aplique, el talento humano en salud que preste directamente un servicio de salud bajo la modalidad telemedicina cuentan con constancia de asistencia en las acciones de formación continua en el manejo de tecnología utilizada por el prestador, los procesos y herramientas inherentes a la prestación de servicios bajo esta modalidad</t>
  </si>
  <si>
    <t>112-115</t>
  </si>
  <si>
    <t>11.3.6 SERVICIO DE RADIOTERAPIA</t>
  </si>
  <si>
    <t>116-119</t>
  </si>
  <si>
    <t>11.3.7 SERVICIO DE QUIMIOTERAPIA</t>
  </si>
  <si>
    <t>CUMPLE</t>
  </si>
  <si>
    <t>119-123</t>
  </si>
  <si>
    <t>11.3.8 SERVICIO DE DIAGNÓSTICO VASCULAR</t>
  </si>
  <si>
    <t>123-125</t>
  </si>
  <si>
    <t>11.3.9 SERVICIO DE HEMODINAMIA E INTERVENCIONISMO</t>
  </si>
  <si>
    <t>125-128</t>
  </si>
  <si>
    <t>NO CUMPLE</t>
  </si>
  <si>
    <t>11.3.10 SERVICIO DE GESTIÓN PRE TRANSFUSIONAL</t>
  </si>
  <si>
    <t>129-130</t>
  </si>
  <si>
    <t>NO APLICA</t>
  </si>
  <si>
    <t>11.3.11. SERVICIO DE TOMA DE MUESTRAS DE LABORATORIO CLÍNICO</t>
  </si>
  <si>
    <t>11.3.12 SERVICIO DE LABORATORIO CLÍNICO</t>
  </si>
  <si>
    <t>132-135</t>
  </si>
  <si>
    <t>11.3.13 SERVICIO DE TOMA DE MUESTRAS DE CUELLO UTERINO Y GINECOLÓGICAS</t>
  </si>
  <si>
    <t>135-137</t>
  </si>
  <si>
    <t>11.3.14 SERVICIO DE LABORATORIO DE CITOLOGiAS CERVICO-UTERINAS</t>
  </si>
  <si>
    <t>137-138</t>
  </si>
  <si>
    <t>11.3.15 SERVICIO DE LABORATORIO DE HISTOTECNOLOGIA</t>
  </si>
  <si>
    <t>138-139</t>
  </si>
  <si>
    <t xml:space="preserve">11.3.16 SERVICIO DE PATOLOGÍA </t>
  </si>
  <si>
    <t>140-142</t>
  </si>
  <si>
    <t>11.3.17 SERVICIO DE DIÁLISIS</t>
  </si>
  <si>
    <t>142-146</t>
  </si>
  <si>
    <r>
      <t>11.4</t>
    </r>
    <r>
      <rPr>
        <b/>
        <sz val="11"/>
        <color theme="1"/>
        <rFont val="Calibri"/>
      </rPr>
      <t xml:space="preserve">    </t>
    </r>
    <r>
      <rPr>
        <b/>
        <sz val="11"/>
        <color theme="1"/>
        <rFont val="Calibri"/>
      </rPr>
      <t>GRUPO INTERNACIÓN</t>
    </r>
  </si>
  <si>
    <t>11.4.1 SERVICIO DE HOSPITALIZACIÓN</t>
  </si>
  <si>
    <t>146-154</t>
  </si>
  <si>
    <t>11.4.2 SERVICIO DE HOSPITALIZACIÓN PACIENTE CRÓNICO</t>
  </si>
  <si>
    <t>154-162</t>
  </si>
  <si>
    <t>11.4.3 SERVICIO DE CUIDADO BÁSICO NEONATAL</t>
  </si>
  <si>
    <t>162-165</t>
  </si>
  <si>
    <t>11.4.4 SERVICIO DE CUIDADO INTERMEDIO NEONATAL</t>
  </si>
  <si>
    <t>165-168</t>
  </si>
  <si>
    <t>11.4.5 SERVICIO DE CUIDADO INTENSIVO NEONATAL</t>
  </si>
  <si>
    <t>168-172</t>
  </si>
  <si>
    <t>11.4.6 SERVICIO DE CUIDADO INTERMEDIO PEDIÁTRICO</t>
  </si>
  <si>
    <t>172-175</t>
  </si>
  <si>
    <t>11.4.7 SERVICIO DE CUIDADO INTENSIVO PEDIÁTRICO</t>
  </si>
  <si>
    <t>175-179</t>
  </si>
  <si>
    <t>11.4.8 SERVICIO DE CUIDADO INTERMEDIO ADULTO</t>
  </si>
  <si>
    <t>179-182</t>
  </si>
  <si>
    <t>11.4.9 SERVICIO DE CUIDADO INTENSIVO ADULTOS</t>
  </si>
  <si>
    <t>182-186</t>
  </si>
  <si>
    <t>11.4.10 SERVICIO DE HOSPITALIZACIÓN EN SALUD MENTAL O CONSUMO DE SUSTANCIAS PSICOACTIVAS</t>
  </si>
  <si>
    <t>186-190</t>
  </si>
  <si>
    <t>11.4.11 SERVICIO DE HOSPITALIZACIÓN PARCIAL</t>
  </si>
  <si>
    <t>190-195</t>
  </si>
  <si>
    <t>11.4.12 SERVICIO PARA EL CUIDADO BÁSICO DEL CONSUMO DE SUSTANCIAS PSICOACTIVAS</t>
  </si>
  <si>
    <t>195-199</t>
  </si>
  <si>
    <t>11.5 GRUPO QUIRÚRGICO</t>
  </si>
  <si>
    <t>11.5.1 SERVICIO DE CIRUGÍA</t>
  </si>
  <si>
    <t>199-206</t>
  </si>
  <si>
    <t>11.6  GRUPO ATENCIÓN INMEDIATA</t>
  </si>
  <si>
    <t>11.6.1 SERVICIO DE URGENCIAS</t>
  </si>
  <si>
    <t>206-213</t>
  </si>
  <si>
    <t>11.6.2 SERVICIO DE TRANSPORTE ASISTENCIAL</t>
  </si>
  <si>
    <t>213-222</t>
  </si>
  <si>
    <t>11.6.3 SERVICIO ATENCIÓN PREHOSPITALARIA</t>
  </si>
  <si>
    <t>222-225</t>
  </si>
  <si>
    <t>11.6.4 SERVICIO PARA LA ATENCIÓN DEL PARTO</t>
  </si>
  <si>
    <t>225-230</t>
  </si>
  <si>
    <t>Estandar de Infraestructura</t>
  </si>
  <si>
    <t>TSINF</t>
  </si>
  <si>
    <t>Edificaciones de uso exclusivo en salud</t>
  </si>
  <si>
    <t xml:space="preserve">1. Los servicios de salud de urgencias, de atención del parto, hospitalarios y de cirugía que realicen procedimientos quirúrgicos no ambulatorios, solo se pueden prestar en edificaciones de uso exclusivo de salud. </t>
  </si>
  <si>
    <t>2. Los servicios de salud de: urgencias, cirugía y del grupo de internación, así como en los servicios de salud donde se realice el proceso de esterilización, deben contar con ambiente de aseo de uso exclusivo</t>
  </si>
  <si>
    <t>3. Cuando en una edificación de uso exclusivo de salud funcione más de un prestador de servicios de salud con servicios de los grupos de consulta externa y apoyo diagnóstico y complementación terapeutica, cada prestador cuenta con infraestructura separada delimitada fisicamente. Se pueden compartir los siguientes ambientes y áreas: aseo, salas de espera y unidades sanitarias.</t>
  </si>
  <si>
    <t>4. Las edificaciones donde se presten servicios de salud de urgencias y del grupo de internación, cuentan con tanque de almacenamientode agua para el consumo humano que garantice como mínimo una reserva de 24 horas de servicio continuo, calculando con base en el consumo de 600 lt por cama/camilla al día.</t>
  </si>
  <si>
    <t>5. Cuando el prestador de servicios de salud cuente con mas de una infraestructura y estas se puedan vincular funcionalmente entre si, lo harán mediante tunel o puente cubierto, o muro(s) colindante(s) que cuenten con acceso (s) que intercomuniquen las infraestructuras, de uso exclusivo del prestador y adicionalmente cumplen con las siguientes caracteristicas:</t>
  </si>
  <si>
    <t>5.1. Ancho que permita la movilización de camas, camillas, sillas de ruedas, equipos biomédicos  y personal para el traslado de los pacientes  en condiciones seguras.</t>
  </si>
  <si>
    <t>5.2. El piso del túnel o puente debe ser uniforme y de material antideslizante o con elementos que garanticen esta propiedad en todo su recorrido, con pasamanos d a ambos lados y con protecciones laterales hacia espacios libres.</t>
  </si>
  <si>
    <t>5.3. Lo anterior siempre y cuando la norma urbanística de la jurisdicción donde se localizan las sedes hayan aprobado esta forma de vinculación funcional entre las mismas.</t>
  </si>
  <si>
    <t>5.4. Esta edificación se podrá habilitar como una o varias sedes, de acuerdo con lo que determine el prestador de servicios de salud</t>
  </si>
  <si>
    <t>Estándares y criterios aplicables a todos los servicios</t>
  </si>
  <si>
    <t>Edificaciones de uso mixto</t>
  </si>
  <si>
    <t>Total criterios</t>
  </si>
  <si>
    <t>6. Cuando en una edificación de uso mixto funcione más de un prestador de servicios de salud, cada uno cuenta con infraestructura separada y delimitada físicamente. Se pueden compartir las salas de espera y las unidades sanitarias.</t>
  </si>
  <si>
    <t>Cumplimiento</t>
  </si>
  <si>
    <t>TS - Talento Humano</t>
  </si>
  <si>
    <t>7. En edificaciones de uso mixto pueden funsionar los prestadores de servicios de salud que oferten y presten servicios de los grupos de consulta externa. de apoyo diagnóstico y complementación terapeutica y los servicios del grupo quirurgico que realicen exclusivamente procedimientos de cirugia ambulatoria.</t>
  </si>
  <si>
    <t>Edificaciones de uso exclusivo en salud y edificaciones de uso mixto</t>
  </si>
  <si>
    <t>8. Los prestadores de servicios de salud ubicados en edificaciones de hasta tres (3) pisos o niveles contados a partir del nivel más bajo construido, y que funcione en segundo o tercer nivel o piso, cuentan con ascensor o rampa o sistema alternativo de elevación. El sistema alternativo de elevación no puede ser utilizado cuando se presten servicios hospitalarios, cirugía, urgencias o de atención del parto.</t>
  </si>
  <si>
    <t>9. Los sistemas alternativos de elevación deben cumplir con las siguientes condiciones:</t>
  </si>
  <si>
    <t>9.1. Su ubicación no interfiera con el acceso y evacuación de los usuarios por las escaleras</t>
  </si>
  <si>
    <t>TS - Infraestructura</t>
  </si>
  <si>
    <t>9.2. Estén disponibles tanto para el acceso como para la evacuación de los usuarios</t>
  </si>
  <si>
    <t>9.3. Su manejo sea autonomo</t>
  </si>
  <si>
    <t>9.4. Garanticen seguridad durante su uso</t>
  </si>
  <si>
    <t>10. Las edificaciones con más de tres (3) pisos o niveles, contados a partir del nivel más bajo construido, cuentan con ascensor.</t>
  </si>
  <si>
    <t>TS - Dotación</t>
  </si>
  <si>
    <t>11. En edificaciones donde se presten servicios de los grupos de internación, atención del parto, quirurgicos o urgencias para la movilización de pacientes en camilla, la cabina de los ascensores debe tener las dimensiones interiores mínimas de 2.20 de profundidad y de 1.20 ancho, que garanticen el traslado seguro de los pacientes. Las dimensiones de la cabina podrán ser variables en el o los ascensores que el prestador determine para la movilización de usuarios a pie o en silla de ruedas.</t>
  </si>
  <si>
    <t>12. Si se tienen escaleras o rampas, el piso debe ser uniforme y de material antideslizante o con elementos que garanticen esta propiedad en todo su recorrido, con pasamanos de preferencia a ambos lados y con protecciones laterales hacia espacios libres.</t>
  </si>
  <si>
    <t>TS - Medicamentos, dispositivos médicos e insumos</t>
  </si>
  <si>
    <r>
      <t xml:space="preserve">13. Las edificaciones donde se presten servicios de salud </t>
    </r>
    <r>
      <rPr>
        <b/>
        <sz val="11"/>
        <rFont val="Calibri"/>
      </rPr>
      <t>cuentan con</t>
    </r>
    <r>
      <rPr>
        <sz val="11"/>
        <color rgb="FF000000"/>
        <rFont val="Calibri"/>
      </rPr>
      <t xml:space="preserve"> suministro de agua, energia eléctrica, conexión a la red de alcantarillado y sistemas de comunicaciones. </t>
    </r>
  </si>
  <si>
    <t>14. En edificaciones donde se presten servicios de cirugía, atención del parto, laboratorio clínico, urgencias, gestión pre transfusional, dialisis, hospitalarios, imagénes diagnósticas, vacunación, servicio farmaceutico y los que requieran cadena de frio, cuentan con planta electrica.</t>
  </si>
  <si>
    <t>TS -  Procesos prioritarios</t>
  </si>
  <si>
    <t xml:space="preserve">15. El prestador de servicios de salud que utilice equipos generadores de radiaciones ionizantes cuenta con licencia de práctica médica vigente expedida por la entidad competente. </t>
  </si>
  <si>
    <t>TS - Historia clinica y registros</t>
  </si>
  <si>
    <r>
      <t xml:space="preserve">16. El prestador de servicios de salud que utilice fuentes radiactivas </t>
    </r>
    <r>
      <rPr>
        <b/>
        <sz val="11"/>
        <rFont val="Calibri"/>
      </rPr>
      <t>cuenta con</t>
    </r>
    <r>
      <rPr>
        <sz val="11"/>
        <color rgb="FF000000"/>
        <rFont val="Calibri"/>
      </rPr>
      <t xml:space="preserve"> autorización vigente de empleo de material radiactivo, expedida por la entidad reguladora competente</t>
    </r>
  </si>
  <si>
    <t>17. 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lavanderia y servicio de alimentación.
Cuando estos servicios de apoyo son contratados con terceros dichos proveedores deben contar con el concepto sanitario correspondiente a la actividad de bienes y servicios que presta.</t>
  </si>
  <si>
    <t>Generalidades de los ambientes y las áreas de los servicios y sus características</t>
  </si>
  <si>
    <t>TS - Interdependencia</t>
  </si>
  <si>
    <r>
      <t xml:space="preserve">18. Las áreas y ambientes de todos los servicios de salud </t>
    </r>
    <r>
      <rPr>
        <b/>
        <sz val="11"/>
        <rFont val="Calibri"/>
      </rPr>
      <t xml:space="preserve">cuentan con </t>
    </r>
    <r>
      <rPr>
        <sz val="11"/>
        <color rgb="FF000000"/>
        <rFont val="Calibri"/>
      </rPr>
      <t xml:space="preserve">ventilación natural o artificial. </t>
    </r>
  </si>
  <si>
    <t>19. Las áreas de circulación están libres de obstáculos de manera que permitan la movilización de pacientes, talento humano, usuarios y equipos biomédicos</t>
  </si>
  <si>
    <t>20. Los ambientes y áreas que hagan parte de cualquier servicio de salud, deben permitir la instalación y movilización de equipos biomedicos y personal necesarios para la atención del paciente en condiciones de rutina o de emergencia.</t>
  </si>
  <si>
    <t>21.En los servicios del grupo quirurgico, los ambientes y áreas clasificados como no restringidos, semirestringidos, deben señalizarse mediante la demarcación permanente en piso con material lavable y resistente al tráfico pesado, utilizando los siguientes colores</t>
  </si>
  <si>
    <t>21.1. Verde: Ambientes o áreas no restringidas</t>
  </si>
  <si>
    <t>21.2. Amarillo: Ambientes o áreas semi-restringidas</t>
  </si>
  <si>
    <t>21.3. Roja: Ambientes o áreas restringidas</t>
  </si>
  <si>
    <t>22. Cada uno de los pisos o niveles de la edificación cuenta con señalización y planos indicativos de las rutas de evacuación, salidas de emergencia y puntos de encuentro, visible al público en general.</t>
  </si>
  <si>
    <t>23. Si el prestador de servicios de salud no tiene habilitado el servicio de gestión pre-transfusional,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</si>
  <si>
    <t xml:space="preserve">24. 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 </t>
  </si>
  <si>
    <t>Grupo consulta externa</t>
  </si>
  <si>
    <t>25. El prestador de servicios de salud que realice el proceso de esterilización, cuenta con:</t>
  </si>
  <si>
    <t>25.1. Ambiente o área de recibo de material contaminado.</t>
  </si>
  <si>
    <t>Servicio de consulta externa general</t>
  </si>
  <si>
    <t>25.2. Ambiente o área de lavado</t>
  </si>
  <si>
    <t>25.3. Ambiente o área de secado</t>
  </si>
  <si>
    <t>25.4. Ambiente o área de empaque.</t>
  </si>
  <si>
    <t>Servicio de consulta externa especializada</t>
  </si>
  <si>
    <t>25.5. Ambiente o área de esterilización</t>
  </si>
  <si>
    <t xml:space="preserve">25.6. Ambiente o área para almacenamiento de material esteril </t>
  </si>
  <si>
    <t>Servicio de vacunación</t>
  </si>
  <si>
    <t>25.7. Mesón de trabajo con poceta</t>
  </si>
  <si>
    <t>25.8. Lavamanos, cuando el proceso se realice fuera del servicio de salud</t>
  </si>
  <si>
    <t>Servicio de seguridad y salud en el trabajo</t>
  </si>
  <si>
    <t>26. El prestador de servicios de salud que contrate el proceso de esterilización, dentro de su infraestructura cuenta con:</t>
  </si>
  <si>
    <t>26.1. Ambiente o área para lavado, limpieza y desinfección y entrega de material limpio al proveedor</t>
  </si>
  <si>
    <t xml:space="preserve">26.2.  Ambiente o área para la recepción y almacenamiento del material esteril </t>
  </si>
  <si>
    <t>27. El prestador de servicios de salud que realice el proceso de esterilización en una cetral de esterilización cuenta con los siguientes ambientes y áreas señalizadas unidireccionales y de circulación restringida.</t>
  </si>
  <si>
    <t>27.1. Ambiente de recibo y lavado de material contaminado</t>
  </si>
  <si>
    <t>27.2. Ambiente limpio con las siguientes áreas:</t>
  </si>
  <si>
    <t>27.2.1. Área de secado</t>
  </si>
  <si>
    <t>27.2.2. Área de empaque</t>
  </si>
  <si>
    <t>Grupo apoyo diagnóstico y complementación terapéutica</t>
  </si>
  <si>
    <t xml:space="preserve">27.2.3. Área de esterilización </t>
  </si>
  <si>
    <t>Servicio de terapias</t>
  </si>
  <si>
    <t xml:space="preserve">27.3. Ambiente para almacenamiento de material esteril </t>
  </si>
  <si>
    <t>Caracteristicas de los ambientes y áreas que pueden ser requeridos en varios servicios de salud</t>
  </si>
  <si>
    <t>28. Consultorio: para efectos del presente manual se definen los siguientes tipos de consultorios de acuerdo con la oferta de servicios:</t>
  </si>
  <si>
    <t>Servicio farmacéutico</t>
  </si>
  <si>
    <r>
      <rPr>
        <b/>
        <sz val="11"/>
        <rFont val="Calibri"/>
      </rPr>
      <t xml:space="preserve">28.1. Consultorio donde se realiza examen fisico: </t>
    </r>
    <r>
      <rPr>
        <sz val="11"/>
        <color rgb="FF000000"/>
        <rFont val="Calibri"/>
      </rPr>
      <t>ambiente con mínimo 10 mt2 (sin incluir la unidad sanitaria) que cuenta con_</t>
    </r>
  </si>
  <si>
    <t>Servicio de radiología odontológica</t>
  </si>
  <si>
    <t>28.1.1. área para entrevista</t>
  </si>
  <si>
    <t>Servicio de imágenes diagnósticas</t>
  </si>
  <si>
    <t xml:space="preserve">28.1.2. área de examen </t>
  </si>
  <si>
    <t>Servicio de medicina nuclear</t>
  </si>
  <si>
    <t>28.1.3. Lavamanos. No se exige adicional si el consultorio cuenta con unidad sanitaria</t>
  </si>
  <si>
    <t>28.1.4. Las áreas están separadas entre si por barrera física fija o móvil, con excepción de los consultorios del servicio de urgencias, optometría y oftalmologia, donde no se requiere.</t>
  </si>
  <si>
    <t>Servicio de radioterapia</t>
  </si>
  <si>
    <r>
      <rPr>
        <b/>
        <sz val="11"/>
        <rFont val="Calibri"/>
      </rPr>
      <t xml:space="preserve">28.2. Consultorio donde se realizan procedimientos: </t>
    </r>
    <r>
      <rPr>
        <sz val="11"/>
        <color rgb="FF000000"/>
        <rFont val="Calibri"/>
      </rPr>
      <t>ambiente mínimo de 10 m2 (sin incluir la unidad sanitaria) que cuenta con:</t>
    </r>
  </si>
  <si>
    <t>Servicio de quimioterapia</t>
  </si>
  <si>
    <t>28.2.1. Área para entrevista.</t>
  </si>
  <si>
    <t>28.2.2. Área de procedimientos.</t>
  </si>
  <si>
    <t>Servicio de diagnóstico vascular 1</t>
  </si>
  <si>
    <t>28.2.3. Las áreas están separadas entre sí por barrera física fija.</t>
  </si>
  <si>
    <t>Servicio de diagnóstico vascular 2</t>
  </si>
  <si>
    <t>28.2.4. Mesón de trabajo.</t>
  </si>
  <si>
    <t>Servicio de diagnóstico vascular 3</t>
  </si>
  <si>
    <t>28.2.5. Poceta, cuando la requiera, según los procedimientos que el prestrador documente en el estándar de procesos prioritarios.</t>
  </si>
  <si>
    <t>28.2.6. Lavamanos. No se exige adiocnal si el consultorio cuenta con una unidad sanitaria.</t>
  </si>
  <si>
    <r>
      <rPr>
        <b/>
        <sz val="11"/>
        <rFont val="Calibri"/>
      </rPr>
      <t xml:space="preserve">28.3 Consultorio odontológico con una unidad odontológica: </t>
    </r>
    <r>
      <rPr>
        <sz val="11"/>
        <color rgb="FF000000"/>
        <rFont val="Calibri"/>
      </rPr>
      <t>Ambiente con mínimo 10 m2 (sin incluir la unidad sanitaria) cuenta con:</t>
    </r>
  </si>
  <si>
    <t>Servicio de diagnóstico vascular 4</t>
  </si>
  <si>
    <t>28.3.1. Área para entrevista, si la requiere</t>
  </si>
  <si>
    <t>28.3.2. Área para unidad odontológica.</t>
  </si>
  <si>
    <t>Servicio de diagnóstico vascular 5</t>
  </si>
  <si>
    <t>28.3.3. Lavamanos. No se exige adicional si el consultorio cuenta con unidad sanitaria.</t>
  </si>
  <si>
    <t>28.3.4. Área con mesón de trabajo con poceta.</t>
  </si>
  <si>
    <t>Servicio de diagnóstico vascular 6</t>
  </si>
  <si>
    <r>
      <rPr>
        <b/>
        <sz val="11"/>
        <rFont val="Calibri"/>
      </rPr>
      <t xml:space="preserve">28.4. Consultorio odontológico con más de una unidad odontológica: </t>
    </r>
    <r>
      <rPr>
        <sz val="11"/>
        <color rgb="FF000000"/>
        <rFont val="Calibri"/>
      </rPr>
      <t xml:space="preserve">Ambiente con mínimo 10 m2 (sin incluir la unidad sanitaria) que cuenta con: </t>
    </r>
  </si>
  <si>
    <t>28.4.1. Área adicional por cada unidad odontológica que permita la instalación y movilización de talento humano, pacientes, usuarios y equipos biomédicos.</t>
  </si>
  <si>
    <t>Servicio de diagnóstico vascular 7</t>
  </si>
  <si>
    <t>28.4.2. Barrera física fija o móvil entre las unidades odontológicas.</t>
  </si>
  <si>
    <t>28.4.3. Mínimo un lavamanos por cada tres unidades odontológicas o fracción.</t>
  </si>
  <si>
    <t>Servicio de hemodinamia e intervencionismo</t>
  </si>
  <si>
    <t>28.4.5. A partir de tres unidades odontológicas, adicional a lo mencionado en los numerales 28.4.1, 28.4.2 y 28.4.3, tiene disponibilidad de un ambiente con mesón de trabajo y poceta.</t>
  </si>
  <si>
    <r>
      <rPr>
        <b/>
        <sz val="11"/>
        <rFont val="Calibri"/>
      </rPr>
      <t>29. Consultorio donde se realiza únicamente entrevista, no se realiza examen físico ni procedimientos:</t>
    </r>
    <r>
      <rPr>
        <sz val="11"/>
        <color rgb="FF000000"/>
        <rFont val="Calibri"/>
      </rPr>
      <t xml:space="preserve"> Ambiente con mínimo 4 m2 (sin incluir la unidad sanitaria), cuenta con:</t>
    </r>
  </si>
  <si>
    <t>Servicio de gestión pre transfusional</t>
  </si>
  <si>
    <t>29.1. Área para entrevista, según el tipo de consulta.</t>
  </si>
  <si>
    <t>29.2. Lavamanos. No se exige adicional si el consultorio cuenta con unidad sanitaria.</t>
  </si>
  <si>
    <t>Servicio de toma de muestras de laboratorio clínico</t>
  </si>
  <si>
    <t>30. Sala de procedimientos: Es el ambiente donde se realizan procedimientos derivados de los servicios de salud. Para efectos del presente manual, se definen los siguientes tipos de sala:</t>
  </si>
  <si>
    <t>30.1. Sala de procedimientos o curaciones. 
Ambiente con mínimo 8 m2, que cuenta con:</t>
  </si>
  <si>
    <t>Servicio de laboratorio clínico</t>
  </si>
  <si>
    <t>30.1.1. Mesón de trabajo</t>
  </si>
  <si>
    <t>30.1.2. Poceta, cuando la requiera, según los procedimientos que el prestador documente en el estándar de procedimientos prioritarios.</t>
  </si>
  <si>
    <t>Servicio de toma de muestras de cuello uterino y ginecológicas</t>
  </si>
  <si>
    <t>30.1.3. Lavamanos</t>
  </si>
  <si>
    <t>30.2. Sala de procedimientos de Litotricia: 
Ambiente con dimensión variable acirde con la tecnólogía utilizada, que cuenta con mesón de trabajo con poceta y disponibilidad de:</t>
  </si>
  <si>
    <t>Servicio de laboratorio de citologías cérvico-uterinas</t>
  </si>
  <si>
    <t>30.2.1. Vestidor para pacientes con área para casilleros.</t>
  </si>
  <si>
    <t>30.2.2. Área de recuperación.</t>
  </si>
  <si>
    <t>Servicio de laboratorio de histotecnología</t>
  </si>
  <si>
    <t>30.2.3. Unidad sanitaria.</t>
  </si>
  <si>
    <t>30.3. Sala de procedimientos endoscópicos:
Ambiente con dimensión variable acorde con el tipo de tecnología utilizada y los procedimientos que se realicen, cuenta con:</t>
  </si>
  <si>
    <t>Servicio de patología</t>
  </si>
  <si>
    <t>30.3.1. Área de procedimientos endoscópicos.</t>
  </si>
  <si>
    <t>Servicio de diálisis</t>
  </si>
  <si>
    <t>30.3.2. Área de recuperación, que puede ser la misma área donde se realice el procedimiento endoscópico.</t>
  </si>
  <si>
    <t>30.3.3 Lavamanos.
Disponibilidad de:</t>
  </si>
  <si>
    <t>Grupo de internación</t>
  </si>
  <si>
    <t>30.3.4. Unidad sanitaria</t>
  </si>
  <si>
    <t>Servicio de hospitalización</t>
  </si>
  <si>
    <t>30.3.5. Vestidr para pacientes con área para casilleros que puede ser la misma unidad sanitaria con casilleros.</t>
  </si>
  <si>
    <t>30.3.6. Ambiente o área para almacenar materiales e insumos.</t>
  </si>
  <si>
    <t>30.3.7. Área de limpieza y desinfección de endoscopis con mesón de trabajo con poceta.</t>
  </si>
  <si>
    <t>Servicio de hospitalización paciente crónico</t>
  </si>
  <si>
    <t>30.3.8. Ambiente o área para almacenamiento de equipos biomédicos.</t>
  </si>
  <si>
    <t>Servicio de cuidado básico neonatal</t>
  </si>
  <si>
    <t>30.4. Si se realiza procedimiento de monitorización electroencefalográfica con vídeo y radio, cuenta con:</t>
  </si>
  <si>
    <t>30.4.1. Ambiente con dimensión variable acorde con el tipo de tecnología utilizada.
Disponibilidad de:</t>
  </si>
  <si>
    <t>30.4.2. Unidad sanitaria</t>
  </si>
  <si>
    <t>Servicio de cuidado intermedio neonatal</t>
  </si>
  <si>
    <t>30.5. Si se realiza procedimientos terapéuticos con láser de argón o yag láser, cuenta con ambiente con dimensión variable acorde con el tipo de tecnología utilizada:</t>
  </si>
  <si>
    <t>31. Sistema de alarma cuando se cuente con red de distribución de gases medicinales.</t>
  </si>
  <si>
    <t>Servicio de cuidado intensivo neonatal</t>
  </si>
  <si>
    <t>32. Puesto de enfermería
Área con dimensión variable que, de acuerdo con las necesidades de cada servicio, cumplen con las siguientes características:</t>
  </si>
  <si>
    <t>32.1. Superficie de trabajo</t>
  </si>
  <si>
    <t>Servicio de cuidado intermedio pediátrico</t>
  </si>
  <si>
    <t>32.2. Permitela monitprización permanente de los pacientes o sistemas alternativos para su visualización.</t>
  </si>
  <si>
    <t>Servicio de cuidado intensivo pediátrico</t>
  </si>
  <si>
    <t>32.3. Cuenta con alarma o sistema de llamado de enfermería, donde se requiera.</t>
  </si>
  <si>
    <t>33. Ambiente o área de trabajo limpio, que cuenta con:</t>
  </si>
  <si>
    <t>Servicio de cuidado intermedio adulto</t>
  </si>
  <si>
    <t>33.1. Mesón de trabajo.</t>
  </si>
  <si>
    <t>33.2. Área para el almacenamiento y aislamiento de medicamentos.</t>
  </si>
  <si>
    <t>Servicio de cuidado intensivo adultos</t>
  </si>
  <si>
    <t>33.3. Lavamanos.</t>
  </si>
  <si>
    <t>Servicio de hospitalización en salud mental o consumo de sustancias psicoactivas</t>
  </si>
  <si>
    <t>34. Ambuiente de trabajo sucio, que cuenta con:</t>
  </si>
  <si>
    <t>34.1. Mesón de trabajo con poceta.</t>
  </si>
  <si>
    <t>Servicio de hospitalización parcial</t>
  </si>
  <si>
    <t>34.2. Lavamanos.</t>
  </si>
  <si>
    <t>Servicio para el cuidado básico del consumo de sustancias psicoactivas</t>
  </si>
  <si>
    <t>35. Estación de enfermería, que cuenta con:</t>
  </si>
  <si>
    <t>35.1. Puesto de enfermería.</t>
  </si>
  <si>
    <t>Grupo quirúrgico</t>
  </si>
  <si>
    <t>35.2. Ambiente o área de trabajo limpio.</t>
  </si>
  <si>
    <t>Servicio de cirugía</t>
  </si>
  <si>
    <t>35.3. Ambiente de trabajo socio.
Disponibilidad de los siguientes ambientes o áreas:</t>
  </si>
  <si>
    <t>35.4. Área o ambiente para el depósito de equipos biomédicos con dimensión variable de acuerdo con las necesidades del servicio.</t>
  </si>
  <si>
    <t>Grupo atención inmediata</t>
  </si>
  <si>
    <t>35.5. Área o ambiente para depósito de ropa limpia de dimensión variable de acuerdo con las necesidades del servicio.</t>
  </si>
  <si>
    <t>Servicio de urgencias</t>
  </si>
  <si>
    <t>35.6. Ambiente para depósito de ropa sucia, con dimensión variable de acuerdo con las necesidades del servicio.</t>
  </si>
  <si>
    <t>35.7. Lavapatos cuando el servicio de salud lo requiera.</t>
  </si>
  <si>
    <t>Servicio de transporte asistencial</t>
  </si>
  <si>
    <t>35.8. Unidad sanitaria.</t>
  </si>
  <si>
    <t>36. Baño, ambiente que cuenta con:</t>
  </si>
  <si>
    <t>Servicio atención prehospitalaria</t>
  </si>
  <si>
    <t>36.1. Sanitario.</t>
  </si>
  <si>
    <t>Servicio para la atención del parto</t>
  </si>
  <si>
    <t xml:space="preserve">36.2. Lavamanos. </t>
  </si>
  <si>
    <t>36.3. Ducha.</t>
  </si>
  <si>
    <t>36.4. Alarma o sistema de llamado, donde se requiera.</t>
  </si>
  <si>
    <t>36.5. Puertas corredizas o con apertura hacia el exterior.</t>
  </si>
  <si>
    <t>37. Unidad sanitaria, ambiente que cuenta con:</t>
  </si>
  <si>
    <t>37.1. Sanitario.</t>
  </si>
  <si>
    <t>37.2. Lavamanos.</t>
  </si>
  <si>
    <t>38. La unidad sanitara adaptada para personas con movilidad reducida cuenta con:</t>
  </si>
  <si>
    <t>38.1. Sanitario</t>
  </si>
  <si>
    <t>38.2 Lavamanos.</t>
  </si>
  <si>
    <t>38.3. Dimensiones que permita el desplazamiento del paciente y maniobra en su interior, las puertas tienen un ancho que permite el fácil acceso de pacientes en sillas de ruedas.</t>
  </si>
  <si>
    <t>38.4. Puertas corredizas o con apertura hacia el exterior.</t>
  </si>
  <si>
    <t>38.5. Accesorios que facilite la accesibilidad, movilidad y seguridad del usuario.</t>
  </si>
  <si>
    <t>Estandar de Dotación</t>
  </si>
  <si>
    <t>38.6. Alarma o sistema de llamado.</t>
  </si>
  <si>
    <t>39. Bateria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sexomasculino. Como mínimo uno de los sanitarios de la bateria debe ser apto para personas com movilidad reducida discriminado por sexo.</t>
  </si>
  <si>
    <t>TSDOT</t>
  </si>
  <si>
    <t xml:space="preserve">1. El prestador de servicios de salud cuenta con el registro de la relación de los equipos biomédicos requeridos para la prestación de servicios de salud, este registro cuenta como mínimo con la siguiente información: </t>
  </si>
  <si>
    <t>40. Sala de espera:</t>
  </si>
  <si>
    <t xml:space="preserve">1.1. Nombre del equipo biomédico. </t>
  </si>
  <si>
    <t>40.1. Ambiente o área con dimensión variable de acuerdo al servicio o servicios, independiente de las áreas de circulación, que cuenta con ventilación e iluminación natural y/o artificial.</t>
  </si>
  <si>
    <t>40.2. Disponibilidad de unidades sanitarias discriminadas por sexo o baterias sanitarias.</t>
  </si>
  <si>
    <t xml:space="preserve">1.2. Marca. </t>
  </si>
  <si>
    <t>Generalidades de las condiciones de orden, aseo, limpieza y desinfecciones</t>
  </si>
  <si>
    <t>1.3. Modelo.</t>
  </si>
  <si>
    <t>41. Las condiciones de orde, aseo, limpieza y desinfección son evidentes y responde a un proceso dinámico de acuerdo con los servicios prestados.</t>
  </si>
  <si>
    <t xml:space="preserve">1.4. Serie. </t>
  </si>
  <si>
    <t>42. 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</si>
  <si>
    <t>1.5. Registro sanitario para dispositivos médicos o permiso de comercialización para equipos biomédicos de tecnología controlada, cuando lo requiera.</t>
  </si>
  <si>
    <t xml:space="preserve">43. Los cielo rasos o techos y paredes o muros deben ser impoermeables, lavables, sólidos, resistentes a fctores ambientales e incombustibles y de superficie lisa y continua. </t>
  </si>
  <si>
    <t xml:space="preserve">1.6. Clasificación por riesgo, cuando el equipo lo requiera. </t>
  </si>
  <si>
    <t>44. En los servicios de cirugía, atención del parto, ambiente TPR, salas de procedimientos, consultorios donde se realicen procedimientos, servicios de internación en cuidado básico, intermedio e intensivo, urgencias, diálisis, hemodinámia e intervencionismo, laboratorios, gestión pre transfunsional,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</si>
  <si>
    <t>2. El prestador de servicios de salud garantiza las condiciones técnicas de calidad de los equipos biomédicos, para lo cual cuenta con:</t>
  </si>
  <si>
    <t>45. En los servicios de cirugía, atención del parto, ambiente TPR y el ambiente de esterilización, la unión entre cielo raso o techo y la pared o muro y la unión entre paredes o muros, debe contar con media caña, evitando la formación de aristas o de esquinas.</t>
  </si>
  <si>
    <t>Criterios de la infraestructura para las modalidades extramural y telemedicina</t>
  </si>
  <si>
    <t>2.1.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</si>
  <si>
    <t>Modalidad extramural unidad móvil, jornada de salud y domiciliaria</t>
  </si>
  <si>
    <t>2.2. Hoja(s) de vida del(los) equipo(s) biomédico(s), con los registros de los mantenimientos preventivos y correctivos, según corresponda.</t>
  </si>
  <si>
    <t xml:space="preserve">46. Cuando un prestador de servicios de salud preste sus servicios exclusivamente en la modalidad extramural, la sede cuenta con: </t>
  </si>
  <si>
    <t xml:space="preserve">3. El prestador de servicios de salud cuenta con un programa de capacitación en el uso de dispositivos médicos cuando éstos lo requieran, el cual puede ser desarrollado por el fabricante, importador o por el mismo prestador. </t>
  </si>
  <si>
    <t>46.1. Ambiente o área para el almacenamiento de medicamentos o dispositivos médicos e isumos, cuando se requiera.</t>
  </si>
  <si>
    <t>4. La dotación de los servicios de salud está en concordancia con lo definido por el prestador en el estándar de procesos prioritarios.</t>
  </si>
  <si>
    <t>46.2. Ambiente o área para el almacenamiento de equipos biomédicos.</t>
  </si>
  <si>
    <t>5. La suficiencia de equipos biomédicos está relacionada con la frecuencia de uso de los mismo, incluyendo los tiempos del proceso de esterilización, cuando aplique.</t>
  </si>
  <si>
    <t>6. El mantenimiento de los equipos biomédicps es ejecutado por el talento humano profesional, tecnólogo o técnico en áreas relacionadas. Este mantenimiento puede ser realizado directamente por el prestador de servicios de salud o mediante contrato o convenio con un tercero.</t>
  </si>
  <si>
    <t>46.3. Ambiente o área para el archivo de las historias clínicas y registros.</t>
  </si>
  <si>
    <t>7. Los prestadores que oferten servicios de salud en modalidad extramural no pueden elaborar ni adaptar dispositivos médicos sobre medida.</t>
  </si>
  <si>
    <t>47. Disponibilidad de ambiente o área para las labores de aseo, limpieza y desinfección para las unidades móviles.</t>
  </si>
  <si>
    <t>8. Los servicios de salud que requieren carro de paro, cuenta con la siguiente dotación:</t>
  </si>
  <si>
    <t>8.1. Desfibrilador bifásico con sistema de visualización integrado, capacidad de cardioversión, marcapasos transcutáneo y paletas para adultos y pediátricas según aplique.</t>
  </si>
  <si>
    <t>8.2. Resucitador  pulmonar  manual.</t>
  </si>
  <si>
    <t>Movilidad extramural domiciliaria.</t>
  </si>
  <si>
    <t>8.3. Aspirador o sistema de vacío.</t>
  </si>
  <si>
    <t>8.4. Monitor de signos vitales con accesorios que cuenta como mínimo con:</t>
  </si>
  <si>
    <t>48. El domicilio del paciente cumple con las siguientes condiciones:</t>
  </si>
  <si>
    <t>8.4.1. Trazado electrocardiográfico si no está incorporado en el desfibrilador</t>
  </si>
  <si>
    <t>8.4.2.Presión no invasiva</t>
  </si>
  <si>
    <t>48.1. Servicios públicos domiciliarios: Acueducto, alcantarillado, energía eléctrica y sistema de comunicación.</t>
  </si>
  <si>
    <t>8.4.3. Saturación de oxígeno que puede estar integrado en el monitor o externo</t>
  </si>
  <si>
    <t>48.2. Unidad sanitaria o baño.</t>
  </si>
  <si>
    <t>8.4.4. Batería</t>
  </si>
  <si>
    <t>Modalidad extramural Unidad móvil, terrestre y acuática.</t>
  </si>
  <si>
    <t>8.5. Laringoscopio con hojas rectas y curvas para adultos y pediátricas, según aplique</t>
  </si>
  <si>
    <t>49. Las condiciones de orden, aseo, limpieza y desinfección son evidentes y responden a un proceso dinámico de acuerdo con los servicios prestados.</t>
  </si>
  <si>
    <t>8.6. Medicamentos, dispositivos médicos e insumos, definidos por el prestador.</t>
  </si>
  <si>
    <t>50. La unidad móvil cuenta con:</t>
  </si>
  <si>
    <t>9. 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via y conectividad para notificar a la Red de Donación y Trasplantes sobre la existencia de un posible donante.</t>
  </si>
  <si>
    <t xml:space="preserve">50.1. De acuerdo con los servicios a prestar, los ambientes y áreas cumplen </t>
  </si>
  <si>
    <r>
      <t>10. 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t>
    </r>
    <r>
      <rPr>
        <b/>
        <sz val="11"/>
        <rFont val="Calibri"/>
      </rPr>
      <t xml:space="preserve"> </t>
    </r>
  </si>
  <si>
    <t>50.2. Suministro de agua potable de manera permanente.</t>
  </si>
  <si>
    <t>11. En los sistemas centralizados de gases medicinales, se realiza el mantenimiento a los componentes del sistema por el personal capacitado por el fabricante.</t>
  </si>
  <si>
    <t>50.3. Tanque para el almacenamiento de aguas residuales. Las aguas residuales no se vierten en la vía pública o en el cauce fluvial.</t>
  </si>
  <si>
    <t>50.4. Identificación visual como unidad móvil terrestre o acuática según aplique.</t>
  </si>
  <si>
    <t>12. El prestador de servicios de salud que realice el proceso de esterilización en un área o ambiente dentro o fuera del servicio de salud cuenta con los equipos biomédicos y la dotación de acuerdo con el método utilizado.</t>
  </si>
  <si>
    <t>50.5. Acceso al servicio de energía eléctrica o fuente de energía alternativa.</t>
  </si>
  <si>
    <t>13. Si el prestador de servicios de salud no tiene habilitado el servicio de gestión pre transfusional, pero realiza procedimientos de transfusión sanguínea en alguno de sus servicios habilitados cuenta con:</t>
  </si>
  <si>
    <t>50.6. Señalización y condiciones que garanticen la seguridad durante el abordaje, incluyendo el ingreso de personas con discapacidad.</t>
  </si>
  <si>
    <t>13.1. Nevera o depósito fria para el almacenamiento de sangre o de sus componentes con sistema de control de temperatura entre 1ºC y 6ºC y alarma audible o sistema de monitoreo que alerte cambios próximos al límite en que la sangre o sus componentes puedan deteriorarse.</t>
  </si>
  <si>
    <t>50.7. Estructuras firmes para el ingreso y salida de pacientes y usuarios, con protecciones laterales a espacios libres.</t>
  </si>
  <si>
    <t>13.2. Equipo para descongelar plasma, cuando se requiera, con sistema de control de temperatura.</t>
  </si>
  <si>
    <t>50.8. Señalización de áreas restringidas al interior de la unidad móvil.</t>
  </si>
  <si>
    <t>13.3 Congelador para la conservación de plasma o crioprecipitados con registro y control de temperatura por debajo de -18ºC y sistema de alarma audible que alerte cambios próximos al límite en que el componente almacenado pueda deteriorarse, cuando se requiera.</t>
  </si>
  <si>
    <t>50.9. Barreras o mecanismos que impidan el ingres de usuarios a las áreas restringidas.</t>
  </si>
  <si>
    <t>13.4. Agitador  o rotador de plaquetas con sistema de control de temperatura  entre 20ºC y 24ºC cuando se requiera.</t>
  </si>
  <si>
    <t>50.10. Para unidades móviles marítimas o fluviales, las uniones con tierra firme son continuas, sin desniveles y permiten el flujo de camillas y sillas de ruedas.</t>
  </si>
  <si>
    <t>13.5. Nevera para transporte de componentes sanguíneos, donde se garantice la cadena de frío.</t>
  </si>
  <si>
    <t>14. Los servicios de salud donde se realicen procedimientos  bajo sedación fuera de salas de cirugía y monitorización electroencefalográfica con video y radio cuentan con carro de paro.</t>
  </si>
  <si>
    <t>Modalidad telemedicina - Prestador remisor</t>
  </si>
  <si>
    <t>15. En los servicios de los grupos quirúrgico, internación y el servicio de urgencias, el prestador de servicios de salud cuenta con accesorios para garantizar empaque cerrado y transporte de los elementos sucios y limplos, como compreseros, vehículos para ta recolección interna de residuos, carros de comida, instrumental, entre otros.</t>
  </si>
  <si>
    <t>51. Adicional a los criterios del estándar de infraestructura enunciados que le aplique, el prestador de servicios de salud cuenta con:</t>
  </si>
  <si>
    <t>Modalidad extramural</t>
  </si>
  <si>
    <t>51.1. Conectividad que garantice la prestación de servicios de salud con integridad y continuidad de acuerdo con el método de transferencia de información que utilice (sincrónico o asincrónico).</t>
  </si>
  <si>
    <t>16. Adicional a los criterios enunciados del presente estándar, que le apliquen, el prestador de servicios de salud cuenta con:</t>
  </si>
  <si>
    <t>51.2.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</si>
  <si>
    <t>16.1. Sistemas de telecomunicaciones de doble vía.</t>
  </si>
  <si>
    <t>51.3. Suministro de energía eléctrica o baterias que permitan el uso de los instrumentos de comunicación y de los equipos biomédicos necesarios.</t>
  </si>
  <si>
    <t>16.2. Cuando se realicen pruebas para la detección de eventos de interés en salud pública, cuenta con:</t>
  </si>
  <si>
    <t>16.2.1. Microscopio</t>
  </si>
  <si>
    <t>51.4. Nivel de iluminación homogénea con luz fluorescente blanca fría y no mezclar tipos de iluminación cálida con fría.</t>
  </si>
  <si>
    <t>16.2.2. Cinta métrica</t>
  </si>
  <si>
    <t>Modalidad telemedicina - Prestador referencia.</t>
  </si>
  <si>
    <t>16.2.3. Báscula</t>
  </si>
  <si>
    <t>Modalidad telemedicina</t>
  </si>
  <si>
    <t>52. Adicional a los criterios del estándar de infraestructura enunciados que le aplique, el prestador de servicios de salud cuenta con:</t>
  </si>
  <si>
    <t>17. El prestador de servicios de salud realiza el mantenimiento de la tecnología de información y de comunicaciones para avalar la calidad de la información, y adicionalmente cuenta con:</t>
  </si>
  <si>
    <t>52.1. Conectividad que garactice la pestación de servicios de salud con integridad y continuidad de acuerdo con el método de transferencia de información que utilice (sincrónico o asincrónico).</t>
  </si>
  <si>
    <t>17.1. Prestador remisor</t>
  </si>
  <si>
    <t>17.1.1. Documento firmado por un ingeniero biomédico con tarjeta profesional vigente, que certifique que:</t>
  </si>
  <si>
    <t>52.2. Plataformas tecnológicas que garanticen la seguridad y privacidad de la información y la disponibilidad permanente para prestar los servicio de salud, cumpliendo con los criterios de seguridad, privacidad y protección de datos personales establecidos en la normatividado lineamientos que regulen la materia.</t>
  </si>
  <si>
    <t>17.1.1.1. Los dispositivos periféricos necesarios, de acuerdo con el tipo de servicios ofertados, garantizan la obtención de la información requerida por el prestador de referencia.</t>
  </si>
  <si>
    <t>52.3. Suministro de energía eléctrica o baterias que permitan el uso de los instrumentos de comunicación y de los equipos biompedicos necesarios.</t>
  </si>
  <si>
    <t>17.1.1.2. Los equipos de captura utilizados por  el prestador de servicios de salud garantizan que la información obtenida es equivalente a la original, de manera que al ser reproducida se garantice su calidad y confiabilidad.</t>
  </si>
  <si>
    <t>52.4. Nivel de iluminación homogénea.</t>
  </si>
  <si>
    <t>17.1.1.3. Los parámetros de digitalización y compresión seleccionados en los equipos durante la captura de datos o imágenes garantizan la resolución necesaria para permitir el diagnóstico.</t>
  </si>
  <si>
    <t>Modalidad telemedicina - Prestador de referencia exclusivo.</t>
  </si>
  <si>
    <t>17.1.1.4.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</si>
  <si>
    <t>53. Cuando el prestador de servicios de salud preste sus servicios exclusivamente en la modalidad de telemedicina como prestador de referencia, cuenta con:</t>
  </si>
  <si>
    <t>17.1.2. Documento firmado por un ingeniero de sistemas con tarjeta profesional vigente, que certifique que:</t>
  </si>
  <si>
    <t>17.1.2.1. Los dispositivos utilizados para transferencia de información sincrónica por videoconferencia garantizan óptima fidelidad y calidad del video y sonido para el prestador remisor y para e! prestador de referencia.</t>
  </si>
  <si>
    <t>53.1. Ambiente exclusivo para la realización de la atención a distancia que garantiza la privacidad y la confidencialidad durante la atención, la seguridad de los equipos frente a la extracciónno autorizada y condiciones ambientales para su correcto funcionamiento,libre de interferencias visuales y sonoras.</t>
  </si>
  <si>
    <t>17.1.2.2.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</si>
  <si>
    <t>53.2. Conectividad que garantice la prestación de servicios de salud con integridad y continuidad de acuerdo con el método de transferencia de información que utilice (sincrónico o asincrónico)</t>
  </si>
  <si>
    <t>17.1.2.3. Las pantallas o monitores grado médico utilizados para el despliegue de imágenes cuentan con una distancia máxima de 0.25 milímetros entre píxeles
(dot pitch), para garantizar la interpretación adecuada de la información recibida.</t>
  </si>
  <si>
    <t>17.2. Prestador de referencia.</t>
  </si>
  <si>
    <t>53.3.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</si>
  <si>
    <t>17.2.1. Documento firmado por un ingeniero de sistemas con tarjeta profesional vigente, que certifique que:</t>
  </si>
  <si>
    <t>53.4. Suministro de energía eléctrica o baterias que permitan el uso de los instrumentos de comunicación y de los equipos biomédicos cuando aplique.</t>
  </si>
  <si>
    <t>17.2.1.1. Los dispositivos utilizados para transferencia de información sincrónica por videoconferencia garantizan una óptima fidelidad y calidad del video y sonido tanto para el prestador remisor como para el prestador de referencia.</t>
  </si>
  <si>
    <t>53.5. Nivel de iluminación homogénea.</t>
  </si>
  <si>
    <t>17.2.1.2. El software utilizado se adapta al cambio de la disponibilidad del ancho de banda sin perder la conexión.</t>
  </si>
  <si>
    <t>17.2.1.3. En el caso que la videoconferencia sea grabada se deberán contemplar todos los criterios de seguridad informática, que permita resguardar adecuadamente la confidencialidad y privacidad del paciente.</t>
  </si>
  <si>
    <t>17.2.2. Las pantallas o monitores grado médico utilizados para el despliegue de imágenes cuentan con una distancia máxima de 0.19 milímetros entre pixeles (dot pitch), resolución mínima de 1024 x 768 pixeles, como mínimo un ratio de contraste de 500:1 y mínimo de luminancia (brillo) de 250 cd/m2 que permita garantizar la interpretación adecuada de la información recibida.</t>
  </si>
  <si>
    <t>Estandar de Medicamentos, dispositivos médicos e insumos</t>
  </si>
  <si>
    <t>TSMD</t>
  </si>
  <si>
    <t>1. El prestador de servicios de salud lleva registros con la información de todos los medicamentos para uso humano requeridos en la prestación de los servicios que oferte; dichos registros cuentan con la siguiente información:</t>
  </si>
  <si>
    <t>1.1. Principio activo.</t>
  </si>
  <si>
    <t>1.2. Forma farmacéutica.</t>
  </si>
  <si>
    <t>1.3. Concentración</t>
  </si>
  <si>
    <t>1.4. Lote.</t>
  </si>
  <si>
    <t>1.5. Fecha de vencimiento.</t>
  </si>
  <si>
    <t>1.6. Presentación comercial.</t>
  </si>
  <si>
    <t>1.7. Unidad de medida.</t>
  </si>
  <si>
    <t>1.8. Registro sanitario vigente o permiso cuando se autorice, expedido por el Invima.</t>
  </si>
  <si>
    <t xml:space="preserve">2. Los dispositivos médicos de uso humano requeridos para la prestación de los servicios de salud cuentan con información documentada que dé cuenta de la verificación y seguimiento de la siguiente información: </t>
  </si>
  <si>
    <t>2.1. Descripción.</t>
  </si>
  <si>
    <t>2.2. Marca del dispositivo.</t>
  </si>
  <si>
    <t>2.3. Serie (cuando le aplique).</t>
  </si>
  <si>
    <t>2.4. Presentación comercial.</t>
  </si>
  <si>
    <t>2.5. Registro sanitario vigente o permiso de comercialización expedido por el Invima.</t>
  </si>
  <si>
    <t>2.6. Clasificación por riesgo (información consignada en el registro sanitario o permiso de comercialización).</t>
  </si>
  <si>
    <t>2.7. Vida útil, cuando le aplique.</t>
  </si>
  <si>
    <t>2.8. Lote</t>
  </si>
  <si>
    <t>2.9. Fecha de vencimiento</t>
  </si>
  <si>
    <t>3. Los reactivos de diagnóstico in vitro requeridos para la prestación de los servicios de salud cuentan con la información documentada que dé cuenta de la verificación y seguimiento de la siguiente información:</t>
  </si>
  <si>
    <t>3.1. Nombre</t>
  </si>
  <si>
    <t>3.2. Marca</t>
  </si>
  <si>
    <t>3.3. Presentación comercial</t>
  </si>
  <si>
    <t>3.4. Registro sanitario vigente o permiso de comecialización expedido por el Invima.</t>
  </si>
  <si>
    <t>3.5. Clasificación del riesgo santario</t>
  </si>
  <si>
    <t>3.6. Vida útil, cuando aplique</t>
  </si>
  <si>
    <t>3.7. Fecha de vencimiento y lote.</t>
  </si>
  <si>
    <t>4. El prestador de servicios de salud cuenta con información documentada de los procesos generales según aplique, para:</t>
  </si>
  <si>
    <t>4.1. Selección</t>
  </si>
  <si>
    <t>4.2. Adquisición</t>
  </si>
  <si>
    <t>4.3. Transporte</t>
  </si>
  <si>
    <t>4.4. Recepción</t>
  </si>
  <si>
    <t>4.5. Almacenamiento</t>
  </si>
  <si>
    <t>4.6. Conservación</t>
  </si>
  <si>
    <t>4.7. Control de fechas de vencimiento</t>
  </si>
  <si>
    <t>4.8. Control de cadena de frío, manejo de contingencias con la cadena de frío</t>
  </si>
  <si>
    <t>4.9. Distribución</t>
  </si>
  <si>
    <t>4.10. Dispensación</t>
  </si>
  <si>
    <t>Estandar de Procesos Prioritarios</t>
  </si>
  <si>
    <t>4.11. Devolución</t>
  </si>
  <si>
    <t>Estandar de Historia Clínica y Registros</t>
  </si>
  <si>
    <t>4.12. Disposición final</t>
  </si>
  <si>
    <t>Modalidades intramural, extramural: unidad movil, domicialiria, jornada de salud y telemedicina prestador remisor - prestador de referencia.</t>
  </si>
  <si>
    <t>4.13. Seguimiento al uso de medicamentos, homeopáticos, fitoterapéuticos, medicamentos biológicos, componentes anatómicos, dispositivos médicos (incluso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</si>
  <si>
    <t>TSPP</t>
  </si>
  <si>
    <t>1. El prestador de servicios de salud cuenta con una política de seguridad del paciente acorde con los lineamientos expedidos por el Ministerio de Salud y Protección Social.</t>
  </si>
  <si>
    <t>TSHCR</t>
  </si>
  <si>
    <t>5. 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</si>
  <si>
    <r>
      <t xml:space="preserve">1. Toda atención de primera vez a un usuario debe incluir el proceso de apertura de historia clínica. Todos los pacientes atendidos </t>
    </r>
    <r>
      <rPr>
        <b/>
        <sz val="11"/>
        <rFont val="Calibri"/>
      </rPr>
      <t xml:space="preserve">cuentan con </t>
    </r>
    <r>
      <rPr>
        <sz val="11"/>
        <color rgb="FF000000"/>
        <rFont val="Calibri"/>
      </rPr>
      <t>historia clínica.</t>
    </r>
  </si>
  <si>
    <t>6. 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</si>
  <si>
    <r>
      <t xml:space="preserve">2. El prestador de servicios de salud </t>
    </r>
    <r>
      <rPr>
        <b/>
        <sz val="11"/>
        <rFont val="Calibri"/>
      </rPr>
      <t>cuenta con</t>
    </r>
    <r>
      <rPr>
        <sz val="11"/>
        <color rgb="FF000000"/>
        <rFont val="Calibri"/>
      </rPr>
      <t xml:space="preserve"> procedimientos para utilizar una historia única y para el registro de entrada y salida de historias del archivo físico. Ello implica que el prestador de servicios de salud cuente con un mecanismo para unificar la información de cada paciente y su disponibilidad para el equipo de salud.</t>
    </r>
  </si>
  <si>
    <t>2. El prestador de servicios de salud realiza actividades encaminadas a gestionar la seguridad del paciente.</t>
  </si>
  <si>
    <t>7. El prestador de servicios de salud que cuente con reservas de medicamentos, homeopáticos, fititerapéuticos,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reltiva y temperatura y evidencia su registro, control y gestión.</t>
  </si>
  <si>
    <t>3. Los medios electrónicos para la gestión de la historia clínica garantizan la confidencialidad y seguridad, así como el carácter permanente de registrar en ésta y en otros registros asistenciales, sin que se puedan modificar los datos una vez se guarden los registros.</t>
  </si>
  <si>
    <t>3. El prestador de servicios de salud cuenta con un comité o instancia que orienta y promueve la política de seguridad del paciente, el control de infecciones y ta optimización del uso de antibióticos, cuando tos prescriba o administre. En el caso de profesionales independientes de salud podrá ser el mismo prestador.</t>
  </si>
  <si>
    <t>8. Para la aplicación del protocolo de lavado de manos o higienización, los servicios de salud cuentan con los insumos de aseo, limpieza y secado que garanticen su cumplimiento.</t>
  </si>
  <si>
    <r>
      <t xml:space="preserve">4. Las historias clínicas </t>
    </r>
    <r>
      <rPr>
        <b/>
        <sz val="11"/>
        <rFont val="Calibri"/>
      </rPr>
      <t>cuentan con</t>
    </r>
    <r>
      <rPr>
        <sz val="11"/>
        <color rgb="FF000000"/>
        <rFont val="Calibri"/>
      </rPr>
      <t xml:space="preserve"> los componentes y los contenidos mínimos definidos en la normatividad que regula la materia</t>
    </r>
  </si>
  <si>
    <t>9. La suficiencia de dispositivos médicos está relacionada con la frecuencia de uso de los mismos, incluyendo los tiempos del proceso de esterililización, cuando aplique.</t>
  </si>
  <si>
    <t xml:space="preserve">5. La historia clínica y los registros asistenciales se diligencian en forma clara, legible, sin tachones, enmendaduras, intercalaciones, sin dejar espacios en blanco y sin utilizar siglas. </t>
  </si>
  <si>
    <t>4. El prestador de servicios de salud adopta y realiza las siguientes prácticas seguras, según aplique a su servicio de salud y cuenta con información documentada para:</t>
  </si>
  <si>
    <t>10. 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</si>
  <si>
    <t>6. Cada anotación lleva la fecha y hora en la que se realiza, con el nombre completo y firma del autor de la misma.</t>
  </si>
  <si>
    <t>4.1. Asegurar la correcta identificación del paciente en los procesos asistenciales. (que incluya como mínimo dos identificadores: nombre completo y número de identificación)</t>
  </si>
  <si>
    <t>7. El diligenciamiento de los registros de atención de la historia clínica se realiza simultánea o inmediatamente después de la atención en salud.</t>
  </si>
  <si>
    <t>4.2. Gestionar y desarrollar una adecuada comunicación entre las personas que atienden y cuidan a los pacientes que incluyan enfoques diferenciales.</t>
  </si>
  <si>
    <t xml:space="preserve">8. La historia clínica y demás registros son conservados en archivo único garantizando la custodia y confidencialidad de los documentos o registros protegidos legalmente por reserva. </t>
  </si>
  <si>
    <t>11. En los servicios donde se requiera carro de paro, adicional a la dotación definida en el presente manual, los medicamentos, dispositivos médicos e insumos deber ser definidos por el prestador de servicios de salud de acuerdo con la morbilidad. riesgos de complicaciones más frecuentes y lo documentado para el procedimiento de reanimación cerebro cardio pulmonar.</t>
  </si>
  <si>
    <t>4.3. Detectar, prevenir y reducir infecciones asociadas con la atención en salud (que incluya protocolo de higiene de manos o higienización con soluciones a base de alcohol).</t>
  </si>
  <si>
    <r>
      <t xml:space="preserve">9. El prestador de servicios de salud </t>
    </r>
    <r>
      <rPr>
        <b/>
        <sz val="11"/>
        <rFont val="Calibri"/>
      </rPr>
      <t>cuenta con</t>
    </r>
    <r>
      <rPr>
        <sz val="11"/>
        <color rgb="FF000000"/>
        <rFont val="Calibri"/>
      </rPr>
      <t xml:space="preserve">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t>
    </r>
  </si>
  <si>
    <t>12. El prestador debe mantener condiciones de almacenamiento, conservación, control de fechas de vencimiento, uso y custodia de los medicamentos, dispositivos médicos e insumos contenidos en los carros de paro.</t>
  </si>
  <si>
    <t>10. 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</si>
  <si>
    <t>13. 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</si>
  <si>
    <t>4.4. Detectar, ana!izar y gestionar eventos adversos.</t>
  </si>
  <si>
    <t>Cuenta con los siguientes registros, cuando los prestadores de servicios de salud realicen el proceso de esterilización dentro del servicio y fuera de centrales de esterilización:</t>
  </si>
  <si>
    <t>14. Cuando el prestador de servicios de salud fabrique en su institución gases medicinales, cuenta con la certificación vigente de Buenas Prácticas de Manufactura expedida por el Invima o la entidad que haga sus veces.</t>
  </si>
  <si>
    <t>4.5. Garantizar la funcionalidad de los procedimientos de consentimiento  informado.</t>
  </si>
  <si>
    <t>15. En los servicios de transporte asistencial, atención prehospitalaria y urgencias cuenta con kit de emergencias para la atención a víctimas de ataques con agentes químicos.</t>
  </si>
  <si>
    <t>11.1. Actividades documentadas y realizadas en el procedimiento de reúso de dispositivos médicos acorde con las recomendaciones del fabricante, incluyendo el número de reúsos por cada dispositivo esterilizado.</t>
  </si>
  <si>
    <t>Modalidad extramural unidad móvil, jornada de salud y domiciliaria.</t>
  </si>
  <si>
    <t>4.6. Mejorar la seguridad en la utilización de medicamentos, en los servicios donde aplique.</t>
  </si>
  <si>
    <t xml:space="preserve">11.2. Registro de cargas. </t>
  </si>
  <si>
    <t>16. Adicional a los criterios enunciados de presente estándar, que le aplique a estas modalidades, el prestador de servicios en salud cuenta con:</t>
  </si>
  <si>
    <t>11.3. Resultados del control de calidad.</t>
  </si>
  <si>
    <t>4.7. Prevenir y reducir la frecuencia de caídas, en los servicios donde aplique.</t>
  </si>
  <si>
    <t>11.4. Listas del contenido de los paquetes que se esterilizan.</t>
  </si>
  <si>
    <t>16.1. Dispositivos médicos e insumos asistenciales según la patalogía del paciente o eventos de interés en salud pública cuando se requiera.</t>
  </si>
  <si>
    <t>4.8. Garantizar la atención segura de ta gestante y el recién nacido, en los servicios donde aplique.</t>
  </si>
  <si>
    <t>16.2. Medicamentos de acuerdo con inventario establecido por el prestador acorde a lo documentado en sus procesos prioritarios, cuando se requiera.</t>
  </si>
  <si>
    <t>11.5. Etiquetado de cada paquete que permita la trazabilidad de la esterilización.</t>
  </si>
  <si>
    <t>4.9. Prevenir complicaciones asociadas a disponibilidad y manejo de sangre, componentes y a la transfusión sanguínea, en los servicios donde aplique.</t>
  </si>
  <si>
    <r>
      <t>12. Cuando se realicen procedimientos de transfusión de sangre o sus componentes, cuenta con</t>
    </r>
    <r>
      <rPr>
        <sz val="11"/>
        <color rgb="FF000000"/>
        <rFont val="Calibri"/>
      </rPr>
      <t xml:space="preserve"> los siguientes registros:</t>
    </r>
  </si>
  <si>
    <t>Prestador remisor y prestador de referencia.</t>
  </si>
  <si>
    <t>12.1. Información de los componentes sanguíneos.</t>
  </si>
  <si>
    <t>4.10. Prevenir úlceras por presión, en los servicios donde aplique.</t>
  </si>
  <si>
    <t>12.2. Solicitud de los componentes sanguíneos.</t>
  </si>
  <si>
    <t>17. El prestador de servicio de salud cumple con los criterios que le apliquen del presente estándar.</t>
  </si>
  <si>
    <t>4.11. Mejorar la seguridad en los procedimientos quirúrgicos, en los servicios donde aplique.</t>
  </si>
  <si>
    <t>12.3. Muestras tomadas para la realización de pruebas pre transfusionales.</t>
  </si>
  <si>
    <t>5. El prestador de servicios de salud promueve la cultura de seguridad del paciente que involucra a todo el personal de manera sistemática con un enfoque educativo no punitivo mediante:</t>
  </si>
  <si>
    <t>12.4. Muestras remitidas al Banco de Sangre y resultado de las pruebas pre transfusionales con el nombre del Banco de Sangre que las realizó, cuando el prestador no cuente con el servicio de gestión pre transfusional.</t>
  </si>
  <si>
    <t>12.5. Información post-transfusional.</t>
  </si>
  <si>
    <t>5.1. Capacitación del personal en el tema de seguridad del paciente y en los principales riesgos de la atención.</t>
  </si>
  <si>
    <t>12.6. Informe ante la secretaria departamental o distrital, o la entidad que tenga a cargo dichas competencias, sobre la estadistica mensual de componentes sanguineos trasfundidos.</t>
  </si>
  <si>
    <t>5.2. Actividades donde se ilustra al paciente y sus allegados en el autocuidado de su seguridad.</t>
  </si>
  <si>
    <t>12.7. Temperaturas de los equipos biomédicos que lo requieran.</t>
  </si>
  <si>
    <t>6. 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</si>
  <si>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 xml:space="preserve">12.8. Entrega para incineración de bolsas de sangre y de las unidades de sangre o componentes sanguíneos descartados. </t>
  </si>
  <si>
    <t>12.9. Transfusiones en la historia clínica del paciente, que incluya como mínimo la razón para la transfusión, el producto y volumen que fue transfundido y la hora de la transfusión.</t>
  </si>
  <si>
    <t>7. La información documentada es conocida mediante acciones de formación continua por el talento humano encargado y responsable de su aplicación, incluyendo el talento humano en entrenamiento, y existe evidencia de su socialización.</t>
  </si>
  <si>
    <t>13. Las instituciones prestadoras de servicios de salud con servicios en la modalidad intramural para hospitalización, hospitalización paciente crónico con y sin ventilador, cuidados intensivos neonatales, pediatricos y adultos, urgencias y servicios del grupo quirurgico, cuentan con:</t>
  </si>
  <si>
    <t>13.1. Registro de donantes detectados</t>
  </si>
  <si>
    <t>8. 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</si>
  <si>
    <t xml:space="preserve">13.2. Registro de consulta del documento de voluntad anticipada de todos los pacientes facellidos </t>
  </si>
  <si>
    <t>9. El prestador de servicios de salud de acuerdo con las patologías más frecuentes en el servicio define la guía o guías de práctica clínica a adoptar, o adaptar o desarrollar.</t>
  </si>
  <si>
    <t>13.3. Registros en la historia clínica de la información sobre el proceso de donación efectuado por los profesionales de salud inscritos ante el Instituto Nacional de Salud</t>
  </si>
  <si>
    <t>Modalidad Extramural</t>
  </si>
  <si>
    <t>10. El prestador de servicios de salud cuenta con información documentada de la adopción, o adaptación o desarrollo de guías práctica clínica o protocolos basados en evidencia científica.</t>
  </si>
  <si>
    <t>11. Los servicios de salud donde se atiendan pacientes con enfermedades terminales, crónicas, degenerativas e irreversibles, a los cuales se determine el manejo del dolor y cuidado paliativo, cuentan con información documentada para su manejo.</t>
  </si>
  <si>
    <r>
      <t xml:space="preserve">14. La historia clínica utilizada en la modalidad extramural es custodiada por el prestador de servicios de salud que oferta y presta el servicio de salud en la modalidad extramural y </t>
    </r>
    <r>
      <rPr>
        <b/>
        <sz val="11"/>
        <rFont val="Calibri"/>
      </rPr>
      <t xml:space="preserve">cuenta con </t>
    </r>
    <r>
      <rPr>
        <sz val="11"/>
        <color rgb="FF000000"/>
        <rFont val="Calibri"/>
      </rPr>
      <t>los siguientes registros:</t>
    </r>
  </si>
  <si>
    <t>12. El prestador de servicios de salud cuenta con la siguiente información documentada:</t>
  </si>
  <si>
    <t>Modalidad Extramural Domiciliaria</t>
  </si>
  <si>
    <t>12.1. Detección, prevención y disminución del riesgo de accidentes e incidentes de carácter radiológico, en los servicios donde aplique.</t>
  </si>
  <si>
    <t>14.1. Valoración de ingreso con el respectivo plan de tratamiento</t>
  </si>
  <si>
    <t>12.2. Aseo, limpieza y desinfección de áreas y superficies.</t>
  </si>
  <si>
    <t>14.2. Nombre de los pacientes atendidos</t>
  </si>
  <si>
    <t>12.3. Procedimiento de reanimación cerebro cardio pulmonar, en los servicios donde se realice.</t>
  </si>
  <si>
    <t>14.3. Registros de referencia y contrarreferencia, cuando se requieran</t>
  </si>
  <si>
    <t>14.4. Cuidados por parte del personal de salud</t>
  </si>
  <si>
    <t>12.4. Acciones para prevenir las flebitis infecciosas, químicas y mecánicas en los servicios donde se realicen procedimientos de venopunción.</t>
  </si>
  <si>
    <t>14.5. Cuidados encargados a la familia cuando aplique</t>
  </si>
  <si>
    <t>12.5. Aspectos de bioseguridad acordes con las condiciones y características del servicio.</t>
  </si>
  <si>
    <t>Modalidad Extramural Jornada de Salud y Unidad Móvil</t>
  </si>
  <si>
    <t>12.6. Descontaminación por derrames de sangre u otros fluidos corporales.</t>
  </si>
  <si>
    <t>12.7. Manejo de gases medicinales que incluya como mínimo la atención de emergencias y sistema de alarma, cuando se utilicen.</t>
  </si>
  <si>
    <t>14.6. Registro de rutas, horarios y frecuencias de la prestación de los servicios ofertados</t>
  </si>
  <si>
    <t>14.7. Nombre de los pacientes atendidos.</t>
  </si>
  <si>
    <t>13. El prestador de servicios de salud que realice el proceso de esterilización cuenta con la siguiente información  documentada:</t>
  </si>
  <si>
    <t>14.8. Nombre de los pacientes trasladados</t>
  </si>
  <si>
    <t>13.1. Buenas prácticas de esterilización de acuerdo con los procedimientos y técnicas que se utilicen, que describa como mínimo los siguientes aspectos:</t>
  </si>
  <si>
    <t>14.9. Fecha y hora de ingreso al servicio</t>
  </si>
  <si>
    <t>13.1.1 Recibo de productos contaminados y entrega de material estéril.</t>
  </si>
  <si>
    <t>14.10. Cuidados por parte del personal de salud</t>
  </si>
  <si>
    <t>14.11. Cuidados encargados a la familia cuando aplique</t>
  </si>
  <si>
    <t>13.1.2. Transporte</t>
  </si>
  <si>
    <t>14.12. Registros de las fechas de llegada y de salida, cuando aplique</t>
  </si>
  <si>
    <t>13.1.3. Lavado, secado y lubricación.</t>
  </si>
  <si>
    <t>13.1.4. Empaque.</t>
  </si>
  <si>
    <t>14.13. Registros de las actividades realizadas.</t>
  </si>
  <si>
    <t>13.1.5. Etiquetado.</t>
  </si>
  <si>
    <t>Modalidad Telemedicina - Prestador remisor  - Prestador de referencia 
Cuenta con:</t>
  </si>
  <si>
    <t>13.1.6. Esterilización.</t>
  </si>
  <si>
    <t>15. Documento firmado por un ingeniero de sistemas con tarjeta profesional vigente, que certifique:</t>
  </si>
  <si>
    <t>13.1.7. Almacenamiento.</t>
  </si>
  <si>
    <t>15.1.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</si>
  <si>
    <t>13.1.8. Verificación de la integridad del material estéril</t>
  </si>
  <si>
    <t xml:space="preserve">15.2. Los mecanismos de compresión utilizados por el prestador garantizan que la información recuperada corresponda al dato, imagen o señal original (compresión sin pérdidas). </t>
  </si>
  <si>
    <t>13.1.9. Control de calidad que incluya el análisis de los reportes de dicho control, para la toma de medidas preventivas y correctivas.</t>
  </si>
  <si>
    <t xml:space="preserve">15.3. El método utilizado para el uso de la firma electrónica o digital </t>
  </si>
  <si>
    <t>14. 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</si>
  <si>
    <t xml:space="preserve">15.4. La encriptación de la información para su transmisión y mecanismos de acceso a la misma de acuerdo con lo definido por el prestador de servicios de salud. </t>
  </si>
  <si>
    <t>15. Los prestadores de servicios de salud tienen definidos procedimientos que garanticen el cumplimiento del no reúso de dispositivos médicos cuando el fabricante así lo haya establecido.</t>
  </si>
  <si>
    <t>15.5. Los sistemas de seguridad y control de acceso a la aplicación, según tipo de usuario cuando se utilizan sistemas de información compartidos o de acceso remoto</t>
  </si>
  <si>
    <t>16. 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</si>
  <si>
    <t xml:space="preserve">16. Plan de contingencia en caso de fallas del sistema activo o pérdida de datos </t>
  </si>
  <si>
    <t>16.1. Los procedimientos, siguiendo las recomendaciones del fabricante, para el reprocesamiento y control de calidad que demuestren la eficacia, desempeño y esterilidad del producto.</t>
  </si>
  <si>
    <t>17. Todos los eventos y transacciones que se realicen con ocasión de la prestación de servicios en la modalidad de telemedicina son documentados y almacenados, y son parte integral de la historia clínica</t>
  </si>
  <si>
    <t>18. Registro de las atenciones realizadas en la modalidad de telemedicina</t>
  </si>
  <si>
    <t>16.2.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</si>
  <si>
    <t>16.3. Los profesionales independientes de salud realizarán el seguimiento a través del programa de tecnovigilancia.</t>
  </si>
  <si>
    <t>17. Para la referencia de pacientes, el prestador de servicios de salud cuenta con la siguiente información documentada:</t>
  </si>
  <si>
    <t>17.1. Estabilización del paciente antes del traslado.</t>
  </si>
  <si>
    <t>17.2. Medidas para el traslado.</t>
  </si>
  <si>
    <t>17.3. Lista de chequeo de los documentos necesarios para el traslado que incluya:</t>
  </si>
  <si>
    <t>17.3.1. Diligenciamiento del formato de referencia de pacientes.</t>
  </si>
  <si>
    <t>17.3.2. Resultados de apoyos diagnósticos realizados al paciente.</t>
  </si>
  <si>
    <t>17.3.3. Resumen de historia clínica.</t>
  </si>
  <si>
    <t>17.3.4. Mecanismos tecnológicos que le permitan realizar el proceso (software, correo, entre otros).</t>
  </si>
  <si>
    <t>17.3.5. Talento humano que debe responsabilizarse de cada una de las etapas del proceso.</t>
  </si>
  <si>
    <t>17.3.6. La referencia de pacientes que se detecten como víctimas de violencia sexual debe hacerse a un servicio de urgencias.</t>
  </si>
  <si>
    <t>18. Cuando se realicen procedimientos bajo sedación fuera de salas cirugía, el prestador de servicios de salud cuenta con información documentada para:</t>
  </si>
  <si>
    <t>18.1. Realizar la sedación</t>
  </si>
  <si>
    <t>18.2. Definición de la atención por médico especialista en anestesiología cuando se identifiquen riesgos para el paciente relacionados con la sedación</t>
  </si>
  <si>
    <t>18.3. Manejo de emergencias.</t>
  </si>
  <si>
    <t>18.4. Seguimiento al riesgo, que incluya fichas técnicas de indicadores de complicaciones terapéuticas y medicamentosas, relacionadas con la sedación, medición, seguimiento y planes de mejoramiento.</t>
  </si>
  <si>
    <t>18.5. Lista de chequeo, consignada en la historia clínica del paciente, que incluya la verificación de:</t>
  </si>
  <si>
    <t>18.5.1. Evaluación de la vía aérea.</t>
  </si>
  <si>
    <t>18.5.2. Determinación del tiempo de ayuno.</t>
  </si>
  <si>
    <t>18.5.3. Registro de monitoreo del nivel de conciencia, la saturación de oxígeno, frecuencia cardíaca, tensión arterial y frecuencia respiratoria.</t>
  </si>
  <si>
    <t>18.5.4. Registro de las variables hemodinámicas y respiratorias, a intervalos regulares</t>
  </si>
  <si>
    <t>18.6. Observación bajo la supervisión del profesional que realiza la sedación.</t>
  </si>
  <si>
    <t>18.7. Todos estos registros se deben realizar antes, durante la intervención y hasta el momento del egreso del paciente.</t>
  </si>
  <si>
    <t>18.8. Recomendaciones de egreso suministradas al acompañante o acudiente.</t>
  </si>
  <si>
    <t>19. Si el prestador de servicios de salud no tiene habilitado el servicio de gestión pre transfusional, pero realiza procedimientos de transfusión sanguínea en alguno de sus servicios de salud habilitados, cuenta con la siguiente información documentada:</t>
  </si>
  <si>
    <t>19.1. Transporte, conservación, embalaje y remisión de muestras al banco de sangre para la realización de pruebas pre transfusionales.</t>
  </si>
  <si>
    <t>19.2. Manejo, investigación y análisis de las reacciones adversas a las transfusiones sanguíneas y procesos de hemovigilancia.</t>
  </si>
  <si>
    <t>19.3. Guía de práctica clínica para el uso de componentes sanguíneos.</t>
  </si>
  <si>
    <t>20. La Institución Prestadora de Servicios de Salud que cuenten con servicios de salud de los grupos de consulta externa, internación o el servicio de urgencias, cuenta con:</t>
  </si>
  <si>
    <t>20.1. Documento del proceso institucional que orienta la atención en salud de las víctimas de violencias sexuales.</t>
  </si>
  <si>
    <t>20.2. Documento que dé cuenta la conformación del equipo institucional para la atención integral en salud para las víctimas de violencias sexuales</t>
  </si>
  <si>
    <t>21. 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</si>
  <si>
    <t>22. En los servicios de transporte asistencial, atención prehospitalaria y urgencias, se cuenta con documento del proceso que orienta la atención en salud a victimas de ataques con agentes químicos.</t>
  </si>
  <si>
    <t>23. 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</si>
  <si>
    <t>24. 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</si>
  <si>
    <t>24.1. Manejo de la enfermedad cerebro vascular.</t>
  </si>
  <si>
    <t>24.2. Manejo del Trauma Craneoencefálico.</t>
  </si>
  <si>
    <t>24.3. Detección de donantes de componentes anatómicos</t>
  </si>
  <si>
    <t>24.4. Mantenimiento del donante de componentes anatómicos</t>
  </si>
  <si>
    <t>25. 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</si>
  <si>
    <t>26. Los servicios de salud que realicen pruebas de interés en salud pública deben inscribirse en el Registro de Laboratorios- RELAB.</t>
  </si>
  <si>
    <t>27. Cuando el prestador de servicios de salud realice "pruebas en el punto de atención del paciente - (Point of Care Testing - POCT)" en un servicio habilitado cuenta con:</t>
  </si>
  <si>
    <t>27.1. Información documentada sobre la toma, procesamiento, control de calidad y entrega de resultados.</t>
  </si>
  <si>
    <t>27.2. Controles de calidad realizados por un servicio de laboratorio clínico que puede ser propio o contratado para tal fin. cuando aplique, de acuerdo a las especificaciones del fabricante.</t>
  </si>
  <si>
    <t>27.3. Análisis de los reportes del control de calidad y toma de medidas preventivas y correctivas.</t>
  </si>
  <si>
    <t>Adicional a los criterios enunciados que le aplique, para las siguientes modalidades el prestador de servicios de salud cuenta con la siguiente información documentada:</t>
  </si>
  <si>
    <t>Modalidad extramural jornadas en salud y unidad móvil</t>
  </si>
  <si>
    <t>28. Orientación a los usuarios sobre las condiciones, requisitos y restricciones de acceso, permanencia y salida del vehículo, en condiciones de rutina o en condiciones de emergencia. a cargo del conductor del vehículo y el talento humano en salud.</t>
  </si>
  <si>
    <t>29. Mecanismos que garanticen comunicación para el seguimiento de los pacientes que lo requieran.</t>
  </si>
  <si>
    <t>30. Mecanismos de supervisión de las actividades realizadas en el marco de los eventos de interés en salud pública, cuando aplique.</t>
  </si>
  <si>
    <t>Modalidad telemedicina - Prestador Remísor</t>
  </si>
  <si>
    <t>31. Información documentada de la prestación de servicios en esta modalidad que evidencie:</t>
  </si>
  <si>
    <t>31.1. La o las categorías de tetemedicina que se ofrece(n) en cada uno de  los servicios habilitados en dicha modalidad y si se presta el servicio como prestador remisor o como prestador de referencia.</t>
  </si>
  <si>
    <t>31.2. Los flujos de la información</t>
  </si>
  <si>
    <t>31.3.Los responsables de la atención</t>
  </si>
  <si>
    <t>31.4. El método de comunicación que se utiliza (sincrónico o asincrónico) para la atención y los criterios para la identificación de los casos en los cuales se debe transferir y recibir la información en tiempo real (sincrónico) o mediante almacenamiento - envio (asincrónico).</t>
  </si>
  <si>
    <t>31.5. Las caracteristicas y formas de relacionamiento entre prestadores de telemedicina (remisar y de referencia) cuando aplique, definiendo los tiempos de respuesta.</t>
  </si>
  <si>
    <t>31.6. Procedimiento para la captura, almacenamiento y transmisión de la información.</t>
  </si>
  <si>
    <t>31.7. Parámetros para la digitalización y compresión durante la captura de datos o imágenes que garanticen la resolución necesaria para permitir el diagnóstico.</t>
  </si>
  <si>
    <t>Modalidad telemedicina - Prestador de referencia</t>
  </si>
  <si>
    <t>32. 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</si>
  <si>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Estandar de Interdependencia</t>
  </si>
  <si>
    <t>TSINT</t>
  </si>
  <si>
    <t>1. Cuando el servicio interdependiente sea contratado, debe mediar un contrato o un acuerdo escrito entre las dos partes, en el que se establezca que el servicio interdependiente apoya el servicio principal, estableciendo como mínimo:</t>
  </si>
  <si>
    <t>1.1 Calidad en la entrega de los productos</t>
  </si>
  <si>
    <t>1.2. Procedimientos documentados de atención en cada servicio independiente</t>
  </si>
  <si>
    <t>1.3 Tiempos de entrega de los productos</t>
  </si>
  <si>
    <t>1.4 Supervisión al contratista que garantice la seguridad del resultado del producto contratado.</t>
  </si>
  <si>
    <t xml:space="preserve">2. Cuando fuera de salas de cirugía, se realicen procedimientos bajo sedación y monitorización electroencelfalografica con video y radio; el prestador de servicios de salud tendrá disponibilidad del servicio de transporte asistencial </t>
  </si>
  <si>
    <t>Grupo Consulta Externa</t>
  </si>
  <si>
    <t>Servicio de Consulta Externa General</t>
  </si>
  <si>
    <t>CEG_TH</t>
  </si>
  <si>
    <t xml:space="preserve">Complejidad baja </t>
  </si>
  <si>
    <t>Modalidad intramural, extramural unidad móvil, jornada de salud y domiciliaria</t>
  </si>
  <si>
    <t>1. Cumple con los criterios que le sean aplicables de todos los servicios y adicionalmente.</t>
  </si>
  <si>
    <t>2. Cuenta con el profesional de la salud de acuerdo con el servicio a ofertar.</t>
  </si>
  <si>
    <t>3. Cuando se oferte la estrategia para el majo de la Enfermedad Respiratoria Aguda (ERA), el servicio tiene disponibilidad de:</t>
  </si>
  <si>
    <t>3.1.  Profesional de la medicina.</t>
  </si>
  <si>
    <t>3.2.  Profesional de la enfermería o terapia respiratoria o fisioterapia.</t>
  </si>
  <si>
    <t xml:space="preserve">Modalidad telemedicina </t>
  </si>
  <si>
    <t>Categoría interactiva y no interactiva-prestador de referencia</t>
  </si>
  <si>
    <t>4.  Cumple con los criterios que le sean aplicables de todos los servicios y adicionalmente, cuenta con:</t>
  </si>
  <si>
    <t>4.1.  Profesional de la salud de acuerdo con el servicio a ofertar.</t>
  </si>
  <si>
    <t>Categoria telexperticia- prestador de remisor</t>
  </si>
  <si>
    <t>5.  Cumple con los criterios que le sean aplicables de todos los servicios y adicionalmente:</t>
  </si>
  <si>
    <t>5.1.  Cuando se realice telexperticia entre profesionales de la salud cuenta con el profesional de la salud de acuerdo con el servicio a ofertar.</t>
  </si>
  <si>
    <t>5.2.  Cuando realice telexperticia entre personal de salud no profesional y un profesional de la salud, el prestador remisor cuenta con técnico, tecnólogo o auxiliar que atiende presencialmente al usuario.</t>
  </si>
  <si>
    <t>Categoria telexperticia-prestador de referencia</t>
  </si>
  <si>
    <t>6.  Cumple con los criterios que le sean aplicables de todos los servicios y adicionalmente cuenta con profesional de la salud que atiende a distancia, de acuerdo con el servicio a ofertar.</t>
  </si>
  <si>
    <t>Categoría telemonitoreo-prestador de referencia</t>
  </si>
  <si>
    <t>7.  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</si>
  <si>
    <t>CEG_INF</t>
  </si>
  <si>
    <t>Modalidad intramural</t>
  </si>
  <si>
    <t>8.  Cumple con los criterios que le sean aplicables de todos los servicios y adicionalmente</t>
  </si>
  <si>
    <t>9.  Cuenta con:</t>
  </si>
  <si>
    <t>9.1.  El tipo de ambiente o consultorio de acuerdo con la oferta, así:</t>
  </si>
  <si>
    <t>9.1.1.  Consultorio donde se realiza examen físico</t>
  </si>
  <si>
    <t>9.1.2.  Ambiente de entrevista donde no se realiza examen físico ni procedimientos.</t>
  </si>
  <si>
    <t>9.1.3. Consultorio donde se realizan procedimientos.</t>
  </si>
  <si>
    <t>9.1.4.  Consultorio odontológico con una unidad odontológica o más</t>
  </si>
  <si>
    <t>9.2.  Sala de procedimientos, cuando se requiera.</t>
  </si>
  <si>
    <t>10.  Disponibilidad de:</t>
  </si>
  <si>
    <t>10.1.  Sala de espera</t>
  </si>
  <si>
    <t>10.2.  Mínimo una (1) unidad sanitaria de uso mixto, apta para personas con movilidad reducida, cuando el prestador cuenta con hasta dos consultorios o ambientes de entrevista.</t>
  </si>
  <si>
    <t>10.3.  Mínimo una (1) unidad sanitaria discriminada por sexo apta para personas con movilidad reducida, o bateria sanitaria discriminada por sexo con mínimo una (1) unidad sanitaria apta para personas con movilidad reducida, cuando el prestador cuente con más de dos consultorios o ambientes de entrevista.</t>
  </si>
  <si>
    <t>11. Cuando se oferte la estrategia para el manejo de la Enfermedad Respiratoria Aguda (ERA), el ambiente cuenta con:</t>
  </si>
  <si>
    <t>11.1.  Lavamanos</t>
  </si>
  <si>
    <t>11.2.  Mesón de trabajo</t>
  </si>
  <si>
    <t>11.3.  Poceta, cuando la requiera, según los procedimientos que documente.</t>
  </si>
  <si>
    <t>11.4.  Barrera física móvil o fija, para separación entre sillas.</t>
  </si>
  <si>
    <t>12. Cuando se realicen terapias e intervenciones grupales para la atención de personas con consumo de sustancias psicoactivas o alteraciones en salud mental, cuenta con ambiente con dimensión variable para su realización.</t>
  </si>
  <si>
    <t xml:space="preserve">13.  Cuando se realicen actividades grupales de educación para la salud, tiene disponibilidad de un ambiente con dimensión variable.  </t>
  </si>
  <si>
    <t>Modalidad Extramural: Unidad móvil, Jornada de Salud y Domiciliaria</t>
  </si>
  <si>
    <t xml:space="preserve">14.  Cumple con los criterios que le sean aplicables de todos los servicios. </t>
  </si>
  <si>
    <t>15.  Cumple con los criterios que le sean aplicables de todos los servicios.</t>
  </si>
  <si>
    <t xml:space="preserve">Categoría telexpeticia-prestador remisor </t>
  </si>
  <si>
    <t>16.  Cumple con los criterios establecidos en el servicio de consulta externa general.</t>
  </si>
  <si>
    <t>Categoría telexperticia-prestador de referencia</t>
  </si>
  <si>
    <t>17.  Cumple con los criterios que le sean aplicables de todos los servicios.</t>
  </si>
  <si>
    <t>18.  Cumple con los criterios que le sean aplicables de todos los servicios.</t>
  </si>
  <si>
    <t>CEG_DOT</t>
  </si>
  <si>
    <t xml:space="preserve">Modalidad intramural </t>
  </si>
  <si>
    <t>19.  El consultorio donde se realice examen físico cumple con los criterios que se sean plicables de todos los servicios y adicionalmente cuenta con:</t>
  </si>
  <si>
    <t>19.1.  Camilla fija</t>
  </si>
  <si>
    <t>19.2. Escalerilla</t>
  </si>
  <si>
    <t>19.3.  Tensiómetro para adulto o pediátrico según la oferta del servicio.</t>
  </si>
  <si>
    <t>19.4.  Fonendoscopio para adulto o pediátrico según la oferta del servicio.</t>
  </si>
  <si>
    <t>19.5.  Equipo de órganos de los sentidos.</t>
  </si>
  <si>
    <t>19.6.  Martillo de reflejos.</t>
  </si>
  <si>
    <t>19.7.  Tallímetro o infantómetro según la oferta del servicio.</t>
  </si>
  <si>
    <t>19.8. Cinta métrica</t>
  </si>
  <si>
    <t>19,9. Báscula grado médico o pesa bebé, según la oferta del servicio.</t>
  </si>
  <si>
    <t>19.10.  Termómetro, cuando lo requiera.</t>
  </si>
  <si>
    <t>19.11.  Negatoscopio, cuando se requiera o sistema de visualización según la tecnología utilizada por el prestador.</t>
  </si>
  <si>
    <t>20.  Para el consultorio donde no se realice examen físico ni procedimientos, no se exige la dotación anterior. El prestador de servicios de salud cuenta con la dotación necesaria de acuerdo con lo documentado en el estándar de procesos prioritarios.</t>
  </si>
  <si>
    <t>21.  El consultorio donde se realicen procedimientos cuenta con la dotación mínima definida para el consultorio donde se realice examen físico y adicionalmente cuenta con la dotación necesaria para realizar los procedimentos documentados en el estándar de procesos prioritarios.</t>
  </si>
  <si>
    <t>22. Si realiza procedimientos en sala de procedimientos, cuenta con:</t>
  </si>
  <si>
    <t>22.1.  Dotación necesaria para realizar los procedimientos documentados en el estándar de procesos prioritarios.</t>
  </si>
  <si>
    <t>22.2.  Camilla con barandas, ruedas y freno, cuando los procedimientos requieran estas características.</t>
  </si>
  <si>
    <t>23.  El consultorio odontológico cuenta con:</t>
  </si>
  <si>
    <t xml:space="preserve">23.1.   Unidad odontológica fija </t>
  </si>
  <si>
    <t>23.2.  Lámpara de fotocurado o amalgamador según la oferta del servicio.</t>
  </si>
  <si>
    <t>23.3.  Negatoscopio cuando se requiera o sistema de visualización según la tecnología utilizada por el prestador.</t>
  </si>
  <si>
    <t>23.4.  Sistema de succión que podrá estar incorporado a la unidad odontológica.</t>
  </si>
  <si>
    <t>23.5.  Compresor de aire para uso odontológico.</t>
  </si>
  <si>
    <t>23.6.  Instrumental básico definido por el prestador de acuerdo con la oferta del servicio (adultos o pediatría), la capacidad instalada, los procedimientos documentados en el estándar de procesos prioritarios y la ténica de esterilización y número de ciclos de esterilización al día.</t>
  </si>
  <si>
    <t>23.7.  Cuando se realice el prceso de esterilización dentro del servicio, cuenta con equipos para esterilización según los procedimientos realizados y documentados en el estándar de prcesos prioritarios.</t>
  </si>
  <si>
    <t>24.  Para la consulta externa de medicina general, cuenta con:</t>
  </si>
  <si>
    <t>24.1.  Fonendoscopio para adulto o pediátrico según la oferta del servicio.</t>
  </si>
  <si>
    <t>24.2.  Tensiómetro para adulto o pediátrico según la oferta del servicio.</t>
  </si>
  <si>
    <t>24.3.  Equipo de órganos de los sentidos.</t>
  </si>
  <si>
    <t>24.4.  Oxímetro</t>
  </si>
  <si>
    <t>24.5.  Glucómetro</t>
  </si>
  <si>
    <t>24.6.  Martillo de reflejos.</t>
  </si>
  <si>
    <t>24.7. Termómetro, cuanto lo requiera.</t>
  </si>
  <si>
    <t>24.8. Cinta métrica</t>
  </si>
  <si>
    <t>24.9.  Báscula grado médico o pesa de bebé, según la oferta del servicio.</t>
  </si>
  <si>
    <t>25.  El prestador de servicios de salud cuenta con la dotación necesaria para realizar los procedimientos documentados en el estándar de procesos prioritarios.</t>
  </si>
  <si>
    <t>26.  Para la consulta odontológica, cuenta con:</t>
  </si>
  <si>
    <t>26.1.  Unidad odontológica portátil</t>
  </si>
  <si>
    <t>26.2.  Lámpara de fotocurado o amalgamador según la oferta del servicio.</t>
  </si>
  <si>
    <t xml:space="preserve">26.3.  Negatoscopio cuando se requiera o sistema de visualización según la tecnología utilizada por el prestador </t>
  </si>
  <si>
    <t>26.4.  Sistema de succión que podrá estar incorporado a la unidad odontológica.</t>
  </si>
  <si>
    <t>26.5.  Compresor de aire para uso odontológico.</t>
  </si>
  <si>
    <t>26.6.  Instrumental básico estéril definido por el prestador de acuerdo con la oferta del servicio (adultos o pediatría), la capadidad instalada y los procedimientos documentados en el estándar de proceso prioritarios.</t>
  </si>
  <si>
    <t>27.  Cumple con los criterios que le sean aplicables de todos los servicios.</t>
  </si>
  <si>
    <t>28.  Cumple con los criterios que le sean aplicables de todos los servicios.</t>
  </si>
  <si>
    <t>Servicio de Consulta Externa Especializada</t>
  </si>
  <si>
    <t>Servicio xxx</t>
  </si>
  <si>
    <t>Categoría telexperticia-prestador remisor</t>
  </si>
  <si>
    <t>29.  Cumple con los criterios que le sean aplicables de todos los servicios y los establecidos en el servicio de consulta externa general.</t>
  </si>
  <si>
    <t>Categoría telexperticia-prestador referencia</t>
  </si>
  <si>
    <t>30.  Cumple con los criterios que le sean aplicables de todos los servicios.</t>
  </si>
  <si>
    <t>CEE_TH</t>
  </si>
  <si>
    <t xml:space="preserve">Complejidad mediana </t>
  </si>
  <si>
    <t>Modalidades intramural, extramural unidad móvil, jornada de salud y domiciliaria</t>
  </si>
  <si>
    <t>31.  Cumple con los criterios que le sean aplicables de todos los servicios.</t>
  </si>
  <si>
    <t xml:space="preserve">1.  Cumple con los criterios definidos para el servicio de consulta externa general y adicionalmente cuenta con: </t>
  </si>
  <si>
    <t>CEG_MD</t>
  </si>
  <si>
    <t>Modalidad intramural, extramural unidad movil, jornada de salud y domiciliaria</t>
  </si>
  <si>
    <t>32.  Cumple con los criterios que le sean aplicables de todos los servicios.</t>
  </si>
  <si>
    <t>33.  Cuando se oferte la estrategia par ael manejo de la Enfermedad Respiratorio Aguda (ERA), el ambiente cuenta con oxígeno medicinal.</t>
  </si>
  <si>
    <t xml:space="preserve">1.1.  Profesional de la salud con titulo de especialista, según los programas académicos autorizados por el Ministerio de Educación Nacional. </t>
  </si>
  <si>
    <t>1.2.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</si>
  <si>
    <t>Categoría telexperticia-prestador remisor-prestador referencia</t>
  </si>
  <si>
    <t>34.  Cumple con los criterios que le sean aplicables de todos los servicios.</t>
  </si>
  <si>
    <t xml:space="preserve">2.  Cumple con los criterios que le sean aplicables de todos los servicios y adicionalmente, cuenta con:  </t>
  </si>
  <si>
    <t>CEG_PP</t>
  </si>
  <si>
    <t>Modalidades intramural, extramural, unidad móvil, jornada de salud y domiciliaria</t>
  </si>
  <si>
    <t>Profesional de la salud con título de especialista de acuerdo con el servicio a o ofertar</t>
  </si>
  <si>
    <t>Categoría telexperticia -prestador remisor</t>
  </si>
  <si>
    <t>35.  Cumple con los criterios que le sean aplicables de todos los servicios y adicionalmente cuando se realicen procedimientos, cuenta con la siguiente información documentada:</t>
  </si>
  <si>
    <t>3.  Cumple con los criterios que le sean aplicables de todos los servicios y adicionalmente:</t>
  </si>
  <si>
    <t>35.1.  Procedimientos que se pueden realizar, incluyendo aquellos que requieran anestesia local y no impliquen anestesia regional ni general.</t>
  </si>
  <si>
    <t>35.2.  Información al paciente sobre:</t>
  </si>
  <si>
    <t>35.2.1.  Preparación.</t>
  </si>
  <si>
    <t>3.1.  Cuando se realice telexperticia entre profesionales de la salud cuenta con el profesional de salud con título de especialista de acuerdo con el servicio a ofertar.</t>
  </si>
  <si>
    <t>35.2.2.  Recomendaciones post procedimiento</t>
  </si>
  <si>
    <t>35.2.3.  Controles</t>
  </si>
  <si>
    <t>3.2.  Cuando realice telexperticia entre personal de salud no profesional y un profesional de la salud con título de especialista, el prestador remisor cuenta con técnico, tecnólogo o auxiliar que atiende presencialmente al usuario.</t>
  </si>
  <si>
    <t>35.2.4.  Posibles complicaciones</t>
  </si>
  <si>
    <t>36.  La sala para el manejo de la Enfermedad Respiratoria Aguda (ERA) , que dependa del servicio de consulta externa, debe estar señalizada y el prestador de servicios de salud cuenta con la siguiente información documentada:</t>
  </si>
  <si>
    <t xml:space="preserve">4.  Cumple con los criterios que le sean aplicables de todos los servicios y adicionalmente cuenta con profesional de la salud con título de especailista que atiende a distancia, de acuedo con el servicio a ofertar. </t>
  </si>
  <si>
    <t>36.1.  Manejo de pacientes con enfermedad respiratoria alta y baja, que incluya ingreso, valoración y seguimiento del estado clínico</t>
  </si>
  <si>
    <t>Categoría telemonitoreo-prestador referencia</t>
  </si>
  <si>
    <t>36.2.  Los tiempos máximos de manejo en la consulta externa, de los pacientes con enfermedad de vías respiratorias altas y bajas, y de remisión al servicio de hospitalización.</t>
  </si>
  <si>
    <t xml:space="preserve">5.  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 </t>
  </si>
  <si>
    <t>36.3.  Las condiciones clínicas de los pacientes, que pueden ser manejadas en la sala y de las que no, de acuerdo con los procedimientos que se realicen.</t>
  </si>
  <si>
    <t>CEE_INF</t>
  </si>
  <si>
    <t>Modalidades intramural</t>
  </si>
  <si>
    <t xml:space="preserve">6.  Cumple con los criterios definidos para el servicio de consulta externa general, de acuerdo con la oferta. </t>
  </si>
  <si>
    <t>Categoria interactiva y no interactiva-prestador de referencia</t>
  </si>
  <si>
    <t>7. El consultorio de las especialidades de ginecobstetricia y urología, cuenta con unidad sanitaria.</t>
  </si>
  <si>
    <t>37. Cumple con los criterios que le sean aplicables de todos los servicios.</t>
  </si>
  <si>
    <t>Modalidades extramural unidad móvil, jornada de salud y domiciliaria</t>
  </si>
  <si>
    <t>8.  Cumple con los criterios que le sean aplicables de todos los servicios.</t>
  </si>
  <si>
    <t>38.  Cumple con los criterios que le sean aplicables de todos los servicios y los establecidos en el servicio de consulta externa general.</t>
  </si>
  <si>
    <t>9.  Cumple con los criterios que le sean aplicables de todos los servicios.</t>
  </si>
  <si>
    <t>39.  Cumple con los criterios que le sean aplicables de todos los servicios.</t>
  </si>
  <si>
    <t>10.  Cumple con los criterios establecidos en el servicio de consulta externa general</t>
  </si>
  <si>
    <t>11.  Cumple con los criterios que le sean aplicables de todos los servicios.</t>
  </si>
  <si>
    <t>40. Cumple con los criterios que le sean aplicables de todos los servicios</t>
  </si>
  <si>
    <t>12.  Cumple con los criterios que le sean aplicables de todos los servicios.</t>
  </si>
  <si>
    <t>CEE_DOT</t>
  </si>
  <si>
    <t>CEG_HCR</t>
  </si>
  <si>
    <t>Modalidades intramural, extramural: unidad móvil, jornada de salud y domiciliaria</t>
  </si>
  <si>
    <t>Modalidades intramural, extramural unidad movil, jornada de salud y domiciliaria</t>
  </si>
  <si>
    <t xml:space="preserve">13.  Cumple con los criterios definidos para el servicio de consulta externa general y adicionalmente: </t>
  </si>
  <si>
    <t>Los consultorios de los especialistas cuentan con la dotación necesaria para realizar los procedimientos documentados en el estándar de procesos prioritarios.</t>
  </si>
  <si>
    <t>41. Cumple con los criterios que le sean aplicables de todos los servicios.</t>
  </si>
  <si>
    <t>Categoría telexperticia-prestador de remisor</t>
  </si>
  <si>
    <t>15.  Cumple con los criterios que le sean aplicables de todos los servicios y los establecidos en el servicio de consulta externa especializada</t>
  </si>
  <si>
    <t>42.  Cumple con los criterios que le sean aplicables de todos los servicios.</t>
  </si>
  <si>
    <t>16.  Cumple con los criterios que le sean aplicables de todos los servicios.</t>
  </si>
  <si>
    <t>CEG_INT</t>
  </si>
  <si>
    <t>CEE_MD</t>
  </si>
  <si>
    <t>43. Cumple con los criterios que le sean aplicables de todos los servicios</t>
  </si>
  <si>
    <t>18.  Cumple con los criterios que le sean aplicables de todo los servicios.</t>
  </si>
  <si>
    <t>Categoría telexperticia-prestador remisor -prestador de referencia</t>
  </si>
  <si>
    <t>44. No aplica</t>
  </si>
  <si>
    <t>19.  Cumple con los criterios que le sean aplicables de todo los servicios.</t>
  </si>
  <si>
    <t>CEE_PP</t>
  </si>
  <si>
    <t>20.   Cumple con los criterios definidos para el servicios de consulta externa general</t>
  </si>
  <si>
    <t>21.  Adicionalmente para el caso de medicina y terapias alternativas y complementarias, cuenta con información documentada de:</t>
  </si>
  <si>
    <t>21.1  Criterios explícitos y documentados sobre el tipo de procedimientos que se pueden realizar y de los que no se pueden realizar teniendo como marco el ámbito de la competencia.</t>
  </si>
  <si>
    <t xml:space="preserve">21.2.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
</t>
  </si>
  <si>
    <t>Categoría  interactiva y no interactiva -prestador de referencia</t>
  </si>
  <si>
    <t>22. Cumple con los criterios que le sean aplicables de lodos los servicio.</t>
  </si>
  <si>
    <t>Categoria telexperticía - prestador remisor</t>
  </si>
  <si>
    <t>23.  Cumple con los criterios que le sean aplicables de todos los servicios y los establecidos en el servicio de consulta externa especializada.</t>
  </si>
  <si>
    <t>24.  Cumple con los criterios que le sean aplicables de todos los servicios.</t>
  </si>
  <si>
    <t>25.  Cumple con los criterios que le sean aplicables de todos los servicios.</t>
  </si>
  <si>
    <t>CEE_ HCR</t>
  </si>
  <si>
    <t>26.  Cumple con los criterios que le sean aplicables de todos los servicios.</t>
  </si>
  <si>
    <t>CEE_ INT</t>
  </si>
  <si>
    <t>Modalidades intramural, extramural unidad móvil, jornada de salud y domiciliaria y telemedicina</t>
  </si>
  <si>
    <t>28. No aplica para la consulta externa médica especializada.</t>
  </si>
  <si>
    <t>29. Para la consulta odontológica especializada disponibilidad de:</t>
  </si>
  <si>
    <t>29.1. Servicio de radiología odontológica</t>
  </si>
  <si>
    <t>29.2. Transporte asistencial cuando se realicen procedimientos bajo sedación grado I y lI.</t>
  </si>
  <si>
    <t>30. No aplica</t>
  </si>
  <si>
    <t>Servicio de Vacunación</t>
  </si>
  <si>
    <t>CEV_TH</t>
  </si>
  <si>
    <t xml:space="preserve">Modalidades intramural, extramural unidad móvil, jornada de salud y domiciliaria </t>
  </si>
  <si>
    <t xml:space="preserve"> 1. Cumple con los criterios que le sean aplicables de todos los servicios y adicionalmente, cuenta con:</t>
  </si>
  <si>
    <t>1.1 Profesional de la medicina o profesional de la enfermeria.</t>
  </si>
  <si>
    <t>2. Si se requiere personal adicional para:</t>
  </si>
  <si>
    <t>2.1 La administración de la vacuna cuenta con auxiliar de enfermerla o auxiliar de salud pública bajo la supervisión del profesional de la medicina o profesional de la enfermería.</t>
  </si>
  <si>
    <t>2.2.  El manejo de la cadena de frio puede disponer de auxiliar de enfermeria o auxiliar en salud pública o gestor comunitario en salud (en zonas de dispersión geográfica) o regentes de
farmacia o qulmico farmaceutico con experiencia en cadena de frio.</t>
  </si>
  <si>
    <t>CEV_INF</t>
  </si>
  <si>
    <t>3.  Cumple con los criterios que le sean aplicables de todos los servicios y adicionalmente cuenta con:</t>
  </si>
  <si>
    <t>Para los servicios en modalidad intramural de prestadores de servicios de salud que separen el servicio de vacunación en dos ambientes cuenta con:</t>
  </si>
  <si>
    <t>4.  Consultorio o ambiente que, de acuerdo con la oferta, cumple con los siguientes requisitos:</t>
  </si>
  <si>
    <t>4.1  Consultorio para administración de medicamentos biologicos que cuenta con:</t>
  </si>
  <si>
    <t>4.1.1.  Área para entrevista.</t>
  </si>
  <si>
    <t>4.1.2.  Área para el alistamiento y administración de medicamentos biológicos.</t>
  </si>
  <si>
    <t>4.1.3.  Lavamanos</t>
  </si>
  <si>
    <t>4.2.  Ambiente para almacenamiento y alistamiento de dispositivos y termos que cuenta con:</t>
  </si>
  <si>
    <t>4.2.1.  Área para el alistamiento de termos o cajas témicas.</t>
  </si>
  <si>
    <t xml:space="preserve">4.2.2.  Área de cadena de frio que incluye un mesón con poceta, con capacidad para el lavado de termos, con grifo cuello de cisne o ducha teléfono; que puede estar ubicado en otro ambiente diferente al consultorio. </t>
  </si>
  <si>
    <t>4.2.3.  Área para el almacenamiento de dispositivos médicos e insumos, que puede estar ubicado en otro ambiente diferente al consultorio.</t>
  </si>
  <si>
    <t>4.2.4.  Lavamanos.</t>
  </si>
  <si>
    <t>4.3.  Disponibilidad de:</t>
  </si>
  <si>
    <t>4.3.1.  Sala de espera.</t>
  </si>
  <si>
    <t>4.3.2.  Unidades sanitarias discriminadas por sexo.</t>
  </si>
  <si>
    <t>Para los servicios en modalidad intramural de prestadores de servicios de salud que integren en un solo ambiente el servicio de vacunación cuenta con:</t>
  </si>
  <si>
    <t>4.4.  Ambiente de vacunación, para administración de medicamentos biológicos, que cuenta con:</t>
  </si>
  <si>
    <t>4.4.1.  Área para entrevista.</t>
  </si>
  <si>
    <t>Servicio de Seguridad y Salud en el Trabajo</t>
  </si>
  <si>
    <t>4.4.2. Área para el alistamiento y administración de medicamentos biológicos.</t>
  </si>
  <si>
    <t>4.4.3.  Área para el alistamiento de termos o cajas térmicas.</t>
  </si>
  <si>
    <t>Grupo apoyo diagnóstico y complementación tereapeutica</t>
  </si>
  <si>
    <t>CESST_TH</t>
  </si>
  <si>
    <t xml:space="preserve">4.4.4.  Área de cadena de frio que Incluye un mesón con poceta, con capacidad para el lavado de los termos, con grifo cuello de cisne o ducha teléfono, que puede estar ubicado en otro ambiente diferente al consultorio. </t>
  </si>
  <si>
    <t>Complejidad mediana</t>
  </si>
  <si>
    <t xml:space="preserve">Servicio de Terapias </t>
  </si>
  <si>
    <t>4.4.5.  Área para el almacenamiento de dispositivos médicos e insumos, que puede estar ubicado en otro ambiente diferente al consultorio.</t>
  </si>
  <si>
    <t>4.4.6.  Lavamanos.</t>
  </si>
  <si>
    <t>Modalidades intramural, extramural unidad móvil y jornada de salud</t>
  </si>
  <si>
    <t>TR_TH</t>
  </si>
  <si>
    <t>4.5.  Disponibilidad de:</t>
  </si>
  <si>
    <t>1.  Cumple con los criterios que le sean aplicables de todos los servicios y adicionalmente cuenta con:</t>
  </si>
  <si>
    <t>Modalidad intramural y extramural unidad móvil, jornada de salud y domiciliaria</t>
  </si>
  <si>
    <t>4.5.1  Sala de espera</t>
  </si>
  <si>
    <t>1.1.  Profesional de la medicina especialista en medicina del trabajo o medicina laboral o seguridad y salud en el trabajo con licencia vigente de seguridad y salud en el trabajo expedida por autoridad competente.</t>
  </si>
  <si>
    <t>1.2.  Cuando se realicen pruebas complementarlas de tamización (audiometria, visiometria, espirometrla según aplique), disponibilidad de profesionales de la salud de conformidad con lo documentado en el estándar de procesos prioritarios.</t>
  </si>
  <si>
    <t>4.5.2.  Unidades sanitarias discriminadas por sexo.</t>
  </si>
  <si>
    <t xml:space="preserve">Modalidad telemedicina-prestador remisor </t>
  </si>
  <si>
    <r>
      <t xml:space="preserve">1. Cumple con los criterios definidos para todos los servicios y adicionalmente </t>
    </r>
    <r>
      <rPr>
        <sz val="11"/>
        <rFont val="Calibri"/>
      </rPr>
      <t>cuenta con:</t>
    </r>
  </si>
  <si>
    <t>2.  Cumple con los criterios que le sean aplicables de todos los servicios y adicionalmente:</t>
  </si>
  <si>
    <t>2.1. Cuando se realice telexperticia entre profesionales de la salud cuenta con el profesional de la salud.</t>
  </si>
  <si>
    <t>5.  Adicional a los criterios definidos para todos los servicios, la sede del prestador de servicios de salud que habilite el servicio de vacunación cuenta con:</t>
  </si>
  <si>
    <t>Modalidad telemedicina-prestador de referencia</t>
  </si>
  <si>
    <t>1.1. Profesionales de la salud con título según los programas académicos autorizados por el Ministerio de Educación Nacional en el ámbito de la rehabilitación, según oferta.</t>
  </si>
  <si>
    <t xml:space="preserve">5.1.  Ambiente para el alistamiento de termos y cajas térmicas. </t>
  </si>
  <si>
    <r>
      <t xml:space="preserve">1.2. Si oferta evaluación y tratamiento desde el enfoque de integración neurosensorial, </t>
    </r>
    <r>
      <rPr>
        <sz val="11"/>
        <rFont val="Calibri"/>
      </rPr>
      <t xml:space="preserve">cuenta con </t>
    </r>
    <r>
      <rPr>
        <sz val="11"/>
        <color rgb="FF000000"/>
        <rFont val="Calibri"/>
      </rPr>
      <t>constancia de asistencia en las acciones de formación continua para la realización de los procedimientos según la oferta.</t>
    </r>
  </si>
  <si>
    <t>Profesional en salud según la oferta definida por el prestador de servicios de salud en el estándar de procesos prioritarios.</t>
  </si>
  <si>
    <t>5.2.  Ambiente de cadena de frio, que puede ser el mismo de la modalidad intramural, que incluye un mesón con poceta, con capacidad para el lavado de los termos, con grifo cuello de cisne o ducha teléfono.</t>
  </si>
  <si>
    <t>CESST_INF</t>
  </si>
  <si>
    <t>Modalidad telemedicina 
Categoría interactiva y no interactiva - prestador de referencia</t>
  </si>
  <si>
    <t>5.3.  Área para el almacenamiento de dispositivos mėdicos e Insumos, que puede estar ubicado en otro ambiente diferente al consultorio</t>
  </si>
  <si>
    <t>Modalidades intramural y extramural unidad móvil, jornada de salud y telemedicina-prestador remisor</t>
  </si>
  <si>
    <t>4.  Cumple con los criterios definidos del servicio de consulta externa para consultorio donde se realiza examen físico.</t>
  </si>
  <si>
    <t>2. Cumple con los criterios que le sean aplicables de todos los servicios y adicionalmente, cuenta con:</t>
  </si>
  <si>
    <t>Modalidad telemedicina -prestador de referencia</t>
  </si>
  <si>
    <t>5.4.  Lavamanos.</t>
  </si>
  <si>
    <t>5.  Cumple con los criterios que le sean aplicables de todos los servicios.</t>
  </si>
  <si>
    <t>CEV_DOT</t>
  </si>
  <si>
    <t>CESST_DOT</t>
  </si>
  <si>
    <t>2.1 Profesional de la salud de acuerdo con el servicio a ofertar.</t>
  </si>
  <si>
    <t>6.  Cumple con los criterios que le sean aplicables de todos los servicios y adicionalmente:</t>
  </si>
  <si>
    <t>Categoría telexperticia - prestador remisor</t>
  </si>
  <si>
    <t>6.  Cumple con los criterios que le sean aplicables de todos los servicios y adicionalmente, cuenta con:</t>
  </si>
  <si>
    <t>3. Cumple con los criterios que le sean aplicables de todos los servicios y adicionalmente</t>
  </si>
  <si>
    <t>7.  El consultorio, cuenta con:</t>
  </si>
  <si>
    <t>7.1.  Camilla fija.</t>
  </si>
  <si>
    <t>6.1.  Refrigerador precalificado por la Organlzaclón Mundial de la Salud para almacenamiento de vacunas.</t>
  </si>
  <si>
    <t>3.1. Cuando se realice telexperticia entre profesionales de la salud cuenta con el profesional de la salud de acuerdo con el servicio a ofertar</t>
  </si>
  <si>
    <t>7.2.  Escalerilla.</t>
  </si>
  <si>
    <t>7.3.  Tensiómetro.</t>
  </si>
  <si>
    <t>6.2.  Para los refrigeradores con alimentación eléctrica cuenta con regulador o estabilizador electrónico de voltaje independiente, o conexión a una fuente regulada con indicador de polo a tierra.</t>
  </si>
  <si>
    <t>Categoría telexperticia - prestador de referencia</t>
  </si>
  <si>
    <t>7.4.  Fonendoscopio.</t>
  </si>
  <si>
    <t>7.5.  Equipo de órganos de los sentidos.</t>
  </si>
  <si>
    <t>6.3.  Papeleria, cajas de transporte y temos portavacunas precalificados por la Organización Mundial de la Salud para manejo de vacunas; y los demás insumos necesarios para la prestación del servicio.</t>
  </si>
  <si>
    <t>7.6.  Martillo de reflejos</t>
  </si>
  <si>
    <t>4. Cumple con los criterios que le sean aplicablesde todos los servicios y adicionalmente cuenta con profesional de la salud que atiende a distancia, de acuerdo con el servicio a ofertar.</t>
  </si>
  <si>
    <t>7.7.  Tallímetro</t>
  </si>
  <si>
    <t>Categoría telemonitoreo - prestador de referencia</t>
  </si>
  <si>
    <t>7.8.  Cinta métrica</t>
  </si>
  <si>
    <t>7.  Cumple con los criterios que le sean aplicables de todos los servicios y adicionalmente cuenta con:</t>
  </si>
  <si>
    <t>7.9.  Báscula</t>
  </si>
  <si>
    <t xml:space="preserve">7.10.  Termómetro </t>
  </si>
  <si>
    <t>5. Cumple con los criterios que le sean aplicables de todos los servicios y adicionalmente cuenta con el personal de la salud profesional que se requiere para realizar el telemonitoreo de acuerdo con lo documentado por el prestador de servicios de salud en el estándar de procesos prioritarios.</t>
  </si>
  <si>
    <t>7.1.  Congelador con la capacidad suficiente para almacenar los paquetes fríos necesarios para el alistamiento de la totalidad de las cajas térmicas y termos.</t>
  </si>
  <si>
    <t>7.11.  Negatoscopio cuando se requiera o sistema de visualización según la tecnología utilizada por el prestador</t>
  </si>
  <si>
    <t>8.  Para la realización de pruebas complementarias de tamización (audiometria, visiometría, espirometría), cuenta con la dotación y los equipos biomédicos necesarios de acuerdo con lo documentado en el estándar de procesos prioritarios.</t>
  </si>
  <si>
    <t>TR_INF</t>
  </si>
  <si>
    <t>6. Cumple con los criterios que le sean aplicables de todos los servicios, y adicionalmente</t>
  </si>
  <si>
    <t>7.2.  Refrigerador precalificado por la Organización Mundial de la Salud para almacenamiento de vacunas.</t>
  </si>
  <si>
    <t>CESST_MD</t>
  </si>
  <si>
    <t>7.3.  Caja térmica o termo porta vacunas precalificados por la Organización Mundial de la Salud, para el traslado de los biologicos.</t>
  </si>
  <si>
    <t>7. De acuerdo con el tipo de terapia ofertada, el servicio cuenta con:</t>
  </si>
  <si>
    <t>Modalidades intramural y extramural unidad móvil, jornada de salud y telemedicina-prestador remisor y prestador de referencia.</t>
  </si>
  <si>
    <t>CEV_MD</t>
  </si>
  <si>
    <t>7.1. Área para camillas, sillas de ruedas y demás aditamentos o ayudas ortopédicas, cuando se requiera.</t>
  </si>
  <si>
    <t>10.  Cumple con los criterios que le sean aplicables de todos los servicios.</t>
  </si>
  <si>
    <t>Modalidad intramural, extramural unidad móvil, jornada de salud y domiciliaria.</t>
  </si>
  <si>
    <t>CEST_PP</t>
  </si>
  <si>
    <t>7.2. Vestidor de pacientes, con área para casilleros y unidad sanitaria de uso mixto, cuando el tipo de terapia lo requiera de acuerdo con lo documentado en procesos prioritarios.</t>
  </si>
  <si>
    <t>Modalidades intramural y extramural unidad móvil, jornada de salud y telemedicina-prestador remisor.</t>
  </si>
  <si>
    <t>11. Cumple con los criterios que le sean aplicables de todos los servicios y adicionalmente cuenta con la siguiente información documentada:</t>
  </si>
  <si>
    <t>7.3. Ambiente para realizar entrevista, cuando se requiera de acuerdo con lo documentado en procesos prioritarios.</t>
  </si>
  <si>
    <t>Pruebas complementarias de tamización documentadas (audiometria, visiometría, espirometria), cuando se realicen.</t>
  </si>
  <si>
    <t xml:space="preserve">8.   Cumple con los criterios que le sean aplicables de todos los servicios y adicionalmente cuenta con: </t>
  </si>
  <si>
    <t>CESST_HCR</t>
  </si>
  <si>
    <t>7.4. Área para atención individual, con barrera física fija o móvil, cuando el tipo de terapia requiera privacidad para el paciente.</t>
  </si>
  <si>
    <t>Si se presenta interrupción de la cadena de frío, el prestador de servicios de salud realiza notificación según el procedimiento establecido por el Invima</t>
  </si>
  <si>
    <t>Modalidades instramural y extramural unidad móvil, jornada de salud y telemedicina prestador remisor-prestador de referencia.</t>
  </si>
  <si>
    <t>7.5. Área de depósito para almacenamiento de insumos, equipos biomédicos y materiales, cuando el tipo de terapia lo requiera de acuerdo con lo documentado en procesos prioritarios.</t>
  </si>
  <si>
    <t>CEV_PP</t>
  </si>
  <si>
    <t xml:space="preserve">13. Cumple con los criterios que le sean aplicables de todos los servicios. </t>
  </si>
  <si>
    <t>CESST_INT</t>
  </si>
  <si>
    <t>Modalidades intramural y extramural unidad móvil, jornada de salud y telemedicina prestador remisor-prestador de referencia</t>
  </si>
  <si>
    <t>7.6. Área con equipamiento para actividades de terapia ocupacional, cuando se requiera de acuerdo con lo documentado en procesos prioritarios.</t>
  </si>
  <si>
    <t>14.  No aplica</t>
  </si>
  <si>
    <t>9.  Cumple con los criterios que le sean aplicables de todos los servicios y adicionalmente cuenta con la siguiente infomación documentada:</t>
  </si>
  <si>
    <t>7.7. Área húmeda o de hidroterapia (cuando se oferte), que debe garantizar pisos antideslizantes y tomas eléctricas con protección para ambientes húmedos cuando se requiera de acuerdo con lo documentado en procesos prioritarios.</t>
  </si>
  <si>
    <t xml:space="preserve">9.1.  Vacunación segura. </t>
  </si>
  <si>
    <t>8. Para fonoaudiología o terapia ocupacional, cuenta con:</t>
  </si>
  <si>
    <t>9.2.  Reporte y manejo de Eventos Supuestamente Adversos Atribuldos a la Vacunación o Inmunización -ESAVI (medición, análisis, reporte, gestion y monitoreo).</t>
  </si>
  <si>
    <t>8.1. Área para sillas y mesas para trabajo individual o grupal para niños o adultos, según la oferta.</t>
  </si>
  <si>
    <t>9.3.  Vigilancia de inmunoprevenibles.</t>
  </si>
  <si>
    <t>8.2. Ambiente para cabina sono-amortiguada o equipo de audiometría, depende del procedimiento que se oferte.</t>
  </si>
  <si>
    <t>9.4.  Seguimiento al sistema de información del Programa Ampliado de Inmunizaciones -PAI y seguimiento a cohortes.</t>
  </si>
  <si>
    <t>9. Disponibilidad de:</t>
  </si>
  <si>
    <t>9.5.  Prolocolo para la inmunización en casos de urgencia o para victimas de vlolencia sexual por medio de la respuesta en red.</t>
  </si>
  <si>
    <t>9.1. Sala de espera</t>
  </si>
  <si>
    <t>9.6.  Vacunación sin barreras.</t>
  </si>
  <si>
    <t>9.2. Unidades sanitarias discriminadas por sexo.</t>
  </si>
  <si>
    <t>Modalidad Extramural: Unidad Móvil, Jornada de Salud y Domiciliaria</t>
  </si>
  <si>
    <t>10.  Cumple con los criterios que le sean aplicables de todos los servicios, la modalidad intramural y adicionalmente cuenta con:</t>
  </si>
  <si>
    <t>10. Cumple con los criterios que le sean aplicables de todos los servicios</t>
  </si>
  <si>
    <t>Si el prestador de servicios de salud administra la vacuna en un ambiente diferente al consultorio de vacunación cuenta con información documentada para el alistamiento de los biólógicos para uso diario, asi como la conservación de la cadena de frio.</t>
  </si>
  <si>
    <t>CEV_HCR</t>
  </si>
  <si>
    <t xml:space="preserve">Modalidad telemedicina - Categoría interactiva y no interactiva – prestador de referencia </t>
  </si>
  <si>
    <t>11. Cumple con los criterios que le sean aplicables de todos los servicios.</t>
  </si>
  <si>
    <t xml:space="preserve">11.  Cumple con los criterios que le sean aplicables de todos los servicios y adicionalmente cuenta con: </t>
  </si>
  <si>
    <t>11.1.  Instrumentos de registros establecidos para el PAI bajo los lineamientos del Ministerio de Salud y Protección Social.</t>
  </si>
  <si>
    <t>11.2.  Registro nominal de la información del PAI, durante la atención.</t>
  </si>
  <si>
    <t>12. Cumple con los criterios establecidos en el servicio de terapias.</t>
  </si>
  <si>
    <t>11.3.  Registro del carné de vacunación definido por el Ministerio de Salud y Protección Social en forma clara, legible, sin tachones, enmendaduras y sin dejar espacios en blanco.</t>
  </si>
  <si>
    <t>CEV_INT</t>
  </si>
  <si>
    <t>13. Cumple con los criterios que le sean aplicables de todos los servicios.</t>
  </si>
  <si>
    <t>12.  No aplica</t>
  </si>
  <si>
    <t>14. Cumple con los criterios que le sean aplicables de todos los servicios.</t>
  </si>
  <si>
    <t>TR_DOT</t>
  </si>
  <si>
    <t>15. Cumple con los criterios que le sean aplicables de todos los servicios y adicionalmente cuenta con:</t>
  </si>
  <si>
    <t>La dotación requerida para realizar los procedimientos de acuerdo con lo documentado en el estándar de procesos prioritarios.</t>
  </si>
  <si>
    <t>Modalidad telemedicina
Categoría interactiva y no interactiva – prestador de referencia</t>
  </si>
  <si>
    <t>16. Cumple con los criterios que le sean aplicables de todos los servicios.</t>
  </si>
  <si>
    <t>17. Cumple con los criterios que le sean aplicables de todos los servicios y los establecidos en el servicio de terapias.</t>
  </si>
  <si>
    <t>18. Cumple con los criterios que le sean aplicables de todos los servicios</t>
  </si>
  <si>
    <t>19. Cumple con los criterios que le sean aplicables de todos los servicios.</t>
  </si>
  <si>
    <t>TER_MED</t>
  </si>
  <si>
    <t>20. Cumple con los criterios que le sean aplicables de todos los servicios</t>
  </si>
  <si>
    <t>Modalidad telemedicina
Categoría interactiva y no interactiva – prestador de referencia
Categoría telexperticia - prestador remisor- prestador de referencia
Categoría telemonitoreo - prestador de referencia</t>
  </si>
  <si>
    <t>21. Cumple con los criterios que le sean aplicables de todos los servicios.</t>
  </si>
  <si>
    <t>Modalidades intramural, extramural unidad móvil, jornada de salud, y domiciliaria</t>
  </si>
  <si>
    <t>22. Cumple con los criterios que le sean aplicables de todos los servicios, adicionalmente, cuenta con la siguiente información documentada:
Procedimientos que incluyan las áreas o ambientes, equipos biomédicos y dispositivos médicos e insumos requeridos</t>
  </si>
  <si>
    <t>Categoría interactiva y no interactiva – prestador de referencia</t>
  </si>
  <si>
    <t>23. Cumple con los criterios que le sean aplicables de todos los servicios.</t>
  </si>
  <si>
    <t>24. Cumple con los criterios que le sean aplicables de todos los servicios y los establecidos en el servicio de terapias.</t>
  </si>
  <si>
    <t>25. Cumple con los criterios que le sean aplicables de todos los servicios</t>
  </si>
  <si>
    <t>Servicio Farmacéutico</t>
  </si>
  <si>
    <t>26. Cumple con los criterios que le sean aplicables de todos los servicios</t>
  </si>
  <si>
    <t>TER_HC</t>
  </si>
  <si>
    <t>27. Cumple con los criterios que le sean aplicables de todos los servicios.</t>
  </si>
  <si>
    <t>Modalidad telemedicina
Categoría interactiva y no interactiva – prestador de referencia
Categoría telexperticia - prestador remisor - prestador de referencia
Categoría telemonitoreo - prestador de referencia</t>
  </si>
  <si>
    <t>SF_TH</t>
  </si>
  <si>
    <t>Modalidades intramural y extramural domiciliaria</t>
  </si>
  <si>
    <t>28. Cumple con los criterios que le sean aplicables de todos los servicios.</t>
  </si>
  <si>
    <t>TER_INT</t>
  </si>
  <si>
    <t>Modalidades intramural, extramural unidad móvil, jornada de salud y domicilia</t>
  </si>
  <si>
    <t>29. No aplica</t>
  </si>
  <si>
    <t>1. Cumple con los criterios definidos para todos los servicios y adicionalmente:</t>
  </si>
  <si>
    <t>30. No aplica.</t>
  </si>
  <si>
    <t>Cumple con lo definido en el Decreto 2200 de 2005 compilado en el Decreto 780 de 2016 (Art 2.5.3.10.9) y la Resolución 1403 de 2007 (Manual de condiciones esenciales y procedimientos del servicio farmacéutico Título I Capitulo II Numeral 3.2 y Capítulo III Numeral 1.2), o las normas que los modifiquen, adicionen o sustituyan.</t>
  </si>
  <si>
    <t>Modalidad telemedicina
Categoría interactiva y no interactiva – prestador de referencia
Categoría telexperticia – prestador remisor – prestador de referencia</t>
  </si>
  <si>
    <t>2. Cumple con los criterios que le sean aplicables de todos los servicios y adicionalmente, cuenta con lo definido con el numeral 1 del servicio farmacéutico.</t>
  </si>
  <si>
    <t>3. El talento humano brinda en esta modalidad lo relacionado con la atención farmacéutica a los pacientes que lo requieran, a través de telemedicina – categorías interactiva y no interactiva, telexperticia sincrónico y asincrónico.</t>
  </si>
  <si>
    <t>El apoyo a distancia del profesional Químico Farmacéutico no reemplaza el contar con el talento humano definido en el servicio</t>
  </si>
  <si>
    <t>SF_INF</t>
  </si>
  <si>
    <t>Complejidad baja</t>
  </si>
  <si>
    <t>Modalidades intramural, extramural domiciliaria, telemedicina categoría telexperticia – prestador remisor</t>
  </si>
  <si>
    <t>4. Cumple con los criterios que le sean aplicables a todos los servicios</t>
  </si>
  <si>
    <t>5. Cuenta con:</t>
  </si>
  <si>
    <t>5.1. Ambiente o área administrativa.</t>
  </si>
  <si>
    <t>5.2. Ambiente o área de recepción de medicamentos y dispositivos médicos.</t>
  </si>
  <si>
    <t>5.3. Ambiente o área de dispensación de medicamentos y entrega de dispositivos médicos.</t>
  </si>
  <si>
    <t>5.4. Ambiente o área de almacenamiento, que garantice las condiciones temperatura y humedad recomendadas por el fabricante. Incluye cadena de frio, cuando aplique.</t>
  </si>
  <si>
    <t>5.5. Ambiente o área independiente de medicamentos de control especial cuando aplique, que garantice las condiciones temperatura y humedad recomendadas por el fabricante.</t>
  </si>
  <si>
    <t>5.6. Ambiente o área para almacenamiento de productos rechazados, devueltos y retirados.</t>
  </si>
  <si>
    <t>5.7. Ambiente o área para almacenamiento de productos destruidos o desnaturalizados por vencimiento o deterioro.</t>
  </si>
  <si>
    <t>5.8. Ambiente o área de cuarentena de medicamentos.</t>
  </si>
  <si>
    <t>Modalidad telemedicina
Categoría interactiva y no interactiva – prestador de referencia
Categoría telexperticia – prestador de referencia</t>
  </si>
  <si>
    <t>6. Cumple con los criterios que le sean aplicables de todos los servicios.</t>
  </si>
  <si>
    <t>Complejidades mediana y alta
Modalidades intramural, extramural domiciliaria, telemedicina categoría telexperticia – prestador remisor</t>
  </si>
  <si>
    <t>7. 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</si>
  <si>
    <t>8. Cumple con los criterios que le sean aplicables de todos los servicios.</t>
  </si>
  <si>
    <t>SF_DOT</t>
  </si>
  <si>
    <t>Complejidades baja, mediana y alta</t>
  </si>
  <si>
    <t>9. Cumple con los criterios que le sean aplicables de todos los servicios y adicionalmente cuenta con:</t>
  </si>
  <si>
    <t>9.1. La dotación y mobiliario exclusivos y necesarios para el cumplimiento de los objetivos de los procesos generales y especiales que brinda el servicio, de acuerdo con las recomendaciones dadas por los fabricantes.</t>
  </si>
  <si>
    <t>9.2. Instrumentos para medir la humedad relativa y la temperatura, en donde se almacenen medicamentos y dispositivos médicos.</t>
  </si>
  <si>
    <t>10. Cumple con los criterios que le sean aplicables de todos los servicios.</t>
  </si>
  <si>
    <t>SF_MED</t>
  </si>
  <si>
    <t>12. Cumple con los criterios que le sean aplicables de todos los servicios.</t>
  </si>
  <si>
    <t>Complejidades mediana y alta</t>
  </si>
  <si>
    <t>13. Cumple con los criterios definidos para el servicio farmacéutico de baja complejidad y adicionalmente cuenta con:</t>
  </si>
  <si>
    <t>Certificación en buenas prácticas de elaboración vigente, expedida por el Invima para los procesos especiales que se realicen en la central de mezclas ya sea propia o contratada.</t>
  </si>
  <si>
    <t>SF_PP</t>
  </si>
  <si>
    <t>Modalidades intramural, extramural domiciliaria, telemedicina categoría telexperticia - prestador remisor</t>
  </si>
  <si>
    <t>15. Cumple con los criterios que le sean aplicables de todos los servicios y adicionalmente cuenta con la siguiente información documentada:</t>
  </si>
  <si>
    <t>15.1. Procesos generales que realice, elaborado por el responsable del servicio.</t>
  </si>
  <si>
    <t>15.2. Información visible al usuario que prohíba la asesoría farmacológica, por parte de personal diferente al profesional químico farmacéutico o al Profesional en Medicina tratante.</t>
  </si>
  <si>
    <t>15.3. Manejo de medicamentos de control especial cuando lo realice.</t>
  </si>
  <si>
    <t>15.4. Seguimiento a condiciones ambientales de temperatura y humedad.</t>
  </si>
  <si>
    <t>17. Cumple con los criterios definidos para el servicio farmacéutico en baja complejidad y adicionalmente, cuenta con información documentada de cada uno de los procesos especiales que se realicen en el servicio.</t>
  </si>
  <si>
    <t>18. Cumple con los criterios que le sean aplicables de todos los servicios.</t>
  </si>
  <si>
    <t>SF_HC</t>
  </si>
  <si>
    <t>19. Cumple con los criterios que le sean aplicables de todos los servicios</t>
  </si>
  <si>
    <t>SF_INT</t>
  </si>
  <si>
    <t>21. No aplica.</t>
  </si>
  <si>
    <t>22. No aplica.</t>
  </si>
  <si>
    <t>Servicio de Radiologia Odontológica</t>
  </si>
  <si>
    <t>Rx_OD_TH</t>
  </si>
  <si>
    <t>Modalidades intramural y extramural unidad móvil</t>
  </si>
  <si>
    <t>1. Cumple con los criterios que le sean aplicables de todos los servicios y adicionalmente, cuenta con:</t>
  </si>
  <si>
    <t>Profesional de odontología o tecnólogo en radiología e imágenes diagnósticas, o técnico profesional o auxiliar de odontología o auxiliar en salud oral o auxiliar de higiene oral.</t>
  </si>
  <si>
    <t>2. Disponibilidad de profesional de la odontología, si la toma de radiografías la realiza un auxiliar de odontología o auxiliar en salud oral o auxiliar de higiene oral.</t>
  </si>
  <si>
    <t>3. La interpretación de las radiografías odontológicas es realizada por el profesional de la odontología.</t>
  </si>
  <si>
    <t>Modalidad Telemedicina: Categoría telexperticia - prestador remisor</t>
  </si>
  <si>
    <t>4. Cumple con los criterios que le sean aplicables de todos los servicios y adicionalmente:</t>
  </si>
  <si>
    <t>4.1. Cuando se realice telexperticia entre profesionales de la salud cuenta con el profesional de la salud.</t>
  </si>
  <si>
    <t>4.2. Cuando realice telexperticia entre personal de salud no profesional y un profesional de la salud, el prestador remisor cuenta con técnico, tecnólogo o auxiliar que atiende presencialmente al usuario.</t>
  </si>
  <si>
    <t>5. Cumple con los criterios que le sean aplicables de todos los servicios y adicionalmente cuenta con profesional de la salud que atiende a distancia.</t>
  </si>
  <si>
    <t>RX_OD_INF</t>
  </si>
  <si>
    <t>Modalidades intramural, telemedicina - prestador remisor</t>
  </si>
  <si>
    <t>6. Cumple con los criterios que le sean aplicables de todos los servicios y adicionalmente cuenta con:</t>
  </si>
  <si>
    <t>6.1. Ambiente de radiología odontológica, si la tecnología lo requiere. Las dimensiones estarán determinadas según la ficha técnica del equipo.</t>
  </si>
  <si>
    <t>6.2. Área de revelado o ambiente oscuro con extracción de gases e iluminación adecuada, con mesón de trabajo con poceta, si la tecnología lo requiere.</t>
  </si>
  <si>
    <t>7. Disponibilidad de:</t>
  </si>
  <si>
    <t>7.1. Sala de espera</t>
  </si>
  <si>
    <t>7.2. Unidades sanitarias discriminadas por sexo.</t>
  </si>
  <si>
    <t>Modalidades extramural unidad móvil, telemedicina - prestador remisor</t>
  </si>
  <si>
    <t>8. Adicional a lo establecido en la modalidad intramural, cuenta con acceso al servicio de energía eléctrica o fuente de energía alternativa.</t>
  </si>
  <si>
    <t>Modalidad telemedicina - prestador de referencia</t>
  </si>
  <si>
    <r>
      <t xml:space="preserve">Métodos diagnósticos con imágenes obtenidas mediante </t>
    </r>
    <r>
      <rPr>
        <i/>
        <sz val="11"/>
        <rFont val="Calibri"/>
      </rPr>
      <t>equipos generadores de radiaciones ionizantes</t>
    </r>
  </si>
  <si>
    <t>9. Cumple con los criterios que le sean aplicables de todos los servicios.</t>
  </si>
  <si>
    <t>R_ID_DOT</t>
  </si>
  <si>
    <t>10. Cumple con los criterios que le sean aplicables de todos los servicios y adicionalmente, cuenta con:</t>
  </si>
  <si>
    <t>10.1. Equipo generador de radiación ionizante según los exámenes diagnósticos realizados.</t>
  </si>
  <si>
    <t>IDX_TH</t>
  </si>
  <si>
    <t>10.2. Elementos de protección radiológica adulto o pediátrico, según oferta, protocolos y especificaciones técnicas del equipo:</t>
  </si>
  <si>
    <t>10.2.1. Delantal plomado</t>
  </si>
  <si>
    <t>Modalidades intramural, extramural unidad móvil, telemedicina - prestador remisor</t>
  </si>
  <si>
    <t>10.2.2. Protector de tiroides</t>
  </si>
  <si>
    <t>1. Cumple con los criterios definidos para todos los servicios y adicionalmente,</t>
  </si>
  <si>
    <t>Modalidades extramural - unidad móvil, telemedicina - prestador remisor.</t>
  </si>
  <si>
    <t>11. Adicional a lo establecido en la modalidad intramural, cuenta con:</t>
  </si>
  <si>
    <t xml:space="preserve">2. Cuenta con: </t>
  </si>
  <si>
    <t>11.1. Equipo generador de radiación ionizante según la oferta, cuyas indicaciones del fabricante refieran que está diseñado para ser instalado y operado y mantenido en una unidad móvil.</t>
  </si>
  <si>
    <t>Técnico profesional o tecnólogo en imágenes diagnósticas, para la operación de equipos y adquisición de imágenes.</t>
  </si>
  <si>
    <t>11.2. La unidad móvil está dotada con señal luminosa o sonora indicando la presencia de radiación.</t>
  </si>
  <si>
    <t xml:space="preserve">3. Disponibilidad de: </t>
  </si>
  <si>
    <t>Modalidad telemedicina - prestador remisor</t>
  </si>
  <si>
    <t>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</si>
  <si>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12. 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</si>
  <si>
    <t>13. Cumple con los criterios que le sean aplicables de todos los servicios y adicionalmente, cuenta con pantalla o monitor grado médico para imágenes radiológicas.</t>
  </si>
  <si>
    <t>4. Cumple con los criterios que le sean aplicables de todos los servicios y adicionalmente cuenta con:</t>
  </si>
  <si>
    <t>RX_OD_MD</t>
  </si>
  <si>
    <t>Modalidades intramural, extramural unidad móvil, telemedicina - prestador remisor - prestador de referencia</t>
  </si>
  <si>
    <t>4.1. Tecnólogo en radiología e imágenes diagnósticas para la operación de equipos y adquisición de imágenes, con supervisión por el profesional de la medicina especialista en radiología e imágenes diagnósticas.</t>
  </si>
  <si>
    <t>4.2.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 La interpretación de las radiografías e imágenes diagnósticas y la supervisión del técnico profesional o tecnólogo en imágenes diagnósticas es realizada por dichos profesionales.</t>
  </si>
  <si>
    <t>RX_OD_PP</t>
  </si>
  <si>
    <t>15.1. Toma de exámenes que impliquen el manejo de cualquier tipo de radiación ionizante, que incluya las acciones para evitar el efecto nocivo de las radiaciones para los pacientes, el personal, los visitantes y el público en general.</t>
  </si>
  <si>
    <t>5. Cumple con los criterios que le sean aplicables de todos los servicios y adicionalmente cuenta con:</t>
  </si>
  <si>
    <t>15.2. Verificación de la calidad de la imagen, del equipo generador de radiación ionizante, que incluye la toma de medidas preventivas y correctivas cuando apliquen.</t>
  </si>
  <si>
    <t>5.1. Tecnólogo en radiología e imágenes diagnósticas para la operación de equipos y adquisición de imágenes, con supervisión por el profesional de la medicina especialista en radiología e imágenes diagnósticas.</t>
  </si>
  <si>
    <t>15.3. Verificación de la adherencia a los procedimientos realizados en la instalación y cualquier otra consideración sobre la protección radiológica de la instalación.</t>
  </si>
  <si>
    <t>5.2.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</si>
  <si>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15.4. Realización y supervisión de toma de radiografías odontológicas cuando no sea realizada por el odontólogo, que incluya como mínimo la calidad de la imagen y radioprotección.</t>
  </si>
  <si>
    <t>Complejidad baja, mediana y alta</t>
  </si>
  <si>
    <t>15.5. Interpretación y lectura de las radiografías odontológicas por parte del Odontólogo.</t>
  </si>
  <si>
    <t>Modalidad extramural unidad móvil, telemedicina - prestador remisor</t>
  </si>
  <si>
    <t>7.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</si>
  <si>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16. Adicional a lo anterior cuenta con la siguiente información documentada:</t>
  </si>
  <si>
    <t>IDX_INF</t>
  </si>
  <si>
    <t>16.1. Verificación de la calidad de la imagen, para cada desplazamiento realizado por la Unidad móvil en la que está instalado el equipo generador de radiación ionizante, que incluye la toma de medidas preventivas y correctivas cuando apliquen.</t>
  </si>
  <si>
    <t>Modalidades intramural, telemedicina - prestador remisor.</t>
  </si>
  <si>
    <t>16.2. Evaluación de los niveles de exposición ocupacional del personal involucrado en la práctica y del público, así como la inspección del blindaje del vehículo (carrocería) donde se pretende realizar la práctica.</t>
  </si>
  <si>
    <t>8. Cumple con los criterios que le sean aplicables de todos los servicios y adicionalmente cuenta con:</t>
  </si>
  <si>
    <t>8.1. Vestidor de pacientes, con disponibilidad de área para casilleros, que puede ser compartido con los ambientes de la baja, mediana y alta complejidad.</t>
  </si>
  <si>
    <t>8.2. Área para almacenamiento de dispositivos médicos e insumos, que puede ser compartido con los ambientes de la baja, mediana y alta complejidad.</t>
  </si>
  <si>
    <t>17. Cumple con los criterios que le sean aplicables de todos los servicios.</t>
  </si>
  <si>
    <t>8.3. Ambiente oscuro con luz de seguridad de acuerdo con la tecnología del equipo o, área o ambiente de procesamiento de imágenes, cuando se requiera. Puede ser compartido con los ambientes de la baja, mediana y alta complejidad.</t>
  </si>
  <si>
    <t>RX-OD_HC</t>
  </si>
  <si>
    <t>18. Cumple con los criterios que le sean aplicables de todos los servicios y adicionalmente, cuenta con los siguientes registros:</t>
  </si>
  <si>
    <t>18.1. Número de exposiciones, e imágenes tomadas que incluya el nombre del paciente, y nombre del estudio realizado.</t>
  </si>
  <si>
    <t>18.2. Dosis de radiación expresadas en unidades según sea la tecnología del equipo.</t>
  </si>
  <si>
    <t>18.3. Número de estudios rechazados de acuerdo a la tecnología empleada.</t>
  </si>
  <si>
    <t>9.3. Ambiente de lectura y transcripción de resultados.</t>
  </si>
  <si>
    <t>19. Adicional a lo anterior cuenta con:</t>
  </si>
  <si>
    <t>19.1. Registro de verificación de la calidad de imagen.</t>
  </si>
  <si>
    <t>10. Cuando se realicen procedimientos de radiología, adicionalmente cuenta con:</t>
  </si>
  <si>
    <t>19.2. Registro del control de calidad general.</t>
  </si>
  <si>
    <t>10.1.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</si>
  <si>
    <t>10.2. Área o ambiente de control / comando del equipo, de acuerdo con la tecnología a utilizar, que permita visualización del paciente.</t>
  </si>
  <si>
    <t>19.3. Registro de la evaluación de los niveles de exposición ocupacional tanto del personal involucrado en la práctica, como del público</t>
  </si>
  <si>
    <t>20. Cumple con los criterios que le sean aplicables de todos los servicios.</t>
  </si>
  <si>
    <t>11. Cuando se realicen procedimientos de radiología sin medio de contraste, cumple con los criterios de la complejidad baja.</t>
  </si>
  <si>
    <t>RX_OD_INT</t>
  </si>
  <si>
    <t>Modalidades intramural, extramural unidad móvil, telemedicina – prestador remisor – prestador de referencia</t>
  </si>
  <si>
    <t>12. Cuando se realicen procedimientos con medio de contraste, cuenta con:</t>
  </si>
  <si>
    <t>12.1. Ambiente exclusivo acorde al tipo de equipo generador de radiación ionizante, su ficha técnica y a los procedimientos que se realicen, debe permitir movilización del talento humano, pacientes, usuarios y equipos biomédicos.</t>
  </si>
  <si>
    <t>12.2. Área o ambiente de control / comando del equipo, de acuerdo con la tecnología a utilizar, que permita visualización del paciente.</t>
  </si>
  <si>
    <t>12.3. Área de preparación de pacientes.</t>
  </si>
  <si>
    <t>12.4. Disponibilidad de área o ambiente de trabajo sucio.</t>
  </si>
  <si>
    <t>Complejidad alta</t>
  </si>
  <si>
    <t>13. Cuando se realicen procedimientos de radiología sin medio de contraste, cumple con los criterios de la complejidad baja.</t>
  </si>
  <si>
    <t>14. Cuando se realicen procedimientos con medio de contraste, cumple con los criterios de la complejidad mediana.</t>
  </si>
  <si>
    <t>15. Cuando se realicen procedimientos de radiología intervencionista fuera de salas de cirugía, cuenta con:</t>
  </si>
  <si>
    <t>15.1. Área para lavamanos quirúrgico, ubicada al ingreso del ambiente de procedimientos de
radiología intervencionista.</t>
  </si>
  <si>
    <t>15.2. Ambiente exclusivo acorde al tipo de equipo generador de radiación ionizante, su ficha técnica y a los procedimientos que se realicen, debe permitir movilización del talento humano, pacientes, usuarios y equipos biomédicos.</t>
  </si>
  <si>
    <t>15.3. Área de recepción y entrega de pacientes.</t>
  </si>
  <si>
    <t>15.4. Ambiente o área de recuperación con disponibilidad de oxígeno medicinal y succión. Pueden ser suministrados a través de red central de oxígeno medicinal y succión o a través de oxígeno medicinal portátil y equipos de succión.</t>
  </si>
  <si>
    <t>15.5. Área o ambiente de control / comando del equipo, de acuerdo con la tecnología a utilizar, que permita visualización del paciente.</t>
  </si>
  <si>
    <t>15.6. Disponibilidad de unidad sanitaria de uso mixto.</t>
  </si>
  <si>
    <t>Complejidades baja y mediana</t>
  </si>
  <si>
    <t>Modalidades extramural unidad móvil, telemedicina - prestador remisor.</t>
  </si>
  <si>
    <t>16. 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</si>
  <si>
    <t>IDX_DOT</t>
  </si>
  <si>
    <t>18. Cumple con los criterios que le sean aplicables de todos los servicios y adicionalmente,</t>
  </si>
  <si>
    <t>19. Cuenta con:</t>
  </si>
  <si>
    <t>19.1. Equipo generador de radiación ionizante según los exámenes diagnósticos realizados.</t>
  </si>
  <si>
    <t>19.2. Pantalla o monitor grado médico para imágenes radiológicas.</t>
  </si>
  <si>
    <t>19.3. Elementos de protección radiológica adulto o pediátrico, según oferta, protocolos y especificaciones del equipo:</t>
  </si>
  <si>
    <t>19.3.1. Delantal plomado</t>
  </si>
  <si>
    <t>19.3.2. Protector de tiroides</t>
  </si>
  <si>
    <t>19.3.3. Protector de gónadas</t>
  </si>
  <si>
    <t>19.3.4. Gafas plomadas cuando se requiera</t>
  </si>
  <si>
    <t xml:space="preserve">20. Adicional a lo definido para baja complejidad, cuando se realicen procedimientos invasivos (biopsias, drenajes y punciones) con guía ecográfica, cuenta con: </t>
  </si>
  <si>
    <t>20.1. Mesa para instrumental.</t>
  </si>
  <si>
    <t>21. Adicional a lo definido para baja complejidad, cuando se realicen procedimientos especiales menores (estudios con medio de contraste), cuenta con:</t>
  </si>
  <si>
    <t>21.1. Fluoroscopio.</t>
  </si>
  <si>
    <t>21.2. Inyector de medios de contraste, cuando se requiera.</t>
  </si>
  <si>
    <t>22. Disponibilidad de carro de paro cuando se utilice medio de contraste.</t>
  </si>
  <si>
    <t>23. Cumple con los criterios que le sean aplicables de todos los servicios y los de la modalidad intramural baja complejidad y adicionalmente cuenta con:</t>
  </si>
  <si>
    <t>23.1. El o los equipos generadores de radiaciones ionizantes, cuyas indicaciones del fabricante refieran que está diseñado para ser instalado y operado en una unidad móvil.</t>
  </si>
  <si>
    <t>23.2. La unidad móvil está dotada con señal luminosa o sonora indicando la presencia de radiación.</t>
  </si>
  <si>
    <t>24. 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</si>
  <si>
    <t>25. Cumple con los criterios que le sean aplicables de todos los servicios y adicionalmente, cuenta con pantalla o monitor grado médico para imágenes radiológicas.</t>
  </si>
  <si>
    <t>IDX_MD</t>
  </si>
  <si>
    <t>26. Cumple con los criterios que le sean aplicables de todos los servicios.</t>
  </si>
  <si>
    <t>27. Adicional al cumplimiento de los criterios definidos para todos los servicios, si realiza procedimientos con medio de contraste o intervencionismo, cuenta con oxígeno medicinal.</t>
  </si>
  <si>
    <t>IDX_PP</t>
  </si>
  <si>
    <t>28. Cumple con los criterios que le sean aplicables de todos los servicios y adicionalmente, cuenta con la siguiente información documentada:</t>
  </si>
  <si>
    <t>28.1. Realización y supervisión de los exámenes diagnósticos que incluya como mínimo: técnica diagnóstica, calidad de la imagen y radioprotección</t>
  </si>
  <si>
    <t>28.2. Instrucciones a los pacientes sobre la preparación de los procedimientos diagnósticos.</t>
  </si>
  <si>
    <t>28.3. Acciones para evitar el efecto nocivo de las radiaciones para los pacientes, el personal, los visitantes y el público en general.</t>
  </si>
  <si>
    <t>28.4. Verificación de la calidad de la imagen, incluida la toma de medidas preventivas y correctivas, cuando se requiera.</t>
  </si>
  <si>
    <t>28.5. Control de calidad del equipo generador de radiación ionizante, que incluye la toma de medidas correctivas cuando aplique.</t>
  </si>
  <si>
    <t>29. Cumple con los criterios definidos para la baja complejidad y adicionalmente, cuenta con la siguiente información documentada:</t>
  </si>
  <si>
    <t>29.1. Procedimiento cuando se administre medio de contraste.</t>
  </si>
  <si>
    <t>30. Cumple con los criterios definidos para la baja y mediana complejidad y adicionalmente cuenta conla siguiente información documentada:</t>
  </si>
  <si>
    <t>30.1. Procedimiento para radiología intervencionista, cuando lo realice.</t>
  </si>
  <si>
    <t>31. Adicional a lo definido en la modalidad intramural en baja complejidad, cuenta con la siguiente información documentada:</t>
  </si>
  <si>
    <t>Verificación de la calidad de la imagen, para cada desplazamiento realizado por la Unidad móvil en la que está instalado el equipo generador de radiación ionizante, que incluye la toma de medidas preventivas y correctivas cuando aplique.</t>
  </si>
  <si>
    <t>32. Cumple con los criterios que le sean aplicables de todos los servicios.</t>
  </si>
  <si>
    <t>IDX_HCR</t>
  </si>
  <si>
    <t>33. Cumple con los criterios que le sean aplicables de todos los servicios y adicionalmente, cuenta con los siguientes registros:</t>
  </si>
  <si>
    <t>33.1. Número de exposiciones e imágenes tomadas que incluya el nombre del paciente y nombredel estudio realizado.</t>
  </si>
  <si>
    <t>33.2. Dosis de radiación expresadas en unidades según la tecnología del equipo.</t>
  </si>
  <si>
    <t>33.3. Número de imágenes rechazadas por el tecnólogo y el profesional de la medicina especialista en radiología e imágenes diagnósticas que incluya sus causas.</t>
  </si>
  <si>
    <t>33.4. Número de estudios repetidos y sus causas, cuando aplique.</t>
  </si>
  <si>
    <t>33.5. Control de calidad vigente, de los equipos generadores de radiación ionizante.</t>
  </si>
  <si>
    <t>34. 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</si>
  <si>
    <t>35. Cumple con los criterios que le sean aplicables de todos los servicios.</t>
  </si>
  <si>
    <t>IDX_INT</t>
  </si>
  <si>
    <t>36. Cumple con los criterios que le sean aplicables de todos los servicios y adicionalmente,</t>
  </si>
  <si>
    <t>37. Servicio de transporte asistencial cuando fuera de salas de cirugía se realicen procedimientos bajo sedación.</t>
  </si>
  <si>
    <t>38. Cumple con los criterios que le sean aplicables de todos los servicios y adicionalmente,</t>
  </si>
  <si>
    <t>39. Cuando se realicen procedimientos con administración de medio de contraste e intervencionismo, disponibilidad de:</t>
  </si>
  <si>
    <t>39.1 Servicio de urgencias.</t>
  </si>
  <si>
    <t>39.2 Servicio de transporte asistencial.</t>
  </si>
  <si>
    <t>Modalidad extramural unidad móvil</t>
  </si>
  <si>
    <t>40. Cumple con los criterios que le sean aplicables de todos los servicios.</t>
  </si>
  <si>
    <t>Modalidad telemedicina – prestador remisor – prestador de referencia</t>
  </si>
  <si>
    <t>41. No aplica.</t>
  </si>
  <si>
    <r>
      <t xml:space="preserve">Métodos diagnósticos con imágenes obtenidas mediante </t>
    </r>
    <r>
      <rPr>
        <i/>
        <sz val="11"/>
        <rFont val="Calibri"/>
      </rPr>
      <t>equipos generadores de radiaciones NO ionizantes</t>
    </r>
  </si>
  <si>
    <t>Modalidades intramural, extramural jornada de salud, unidad móvil y domiciliaria, telemedicina - prestador remisor</t>
  </si>
  <si>
    <t>1. Cumple con los criterios que le sean aplicables de todos los servicios y adicionalmente cuenta con:</t>
  </si>
  <si>
    <t>1.1.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</si>
  <si>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1.2. Cuando se realicen procedimientos de resonancia magnética cuenta con Técnico profesional o tecnólogo en imágenes diagnósticas, para la operación de equipos y adquisición de imágenes.</t>
  </si>
  <si>
    <t>2. Cumple con los criterios que le sean aplicables de todos los servicios.</t>
  </si>
  <si>
    <t>3.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</si>
  <si>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4. Cumple con los criterios que le sean aplicables de todos los servicios y adicionalmente, cuenta con:</t>
  </si>
  <si>
    <t>4.1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</si>
  <si>
    <t>4.2 Unidad sanitaria, cuando el procedimiento lo requiera.</t>
  </si>
  <si>
    <t>5. Disponibilidad de:</t>
  </si>
  <si>
    <t>5.1 Vestidor para pacientes y área para casilleros, cuando el procedimiento lo requiera.</t>
  </si>
  <si>
    <t>5.2 Área para almacenamiento de dispositivos médicos e insumos.</t>
  </si>
  <si>
    <t>5.3 Sala de espera.</t>
  </si>
  <si>
    <t>5.4 Unidades sanitarias discriminadas por sexo.</t>
  </si>
  <si>
    <t>Modalidades extramural jornada de salud, domiciliaria, telemedicina - prestador remisor</t>
  </si>
  <si>
    <t>7. Cumple con los criterios que le sean aplicables de todos los servicios.</t>
  </si>
  <si>
    <t>8. Cumple con los criterios que le sean aplicables de todos los servicios y adicionalmente,</t>
  </si>
  <si>
    <t>8.1 Cuenta con él o los equipos generadores de radiaciones no ionizantes, según los exámenes diagnósticos realizados.</t>
  </si>
  <si>
    <t>8.2 Cuando se realice resonancia magnética y ultrasonido cuenta con pantalla o monitor grado médico.</t>
  </si>
  <si>
    <t>Modalidades extramural unidad móvil, domiciliaria y jornada de salud, telemedicina - prestador remisor</t>
  </si>
  <si>
    <t>El o los equipos generadores de radiaciones no ionizantes, según los exámenes diagnósticos realizados, cuyas indicaciones del fabricante refieran que es un equipo portátil.</t>
  </si>
  <si>
    <t>10. Cumple con los criterios que le sean aplicables de todos los servicios y los de la modalidad intramural y adicionalmente cuenta con equipo de captura y transmisión de datos e imágenes que asegure las condiciones de visualización de imagen y lectura.</t>
  </si>
  <si>
    <t>11. Cumple con los criterios que le sean aplicables de todos los servicios y adicionalmente, cuenta con pantalla o monitor grado médico.</t>
  </si>
  <si>
    <t>Modalidades intramural y extramural unidad móvil, domiciliaria y jornada de salud, telemedicina - prestador remisor – prestador de referencia</t>
  </si>
  <si>
    <t>Modalidades intramural, extramural unidad móvil, domiciliaria y jornada de salud, telemedicina - prestador remisor</t>
  </si>
  <si>
    <t>13. Cumplen con los criterios definidos para todos los servicios y adicionalmente, cuenta con la siguiente información documentada:</t>
  </si>
  <si>
    <t>13.1 Procedimientos para la realización de los exámenes diagnósticos.</t>
  </si>
  <si>
    <t>13.2 Instrucciones a los pacientes sobre la preparación de los procedimientos diagnósticos, cuando se requiera.</t>
  </si>
  <si>
    <t>13.3 Verificación de la calidad de imagen cuando aplique, que incluye la toma de medidas preventivas y correctivas.</t>
  </si>
  <si>
    <t>13.4 Control de calidad del equipo cuando aplique, que incluye la toma de medidas correctivas.</t>
  </si>
  <si>
    <t>15. Cumple con los criterios que le sean aplicables de todos los servicios y adicionalmente cuenta con registro de exámenes realizados.</t>
  </si>
  <si>
    <t>Grupo</t>
  </si>
  <si>
    <t>Apoyo diagnóstico y complementación terapeútica</t>
  </si>
  <si>
    <t>Modalidades intramural, extramural unidad móvil, domiciliaria y jornada de salud, telemedicina - prestador remisor, prestador de referencia</t>
  </si>
  <si>
    <t>17. No aplica</t>
  </si>
  <si>
    <t>Descripción</t>
  </si>
  <si>
    <t>Servicio Medicina Nuclear: Servicio en el que se realizan procedimientos diagnósticos o terapeúticos mediante fuentes no selladas de radicación constituidas por isótopos radiactivos, radiofármacos o radionúclidos de uso en humanos.</t>
  </si>
  <si>
    <t>Complejidad</t>
  </si>
  <si>
    <t>Alta</t>
  </si>
  <si>
    <t>Modalidad</t>
  </si>
  <si>
    <t>Intramural</t>
  </si>
  <si>
    <r>
      <rPr>
        <b/>
        <sz val="11"/>
        <rFont val="Calibri"/>
      </rPr>
      <t xml:space="preserve">Telemedicina: </t>
    </r>
    <r>
      <rPr>
        <sz val="11"/>
        <color rgb="FF000000"/>
        <rFont val="Calibri"/>
      </rPr>
      <t>Telexperticia sincrónico, prestador remisor y prestador de referencia, entre dos profesionales.</t>
    </r>
  </si>
  <si>
    <t>TH</t>
  </si>
  <si>
    <t>1.1 Profesional de la enfermería, cuando en el servicio se administren terapias con radionúclidos con actividad mayor a 30 mCi, que cuenta con constancia de asistencia en las acciones de formación continua en protección radiológica, radiofarmacia y radiofármacos.</t>
  </si>
  <si>
    <t>1.2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</si>
  <si>
    <t>1.3 Oficial de protección radiológica para toda la institución.</t>
  </si>
  <si>
    <t>2. Disponibilidad de:</t>
  </si>
  <si>
    <t>2.1 Profesional de la medicina especialista en medicina nuclear, con permanencia durante los procedimientos definidos por el prestador de servicios de salud en el estándar de procesos prioritarios.</t>
  </si>
  <si>
    <t>2.2 Profesional con título de postgrado en física médica con permanencia durante los procedimientos definidos por el prestador de servicios de salud en el estándar de procesos prioritarios.</t>
  </si>
  <si>
    <t>3. Cumple con los criterios que le sean aplicables de todos los servicios.</t>
  </si>
  <si>
    <t>4. 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</si>
  <si>
    <t>Infraestructura</t>
  </si>
  <si>
    <t>5.1 Ducha de seguridad</t>
  </si>
  <si>
    <t>6. Disponibilidad de:</t>
  </si>
  <si>
    <t>6.1 Sala de espera.</t>
  </si>
  <si>
    <t>6.2 Unidades sanitarias discriminadas por sexo.</t>
  </si>
  <si>
    <t>6.3 Sala de lectura y transcripción de resultados.</t>
  </si>
  <si>
    <t>6.4 Ambiente destinado únicamente para segregación y decaimiento de ropa.</t>
  </si>
  <si>
    <t>6.5 Ambiente destinado únicamente para segregación y decaimiento de residuos.</t>
  </si>
  <si>
    <t>6.6 Vestidor de pacientes, con disponibilidad de área para casilleros.</t>
  </si>
  <si>
    <t>7. Todas  las áreas  cuentan  con  la señalización  correspondiente  (zona  controlada  y  supervisada), haciendo uso del símbolo de radiación internacionalmente aceptado.</t>
  </si>
  <si>
    <t>8. Cuenta con señal luminosa a la entrada indicado que el equipo está en funcionamiento (únicamente aplica cuando el método diagnóstico incluye CT)</t>
  </si>
  <si>
    <t>9. Adicional a lo anterior, cuando se realicen procedimientos de medicina nuclear diagnóstica SPECT, cuenta con:</t>
  </si>
  <si>
    <t>9.1 Ambiente de pacientes inyectados, con unidad sanitaria de uso mixto.</t>
  </si>
  <si>
    <t>9.2 Ambiente exclusivo para la Gammacámara o SPECT o SPECT-CT. La dimensión de este ambiente debe ser acorde al tipo de equipo, su ficha técnica y a los procedimientos que se realicen, debe permitir movilización de pacientes, talento humano, usuarios y equipos biomédicos.</t>
  </si>
  <si>
    <t>9.3 Ambiente para administración  de  radiofármacos.  Este  ambiente  puede  ser   compartido entre los procedimientos de diagnóstico y terapéutico.</t>
  </si>
  <si>
    <t>9.4 Amblente o área de control / comando, de acuerdo con la tecnología a utilizar, que permita visualización del paciente.</t>
  </si>
  <si>
    <t>10. Cuando se realicen procedimientos de medicina nuclear diagnóstica PET/CT o PET RMN, cuenta con:</t>
  </si>
  <si>
    <t>10.1 Ambiente de PET/CT o PET RMN. La dimensión de este ambiente debe ser acorde al tipo de equipo, su ficha técnlca y a los procedimientos que se realicen, debe permitir movilización del talento humano, pacientes, usuarios y equipos biomédicos.</t>
  </si>
  <si>
    <t>10.2 Ambiente de control I comando, de acuerdo con la tecnologia a utilizar, que permita visualización del paciente.</t>
  </si>
  <si>
    <t>10.3 Ambiente de administración y captación radiofármacos PET (mínimo dos ambientes blindados por equipo), que cuenta con lavamanos.</t>
  </si>
  <si>
    <t>10.4 Unidad sanitaria para pacientes inyectados de uso mixto.</t>
  </si>
  <si>
    <t>11. Cuando se realicen terapias con radiofármacos de actividad menor a 30 mCi, cuenta con:</t>
  </si>
  <si>
    <t>11.1 Ambiente o área con unidad sanitaria</t>
  </si>
  <si>
    <t>11.2 Puesto de enfermería con sistema que permita la vigilancia y monitoreo permanente.  Puede ser compartido entre terapias de mayor y menor a 30 mCi.</t>
  </si>
  <si>
    <t>11.3. Ambiente para aplicación administración de radiofármacos. Este ambiente puede sercompartido entre los procedimientos de diagnóstico y terapéutico.</t>
  </si>
  <si>
    <t>12. Cuando  se  realicen  terapias  con radiofármacos  de  actividad  mayor  a  30  mCi  y  se tienen habitaciones dentro del servicio, cuenta con:</t>
  </si>
  <si>
    <t>12.1 Puesto de enfermería con sistema que permita la vigilancia y monitoreo permanente.  Puede ser compartido entre terapias de mayor y menor a 30 mCi.</t>
  </si>
  <si>
    <t>12.2 Habitaciones individuales con baño y aislamiento estricto.</t>
  </si>
  <si>
    <t>Cuando  se  realicen  terapias  con  radiofármacos  de  actividad   mayor  a  30  mCi  y  se  tienen habitaciones en el servicio de hospitalización, cuenta con:</t>
  </si>
  <si>
    <t>13.1  Estación de enfermería.</t>
  </si>
  <si>
    <t>13.2. Habitaciones individuales con baño y aislamiento estricto.</t>
  </si>
  <si>
    <t>Dotación</t>
  </si>
  <si>
    <t>15. Cumple con los criterios que le sean aplicables de todos los servicios y adicionalmente, cuenta con:</t>
  </si>
  <si>
    <t>15.1 Cuando cuente con equipos de PET-TC o SPECT CT o SPECT, se garantiza la realización de los controles de calidad, por parte de un profesional en física o ingenieria física o ingeniería biomédica o fisico médico, que cuenta con constancia de asistencia en las acciones de formación continua en control de calidad PET.</t>
  </si>
  <si>
    <t>15.2 Gammacámara o SPECT o SPECT CT, cuando realice medicina nuclear diagnóstica.</t>
  </si>
  <si>
    <t>15.3 PET - CT o PET Resonancia, cuando realice medicina nuclear diagnóstica PET.</t>
  </si>
  <si>
    <t>15.4 Cama hospitalaria cuando realice terapias con radionúclidos de actividad mayor a 30 mCi.</t>
  </si>
  <si>
    <t>15.5 Gammacámara, cuando realice terapias con radionúctidos para rastreos pos-terapia.</t>
  </si>
  <si>
    <t>15.6 Carro de paro.</t>
  </si>
  <si>
    <t>15.7 Oxígeno   medicinal.       
Puede  ser  suministrado   mediante  salida  de  oxígeno  medicinal  o mediante oxígeno medicinal portátil.</t>
  </si>
  <si>
    <t>16. Cumple con los cirterios que le sean aplicables de todos los servicios</t>
  </si>
  <si>
    <t>Med, dip, ins, med</t>
  </si>
  <si>
    <t>17. Cumple con los criterios que le sean aplicables de todos los servicios y adicionalmente cuenta con:</t>
  </si>
  <si>
    <t>17.1 Certificado vigente de buenas prácticas de elaboración de radiofármacos expedido por el lnvima, cuando el prestador de servicios salud cuente con radiofarmacia de media  o alta complejidad. En caso de contratar con un proveedor externo, éste debe contar con dicha certificación y contrato vigente.</t>
  </si>
  <si>
    <t>17.2 Acta de inspección expedida por el lnvima, cuando el prestador de servicios salud cuente con radiofarmacia de baja complejidad.</t>
  </si>
  <si>
    <t>17.3 Oxigeno medicinal</t>
  </si>
  <si>
    <t>Procesos Prioritarios</t>
  </si>
  <si>
    <t>19. Cumple con los criterios que le sean aplicables de todos los servicios y adicionalmente cuenta con la siguiente información documentada:</t>
  </si>
  <si>
    <t>19.1 Cuando el prestador realiza medicina nuclear diagnóstica:</t>
  </si>
  <si>
    <t>19.1.1. Prescripción   y   dosificación   de   todos   los   radiofármacos   o   radionúclidos   para Gammagrafías o estudios PET o SPEC CT.</t>
  </si>
  <si>
    <t>19.1.2. Procedimientos diagnósticos para gammagrafías o PET - CT o SPECT CT.</t>
  </si>
  <si>
    <t>19.1.3 Procedimiento de perfusión miocárdica con isonitrilos, cuando lo realice.</t>
  </si>
  <si>
    <t>19.2 Cuando el prestador realiza terapias con radionúclidos:</t>
  </si>
  <si>
    <t>19.2.1. Prescripción y dosificación de todos los radiofármacos o radionúclidos.</t>
  </si>
  <si>
    <t>19.2.2. Alta del paciente sometido a terapia con radiofármacos.</t>
  </si>
  <si>
    <t>19.2.3. Procedimientos terapéuticos realizados con radiofármacos</t>
  </si>
  <si>
    <t>19.3. Procedimientos en los cuales se requiere la permanencia del profesional de la medicina especialista en medicina nuclear y del profesional con titulo de postgrado en física médica.</t>
  </si>
  <si>
    <t xml:space="preserve">19.4. Cuando en el servicio se realice diagnóstico y terapias con radionúclidos de actividad menor a 30 mCi, la programación de los pacientes debe darse por separado. </t>
  </si>
  <si>
    <t>19.5. Cuando se realicen terapias con radionúclidos de actividad mayor a 30 mCi, la administración del radiofármaco debe realizarse en la habitación de aislamiento.</t>
  </si>
  <si>
    <t>Cumple con los criterios que le sean aplicables de todos los servicios.</t>
  </si>
  <si>
    <t>Historia clínica y registros</t>
  </si>
  <si>
    <t>21. Cumple con los criterios que le sean aplicables de todos los servicios y adicionalmente cuenta con:</t>
  </si>
  <si>
    <t>21.1. Registro de resultados diagnósticos, cuando realice medicina nuclear diagnóstica.</t>
  </si>
  <si>
    <t>21.2. Registro  de  resultados  rechazados  por el profesional  de  la  medicina  especialista  en medicina nuclear y sus causas, cuando se realice medicina nuclear diagnóstica.</t>
  </si>
  <si>
    <t>21.3. Registro de tratamientos realizados.</t>
  </si>
  <si>
    <t>21.4. Registro de mediciones de tasa de exposición o tasa de dosis equivalente, al momento del alta de pacientes sometidos a terapia.</t>
  </si>
  <si>
    <t>22. Cumple con los criterios que le sean aplicables de todos los servicios.</t>
  </si>
  <si>
    <t>Interdependencia</t>
  </si>
  <si>
    <t>23. Cumple con los criterios que le sean aplicables de todos los servicios y adicionalmente cuenta con:</t>
  </si>
  <si>
    <t>23.1. Servicio de consulta externa de medicina nuclear, cuando en el servicio se realicen terapias con radionúclidos.</t>
  </si>
  <si>
    <t>23.2. Servicio de diagnóstico vascular, cuando en el servicio se realicen estudios de perfusión miocárdica.</t>
  </si>
  <si>
    <t>Modalidad  telemedicina - prestador remisor - prestador de referencia</t>
  </si>
  <si>
    <t>24. No aplica</t>
  </si>
  <si>
    <t>Apoyo diagnóstico y complementación tereapeutica</t>
  </si>
  <si>
    <t>Servicio Radioterapia: Servicio en el que se lleva a cabo tratamiento médico que hace uso de radiación ionizante con et fin de erradicar un volumen tumoral benigno o maligno y en patologías no tumorales.</t>
  </si>
  <si>
    <t xml:space="preserve">Modalidades </t>
  </si>
  <si>
    <t>Telemedicina: Telexperticia sincrónico, prestador remisor y prestador de referencia, entre dos profesionales.</t>
  </si>
  <si>
    <t>Talento Humano</t>
  </si>
  <si>
    <r>
      <t xml:space="preserve">1. Cumple con los criterios que le sean aplicables de todos los servicios y adicionalmente </t>
    </r>
    <r>
      <rPr>
        <b/>
        <sz val="11"/>
        <rFont val="Calibri"/>
      </rPr>
      <t>cuenta con:</t>
    </r>
  </si>
  <si>
    <t xml:space="preserve">1.1. Tecnólogo en radioterapia. </t>
  </si>
  <si>
    <t xml:space="preserve">1.2. Profesional con título de postgrado en física médica. </t>
  </si>
  <si>
    <t>1.3. Oficial de protección radiológica para toda la institución.</t>
  </si>
  <si>
    <t>2. Disponibilidad  de:</t>
  </si>
  <si>
    <t>Profesional de la medicina especialista en radioterapia u oncología radioterápica, con permanencia durante los procedimientos definidos por el prestador de servicios de salud en el estándar de procesos prioritarios.</t>
  </si>
  <si>
    <t>4. El profesional de la medicina especialista en radioterapia u oncología radioterápica, cuando esté en disponibilidad y no se requiera su permanencia, puede hacer uso de la categor!a telexperticia sincrónica entre profesionales de la salud, de acuerdo con lo definido por el prestador de servicios de salud en e1 estándar de procesos prioritarios.</t>
  </si>
  <si>
    <t>5.1. Ambiente de moldeo con disponibilidad de área para mesón de trabajo con poceta, cuando la tecnologia utilizada la requiera.</t>
  </si>
  <si>
    <t>5.2. Ambiente para delimitación, planeación y dosimetría clinica de tratamientos, con ambiente o área para el almacenamiento de equipos de dosimetría.</t>
  </si>
  <si>
    <t>5.3.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t>
  </si>
  <si>
    <t xml:space="preserve">Cuenta con: </t>
  </si>
  <si>
    <t>5.3.1. Señal luminosa a ta entrada de la sala, indicando que el equipo está en funcionamiento.</t>
  </si>
  <si>
    <t>5.3.2. Circuito cerrado de TV.</t>
  </si>
  <si>
    <t>5.3.3. Enclavamientos de seguridad en la puerta para suspender la irradiación en caso de que la puerta se abra.</t>
  </si>
  <si>
    <t>5.4.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</si>
  <si>
    <t>5.5. Ambiente o área de control/ comando ubicado junto al ambiente de tratamiento de teleterapia o al ambiente de simulación.</t>
  </si>
  <si>
    <t>5.6. Cuando  se  realicen  procedimientos  de  braquiterapia de  baja y  alta  tasa,  el ambiente  de braquiterapia cuenta con:</t>
  </si>
  <si>
    <t>5.6.1. Señal  luminosa  a  la  entrada  de  la  sala,  indicando  que  el  equipo  está  en funcionamiento.</t>
  </si>
  <si>
    <t>5.6.2. Circuito cerrado de TV.</t>
  </si>
  <si>
    <t>5.6.3. Enclavamientos de seguridad en la puerta para suspender la irradiación en caso de que la puerta se abra.</t>
  </si>
  <si>
    <t>5.6.4. Ambiente de consola de comando por fuera de la sala.</t>
  </si>
  <si>
    <t>Disponibilidad de:</t>
  </si>
  <si>
    <t>5.6.5. Lavamanos quirúrgico por fuera del ambiente.</t>
  </si>
  <si>
    <t>5.6.6. Ambiente lavado de instrumenta!.</t>
  </si>
  <si>
    <t>5.6.7. Vestidor de pacientes.</t>
  </si>
  <si>
    <t>5.7. Ambiente de recuperación que cuenta con:</t>
  </si>
  <si>
    <t>5.7.1. Área para camillas</t>
  </si>
  <si>
    <t>5.7.2. Lavamanos</t>
  </si>
  <si>
    <t>5.7.3. Puesto de enfermería</t>
  </si>
  <si>
    <t>5.8. Ambiente para almacenamiento temporal de fuentes radiactivas en desuso, acorde con lo establecido en la licencia de diseño.</t>
  </si>
  <si>
    <t>5.9. Cuando en sala de cirugía se realice la implantación de dispositivos de braquiterapia y la administración de la dosis, la sala de cirugía deberá cumplir lo requerido para la sa!a de procedimientos de braquiterapia.</t>
  </si>
  <si>
    <t xml:space="preserve">6. Disponibilidad de: </t>
  </si>
  <si>
    <t>6.1. Sala de espera.</t>
  </si>
  <si>
    <t>6.2. Unidades sanitarias discriminadas por sexo.</t>
  </si>
  <si>
    <t>6.3. Ambiente de simulación de tratamiento.</t>
  </si>
  <si>
    <t>8.1. Sala de tratamiento con unidad de tratamiento correspondiente,  que cuenta con:</t>
  </si>
  <si>
    <t>8.1.1. Acelerador  lineal.</t>
  </si>
  <si>
    <t>8.1.2. Sistemas de monitoreo de radiación (monitor de área independiente, alimentados con UPS), con certificado de calibración expedido por un LSCD {laboratorio secundario de calibración y dosimetría).</t>
  </si>
  <si>
    <t>8.1.3. Video para la observación del paciente y de comunicación por voz con el paciente.</t>
  </si>
  <si>
    <t>8.2. Sistema de verificación de tratamiento (pelfculas de verificación o sistema electrónico de imágenes portales).</t>
  </si>
  <si>
    <t>8.3. Para el acelerador lineal, cuenta con un sistema dosimétrico de control diario.</t>
  </si>
  <si>
    <t>8.4. Sistema de dosimetría absoluta y relativa de acuerdo con la tecnología empleada en el servicio.</t>
  </si>
  <si>
    <t>8.5. Sistema de control de calidad paciente de acuerdo con la tecnología empleada en el servicio.</t>
  </si>
  <si>
    <t>8.6. Oxígeno medicinal y succión cuando se realicen procedimientos de teleterapia o braquiterapia de alta tasa de dosis, que pueden ser suministrados mediante salida de oxígeno medicinal y sistema de vacío o mediante oxígeno medicinal portátil y aspirador.</t>
  </si>
  <si>
    <t>8.7. Cuando se realicen procedimientos de braquiterapia cuenta con:</t>
  </si>
  <si>
    <t>8.7.1. Sistema de braquiterapia.</t>
  </si>
  <si>
    <t>8.7.2. Sistema de calibración de fuentes selladas</t>
  </si>
  <si>
    <t xml:space="preserve">9. Disponibilidad de: </t>
  </si>
  <si>
    <t>9.1. Dispositivos   para  sujeción  de  los  pacientes  según  la  tecnología   empleada   y  los procedimientos que se realicen en el servicio.</t>
  </si>
  <si>
    <t>9.2. Equipo de simulación de tratamiento  propio  o en convenio.  No se  aceptarán  equipos convencionales de rayos X adaptados para hacer radiografías de localización.</t>
  </si>
  <si>
    <t>9.3. Cumple con los criterios que le sean aplicables de todos los servicios.</t>
  </si>
  <si>
    <t>Medicamentos, dispositivos médicos e insumos</t>
  </si>
  <si>
    <t>10.  Cumple con los criterios que le sean aplicables de todos los servicios y adicionalmente cuenta con:</t>
  </si>
  <si>
    <t>Oxigeno medicinal, cuando se realicen procedimientos de teleterapia o braquiterapia de alta tasa de dosis.</t>
  </si>
  <si>
    <t>12. Cumple con los criterios que le sean aplicables de todos tos servicios y adicionalmente cuenta con la siguiente información documentada:</t>
  </si>
  <si>
    <t>12.1. Inicio de tratamiento de radioterapia.</t>
  </si>
  <si>
    <t>12.2. Simulación de tratamientos y definición de los profesionales que participan en el proceso.</t>
  </si>
  <si>
    <t>12.3. Planeación y cálculo del plan de tratamiento, incluyendo distribución de dosis, tiempo de tratamiento (minutos o unidades monitoras) y definición de los profesionales que participan en el proceso.</t>
  </si>
  <si>
    <t>12.4.  Verificación inicial de tratamiento y definición de los profesionales que participan en el proceso.</t>
  </si>
  <si>
    <t>12.5.  Venficación del cálculo de la distribución de las dosis y definición de los profesionales que participan en el proceso.</t>
  </si>
  <si>
    <t>12.6.  Administración de tratamiento.</t>
  </si>
  <si>
    <t>12.7. Procedimientos en los cuales se requiere la permanencia del profesional de la medicina especialista en radioterapia u oncología radioterápica.</t>
  </si>
  <si>
    <t>12.8.  Procedimientos de implantación de dispositivos de braquiterapia y administración de dosis que pueden realizarse en la sala de braquiterapia o en la sala de cirugía de acuerdo con lo definido por el prestador, cuando los realice.</t>
  </si>
  <si>
    <t>13. Cuenta con los criterios que le sean aplicables de todos los servicios.</t>
  </si>
  <si>
    <t>Historia Clínica y Registros</t>
  </si>
  <si>
    <t>14. Cumple con los criterios que le sean aplicables de todos los servicios y adicionalmente cuenta con los siguientes registros:</t>
  </si>
  <si>
    <t>14.1. Registro de tratamiento de cada paciente que cuenta como mínimo con:</t>
  </si>
  <si>
    <t>14.1.1. Tipo de tratamiento, distribución de dosis y tiempo de tratamiento (minutos o unidades monitoras).</t>
  </si>
  <si>
    <t>14.1.2. La selección de los objetivos o intención del tratamiento - curación I paliación.</t>
  </si>
  <si>
    <t>14.1.3. Identificación de órganos y tejidos sensibles.</t>
  </si>
  <si>
    <t>14.1.4. Simulación, planificación de los campos de tratamiento y de los volúmenes a tratar.</t>
  </si>
  <si>
    <t>14.1.5. Selección de la modalidad y la energía.</t>
  </si>
  <si>
    <t>14.1.6. Registro de inicio de tratamiento.</t>
  </si>
  <si>
    <t>14.1.7. Verificación de la exactitud de la repetición del tratamiento.</t>
  </si>
  <si>
    <t>14.1.8. Evaluación de la tolerancia al tratamiento.</t>
  </si>
  <si>
    <t>14.1.9. Evaluación de las complicaciones del tratamiento.</t>
  </si>
  <si>
    <t>14.2. Registros de calibraciones y controles de calidad de:</t>
  </si>
  <si>
    <t>14.2.1. Acelerador lineal.</t>
  </si>
  <si>
    <t>14.2.2. Equipos de simulación.</t>
  </si>
  <si>
    <t>14.2.3. Las fuentes radiactivas.</t>
  </si>
  <si>
    <t>14.2.4. Cálculo de la distribución de las dosis.</t>
  </si>
  <si>
    <t>14.2.5. Sistema de registro diario para aceleradores lineales y registros de control de calidad para todos los equipos generadores de radiaciones ionizantes.</t>
  </si>
  <si>
    <t>14.3. Registro de las mediciones de las fuentes en desuso para devolverlas al proveedor acorde con su actividad.</t>
  </si>
  <si>
    <t>15. Cumple con los criterios que le sean aplicables de todos los servicios.</t>
  </si>
  <si>
    <t>Interdependencias</t>
  </si>
  <si>
    <t>16. Cumple  con   los  criterios  que  le  sean   aplicables  de  todos   los  servicios  y   adicionalmente disponibilidad  de:</t>
  </si>
  <si>
    <t>16.1. Servicio de urgencias.</t>
  </si>
  <si>
    <t>16.2. Servicio de hospitalización.</t>
  </si>
  <si>
    <t>16.3. Servicio de cirugía.</t>
  </si>
  <si>
    <t>16.4. Servicio farmaceútico.</t>
  </si>
  <si>
    <t>16.5. Servicio de transporte asistencial</t>
  </si>
  <si>
    <t>Servicio Quimioterapia: Servicio de administración de medicamentos oncológicos.</t>
  </si>
  <si>
    <t>Modaliadades</t>
  </si>
  <si>
    <t>Telemedicina - prestador remisor</t>
  </si>
  <si>
    <t>1.1. Profesional de la enfermerfa especialista en oncologfa o profesional de la enfermerla con constancia de asistencia en las acciones de formación continua en el cuidado integral del paciente adulto o pediátrico con quimioterapia, segün oferta.</t>
  </si>
  <si>
    <t>1.2. Auxiliares de enfermerra con constancia de asistencia en las acciones de formación continua en el cuidado integral del paciente adulto o pediátrico con quimioterapia, según oferta.</t>
  </si>
  <si>
    <t>1.3. Qufmico (a) Farmacéutico (a) con constancia de asistencia en las acciones de formación continua en el cuidado integral del paciente adulto o pediátrico con quimioterapia, según oferta.</t>
  </si>
  <si>
    <t xml:space="preserve">2. Disponibilidad de: </t>
  </si>
  <si>
    <t xml:space="preserve">Profesional  de  la  medicina  especialista  en oncologla  o  especialista  en  hemato-oncologla  o especialista en hematotogla, según el tipo de cáncer a tratar.
</t>
  </si>
  <si>
    <t>3. Si se ofrecen servicios de oncologra pediátrica, el talento humano en salud cuenta con constancia de asistencia en las acciones de formación continua del cuidado del paciente pediátrico con quimioterapia o con patología onco-hematológica a excepción del Profesional de la medicina especialista en pediatría.</t>
  </si>
  <si>
    <t>4. Cumple con ros criterios que le sean aplicables de todos los servicios.</t>
  </si>
  <si>
    <t>5. El profesional de la medicina especialista en oncología o especialista en hemato-oncologia o especialista en hematología, según el tipo de cáncer a tratar, puede realizar la disponibilidad en la categoría tetexperticia sincrónica entre profesionales de la salud de acuerdo con lo definido por el prestador de servicios de salud en el estándar de procesos prioritarios.</t>
  </si>
  <si>
    <t>6.3. Ambiente de quimioterapia que cuenta con área para casilleros.</t>
  </si>
  <si>
    <t>7. Área para la administración de medicamentos para paciente adulto, si lo oferta. La distribución de las sillas de quimioterapia dentro del área debe permitir movilización del talento humano. pacientes. usuarios y equipos biomédicos.</t>
  </si>
  <si>
    <t>8. Área para la administración de medicamentos para paciente adulto, si lo oferta. La distribución de las sillas de quimioterapia dentro del área debe permitir movilización del talento humano. pacientes. usuarios y equipos biomédicos.para la administración de medicamentos para paciente pediátrico, si lo oferta. La distribución de las sillas de quimioterapia dentro del área debe permitir movilización del talento humano, pacientes, usuarios y equipos biomédicos.</t>
  </si>
  <si>
    <t>8.1. Salida de oxigeno medicinal por silla o camilla.</t>
  </si>
  <si>
    <t>8.2. Ambiente o área para administración prolongada de quimioterapia.</t>
  </si>
  <si>
    <t>8.3. Puesto de enfermerra.</t>
  </si>
  <si>
    <t>8.4. Area o ambiente de trabajo limpio.</t>
  </si>
  <si>
    <t>8.5. Ambiente de trabajo sucio.</t>
  </si>
  <si>
    <t>8.6. Sala de procedimientos.</t>
  </si>
  <si>
    <t>8.7. Area de recuperación, que puede ser la misma silla de tratamiento.</t>
  </si>
  <si>
    <t>8.8. Unidad sanitaria.</t>
  </si>
  <si>
    <t>10. Cumple con los criterios que le sean aplicables de todos los servicios y adicionalmente:</t>
  </si>
  <si>
    <t>10.1. La sala de quimioterapia cuenta con:</t>
  </si>
  <si>
    <t>10.1.1. Silla  reclinable escualizable  de  material que  permita  procesos de  limpieza  y desinfección.</t>
  </si>
  <si>
    <t>10.1.2. Cama hospitalaria para los pacientes que la requieran por su estado de salud o administración  prolongada de quimioterapia.</t>
  </si>
  <si>
    <t>10.1.3. Bomba de infusión por paciente.</t>
  </si>
  <si>
    <t>10.1.4. Riñonera por paciente</t>
  </si>
  <si>
    <t>10.1.5. Carro de paro.</t>
  </si>
  <si>
    <t>10.2. Disponibilidad de succión dentro del servicio. Puede ser suministrada mediante sistema de vacío o mediante aspirador adicional al del carro de paro.</t>
  </si>
  <si>
    <t>12. Cumple con los criterios que le sean aplicables de todos los servicios y adicionalmente, cuenta con:</t>
  </si>
  <si>
    <t>12.1. Cuando realice preparaciones, mezclas, adecuación y ajuste de concentraciones de dosis de medicamentos citostáticos cuenta con certificado de buenas prácticas de elaboración vigente otorgado por el lnvima. Cuando dichas actividades sean realizadas por una central externa, ésta debe contar con dicha certificación y contrato vigente.</t>
  </si>
  <si>
    <t>12.2. Si se prescribe quimioterapla oral o intravenosa, cuenta con los siguientes requisitos:</t>
  </si>
  <si>
    <t>12.2.1. La institución prestadora de servicios de salud que prescribe el tratamiento realiza la dispensación de los medicamentos al paciente en dosis unitaria directamente por cada ciclo.</t>
  </si>
  <si>
    <t>12.2.2. Los medicamentos oncológicos de uso endovenoso se dispensan y administran por la institución prestadora de servicios de salud que atiende al paciente.</t>
  </si>
  <si>
    <t>12.2.3. Cuenta con embalajes que garantizan la integridad de los medicamentos y eviten su fácil ruptura.</t>
  </si>
  <si>
    <t>12.2.4. Los medicamentos se identifican, como material peligroso o de alto riesgo.</t>
  </si>
  <si>
    <t>12.2.5. Los medicamentos preparados y no preparados se transportan de modo que su integridad no se deteriore, se mantengan las condiciones de almacenaje, cadena de fria, se protejan contra hurto, se conserve su identificación y se evite la contaminación,  exposición a microorganismos o plagas o confusión con otros productos. Además, es realizado por personal entrenado en su manipulación.</t>
  </si>
  <si>
    <t>12.2.6. Los medicamentos no pueden ser transportados por los pacientes.</t>
  </si>
  <si>
    <t>12.3.   Equipos de venoclisis por paciente.</t>
  </si>
  <si>
    <t>12.4. Kit de derrame de citostáticos.</t>
  </si>
  <si>
    <t>12.5. Oxígeno  medicinal.</t>
  </si>
  <si>
    <t>14. Cumple con los criterios que le sean aplicables de todos los servicios y adicionalmente, cuenta con la siguiente  información documentada:</t>
  </si>
  <si>
    <t>14.1. Recomendaciones para el tratamiento con quimioterapia.</t>
  </si>
  <si>
    <t>14.2. Manejo y uso de los medicamentos.</t>
  </si>
  <si>
    <t>14.3. Manejo de las principales complicaciones causadas por los medicamentos utilizados en el servicio.</t>
  </si>
  <si>
    <t>14.4. Comunicación al paciente, su familia o cuidador, acerca del tratamiento requerido, que incluye:</t>
  </si>
  <si>
    <t>14.4.1. Información de los medicamentos y sus efectos.</t>
  </si>
  <si>
    <t>14.4.2. Complicaciones, qué hacer cuando se presenten y como evitarlas.</t>
  </si>
  <si>
    <t>14.4.3. Condiciones de almacenamiento y vía de administración de la quimioterapia.</t>
  </si>
  <si>
    <t>14.4.4. Disposición final de los  medicamentos  no utilizados durante  el tratamiento  y los sobrantes de los mismos.</t>
  </si>
  <si>
    <t>14.5. 14.5. Medidas de bioseguridad para el manejo de medicamentos citostáticos y conservación de cadena frío según lo establecido por el fabricante.</t>
  </si>
  <si>
    <t>14.6. El prestador de servicios de salud realiza el seguimiento del paciente a través del equipo de salud requerido, de acuerdo con la condición clínica del paciente.</t>
  </si>
  <si>
    <t>16. Cumple con los criterios que le sean aplicables de todos los servicios y adicionalmente cuenta con:</t>
  </si>
  <si>
    <t>16.1. Prescripciones u órdenes médicas que contengan la siguiente información:</t>
  </si>
  <si>
    <t>16.1.1. Ciudad y fecha de la prescripción.</t>
  </si>
  <si>
    <t>16.1.2. Nombre del paciente.</t>
  </si>
  <si>
    <t>16.1.3. Número de historia clínica.</t>
  </si>
  <si>
    <t>16.1.4. Peso</t>
  </si>
  <si>
    <t>16.1.5. Talla</t>
  </si>
  <si>
    <t>16.1.6. Superficie corporal</t>
  </si>
  <si>
    <t>16.1.7. Ciclo de tratamiento</t>
  </si>
  <si>
    <t>16.1.8. Localización del paciente en la institución prestadora de servicios de salud, cuando esté hospitalizado.</t>
  </si>
  <si>
    <t>16.1.9. Datos de ubicación del paciente.</t>
  </si>
  <si>
    <t>16.1.10. Denominación común internacional de los medicamentos.</t>
  </si>
  <si>
    <t>16.1.11. Forma farmacéutica.</t>
  </si>
  <si>
    <t>16.1.12. Dosis teórica del esquema y dosis resultante para el paciente.</t>
  </si>
  <si>
    <t>16.1.13. Dosis ajustada en función de parámetros farmacocinéticos.</t>
  </si>
  <si>
    <t>16.1.14. vía de administración.</t>
  </si>
  <si>
    <t>16.1.15. Vehículo a utilizar.</t>
  </si>
  <si>
    <t>16.1.16. Volumen final de la solución preparada.</t>
  </si>
  <si>
    <t>11.3.2 Servicio de Diagnóstico Vascular</t>
  </si>
  <si>
    <t>Servicio X1</t>
  </si>
  <si>
    <t>16.1 17. Duración del tratamiento.</t>
  </si>
  <si>
    <t>Servicio X2</t>
  </si>
  <si>
    <t>16. 1.18. Nombre y firma del Profesional de medicina.</t>
  </si>
  <si>
    <t>Servicio X3</t>
  </si>
  <si>
    <t>Servicio X4</t>
  </si>
  <si>
    <t>Servicio X5</t>
  </si>
  <si>
    <t>Servicio X6</t>
  </si>
  <si>
    <t>Servicio X7</t>
  </si>
  <si>
    <t>16.1 19.  Número de registro médico.</t>
  </si>
  <si>
    <t>16.2. Registro de administración de quimioterapia.</t>
  </si>
  <si>
    <t>17. Cumple con los criterios que le sean palicables de todos los servicios.</t>
  </si>
  <si>
    <t>DXVASC_TH</t>
  </si>
  <si>
    <t>Modalidad Intramural</t>
  </si>
  <si>
    <t>Modalidades intramural, telemedicina, prestador remisor</t>
  </si>
  <si>
    <t>18. Cumple con los criterios que le sean aplicables de todos los servicios y adicionalmente cuenta con servicio farmacéutico de alta complejidad.</t>
  </si>
  <si>
    <t xml:space="preserve">19. Disponibilidad de: </t>
  </si>
  <si>
    <t>19.1. Servicio de transporte asistencial.</t>
  </si>
  <si>
    <t>19.2. Servicio de urgencias.</t>
  </si>
  <si>
    <r>
      <t xml:space="preserve">1. Cumple con los criterios definidos para todos los servicios y adicionalmente </t>
    </r>
    <r>
      <rPr>
        <b/>
        <sz val="11"/>
        <rFont val="Calibri"/>
      </rPr>
      <t>cuenta con:</t>
    </r>
  </si>
  <si>
    <t>20. No aplica</t>
  </si>
  <si>
    <t>1.1.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</si>
  <si>
    <t>1.2. Profesional de la enfermería que cuenta con constancia de asistencia en acciones de formación continua en soporte vital básico y para la realización del o los procedimientos ofertados.</t>
  </si>
  <si>
    <t xml:space="preserve">Modalidad de Telemedicina - prestador de referencia </t>
  </si>
  <si>
    <t>3. 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especiallsta en radiología e imágenes diagnósticas puede hacer uso de la categoría telexperticia sincrónica o asincrónica entre profesionales de la salud de acuerdo con lo definido por el prestador de servicios de salud en el estándar de procesos prioritarios.</t>
  </si>
  <si>
    <t>DXVASC_INF</t>
  </si>
  <si>
    <t>11.3.9Servicio de Hemodinamia e Intervencionismo</t>
  </si>
  <si>
    <t>4. Cumple con los criterios que le sean aplicables de todos los servicios y adicionalmente,</t>
  </si>
  <si>
    <t>HI_TH</t>
  </si>
  <si>
    <t>5.1.	Lavamanos</t>
  </si>
  <si>
    <t>Modalidades intramural, tefemedicina - prestador remisor</t>
  </si>
  <si>
    <t>1.Cumple con los criterios que le sean aplicables de todos los servicios y adicionalmente cuenta con:</t>
  </si>
  <si>
    <t>1.1.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t>
  </si>
  <si>
    <t>1.2. Profesional de la enfermería que cuenta con constancia de asistencia en las acciones de formación continua en la realización del procedimiento ofertado y en soporte vital avanzado.</t>
  </si>
  <si>
    <t>1.3.  Tecnólogo en radiología e imágenes diagnósticas.</t>
  </si>
  <si>
    <t>5.2. Vestidor de pacientes con área para casilleros.</t>
  </si>
  <si>
    <t>2. Disponibilidad de profesional de la medicina especialista en anestesiología.</t>
  </si>
  <si>
    <t>4. El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</si>
  <si>
    <t>HI_INF</t>
  </si>
  <si>
    <t>5.3.	Sala de procedimientos.</t>
  </si>
  <si>
    <t>5.1. Área para recepción y entrega de pacientes.</t>
  </si>
  <si>
    <t>5.2. Área para almacenamiento de material estéril.</t>
  </si>
  <si>
    <t>5.3. Vestidor de personal que funciona como filtro</t>
  </si>
  <si>
    <t>5.4. Vestidor de pacientes y área para casilleros.</t>
  </si>
  <si>
    <t>5.5. Unidad sanitaria.</t>
  </si>
  <si>
    <t>6. Ambiente de procedimientos de hemodinámia e intervencionismo que cuenta con.</t>
  </si>
  <si>
    <t>6.1. Salida de oxígeno medicinal.</t>
  </si>
  <si>
    <t>6.2. Salida de aire medicinal.</t>
  </si>
  <si>
    <t>6.3. Sistema de vacío.</t>
  </si>
  <si>
    <t>6.4. Lavamanos  quirúrgico  por  fuera de  la  sala  de  procedimientos  de  hemodinámia  e intervencionismo.</t>
  </si>
  <si>
    <t>6.5. Ambiente de control/comando del equipo.</t>
  </si>
  <si>
    <t>6.2.Unidades sanitarias discriminadas por sexo.</t>
  </si>
  <si>
    <t>7. Ambiente de recuperación cuenta con:</t>
  </si>
  <si>
    <t>7.1. Area para camillas.</t>
  </si>
  <si>
    <t>7.2. Puesto de enfermería.</t>
  </si>
  <si>
    <t>7.3. Lavamanos.</t>
  </si>
  <si>
    <t>8.  Disponibilidad en el servicio de:</t>
  </si>
  <si>
    <t>6.3.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</si>
  <si>
    <t>8.1.   Ambiente o área para trabajo limpio.</t>
  </si>
  <si>
    <t>8.2. Ambiente de trabajo sucio.</t>
  </si>
  <si>
    <t>8.3. Ambiente o área para el almacenamiento  de medicamentos, dispositivos médicos en insumos Area para estacionamiento de camillas y sitias de ruedas</t>
  </si>
  <si>
    <t>9.  Disponibilidad de:</t>
  </si>
  <si>
    <t>10.  Cumple con los criterios que le sean aplicables de todos los servicios</t>
  </si>
  <si>
    <t>HI_DOT</t>
  </si>
  <si>
    <t>Modalidad intramural, telemedicina - prestador remisor</t>
  </si>
  <si>
    <t>11. Cumple con los criterios que le sean aplicables de todos los servicios y la dotación necesaria y específica  para realizar los procedimientos documentados  en el estándar de procesos prioritarios y adicionalmente cuenta con:</t>
  </si>
  <si>
    <t>DXVASC_DOT</t>
  </si>
  <si>
    <t>11.1 Ambiente de procedimientos de hemodinámia e intervencionismo</t>
  </si>
  <si>
    <t>11.1.1. Angiógrafo.</t>
  </si>
  <si>
    <t>11.1.2. Elementos de protección radiológlca adulto o pediátrico, según oferta, protocolos y especificaciones del equipo, como son:</t>
  </si>
  <si>
    <t>11.1.2.1.Delantal plomado circunferencial o de dos piezas</t>
  </si>
  <si>
    <t>8. Cumple con los criterios que le sean aplicables de todos los servicios y la dotación necesaria y específica para realizar los procedimientos documentados en el estándar de procesos prioritarios y adicionalmente cuenta con:</t>
  </si>
  <si>
    <t>11.1.2.2.Protector de tiroides</t>
  </si>
  <si>
    <t>11.1.2.3.Protector de gónadas</t>
  </si>
  <si>
    <t>11.1.2.4.Gafas plomadas</t>
  </si>
  <si>
    <t>11.1.2.5. Protector mampara o escudo de protección</t>
  </si>
  <si>
    <t>8.1.Oxígeno medicinal portátil o salida de oxígeno medicinal cuando lo requiera, de acuerdo con la información documentada en et estándar de procesos prioritarios</t>
  </si>
  <si>
    <t>11.1.3. Estación de trabajo y procesamiento de imágenes.</t>
  </si>
  <si>
    <t>11.1.4. Fuente de marcapaso externo.</t>
  </si>
  <si>
    <t>11.1.5. Inyector de medio de contrastes mecánico</t>
  </si>
  <si>
    <t>11.1.6.Carro de paro, et desfibrilador cuenta con capacidad de marcapasos extern</t>
  </si>
  <si>
    <t>8.2. Carro de paro cuando lo requiera, de acuerdo con la información documentada en el estándar de procesos prioritarios.</t>
  </si>
  <si>
    <t>11.1.7. Monitor de signos vitales con accesorios adultos o pediátricos según oferta, que cuente mínimo con:</t>
  </si>
  <si>
    <t>11.1.7.1. Trazado  electrocardiográfico</t>
  </si>
  <si>
    <t>11.1.7.2. Presión no invasiva</t>
  </si>
  <si>
    <t>11.1.7.3. Presión invasiva</t>
  </si>
  <si>
    <t>8.3.Monitor de presión arterial cuando lo requiera, de acuerdo con ta información documentada en el estándar de procesos prioritarios.</t>
  </si>
  <si>
    <t>11.1.7.4. Saturación de oxígeno</t>
  </si>
  <si>
    <t>11.1.7.5. Temperatura</t>
  </si>
  <si>
    <t>11.1.7.6. Batería</t>
  </si>
  <si>
    <t>11.1.8. Máquina de anestesia, cuando el procedimiento la requiera, la cual cuenta con:</t>
  </si>
  <si>
    <t xml:space="preserve">
Modalidad telemedicina - prestador de referencia
</t>
  </si>
  <si>
    <t>11.1.8.1. Alarma audible y vlsible de: desconexión, volumen y presión.</t>
  </si>
  <si>
    <t>11.1.8.2. Seguro de mezcla hipóxica.</t>
  </si>
  <si>
    <t>11.1.8.3. Monitorización de oxígeno administrado.</t>
  </si>
  <si>
    <t>11.1.8.4. Monitorización de presión en la vía aérea.</t>
  </si>
  <si>
    <t xml:space="preserve">9. Cumple con los criterios que le sean aplicables de todos los servicios. </t>
  </si>
  <si>
    <t>11.1.9. Ventilador y analizador de gases anestésicos que puede estar como monitor externo a la máquina.</t>
  </si>
  <si>
    <t>11.1.10. Si la máquina de anestesia no incluye sistema de extracción de gases anestésicos, deberá contar con salida de extracción de gases anestésicos.</t>
  </si>
  <si>
    <t>11.1 11 Polígrafo o sistema de registro electrofisiológico con al menos 64 canales para la estimulación y registro de arritmias cardiacas, para procedimientos de hemodinamia y electrofisiología.</t>
  </si>
  <si>
    <t>11.1.12. Equipo de ablación - radiofrecuencia si realiza procedimientos de electrofisiología</t>
  </si>
  <si>
    <t>11.2. En sala de recuperación cuenta con:</t>
  </si>
  <si>
    <t>DXVASC_MD</t>
  </si>
  <si>
    <t>11.2.1. Camilla con barandas, ruedas y freno.</t>
  </si>
  <si>
    <t>11.2.2. Bomba de infusión por camilla.</t>
  </si>
  <si>
    <t>11.2.3. Sistema de infusión rápida de líquldos.</t>
  </si>
  <si>
    <t>10.Cumple con los criterios que le sean aplicables de todos los servicios y adicionalmente, cuenta con:</t>
  </si>
  <si>
    <t>11.2.4. Sistema de calentamiento de líquidos y sangre si aplica.</t>
  </si>
  <si>
    <t>11.2.5. Monitor de signos vitales con accesorios adultos o pediátricos según la oferta, que cuente mínimo con:</t>
  </si>
  <si>
    <t>11.2.5.1 Trazado  electrocardiográfico</t>
  </si>
  <si>
    <t>11.2.5.2. Presión no invasiva</t>
  </si>
  <si>
    <t>10.1.Oxígeno medicinal, cuando lo requiera de acuerdo con la información documentada en el estándar de procesos prioritarios.</t>
  </si>
  <si>
    <t>11.2.5.4.Temperatura</t>
  </si>
  <si>
    <t>11.2.5.5. Batería</t>
  </si>
  <si>
    <t>11.2.6. Carro de paro</t>
  </si>
  <si>
    <t>11.2.7. Oxigeno  medicinal,  el cual  puede  ser  suministrado  mediante  salida  de  oxígeno medicinal o mediante oxígeno medicinal portátil.</t>
  </si>
  <si>
    <t>10.2. Medicamentos,  dispositivos  médicos  e  insumos  requeridos  para  los  procedimientos   de acuerdo con la información documentada en et estándar de procesos prioritarios.</t>
  </si>
  <si>
    <t>11.2.8.Succión, el cual puede ser suministrado mediante vacío o aspirador.</t>
  </si>
  <si>
    <t>11.3. Disponibilidad en el servicio de</t>
  </si>
  <si>
    <t>11.3.1. Equipo de gases arteriales.</t>
  </si>
  <si>
    <t>11.3.2. Electrocardiógrafo.</t>
  </si>
  <si>
    <t>HCA_MD</t>
  </si>
  <si>
    <t>Modalidades intramural, telemedícina - prestador remisor</t>
  </si>
  <si>
    <t>13. Cumple con los criterios que le sean aplicables de todos los servicios y adicionalmente cuenta con: Oxígeno medicinal en ta sala de hemodinamia e intervencionismo y en la sala de recuperación.</t>
  </si>
  <si>
    <t>HCA_PP</t>
  </si>
  <si>
    <t>15.  Cumple con los criterios que le sean aplicables de todos los servicios y adicionalmente, cuenta con la siguiente información documentada:</t>
  </si>
  <si>
    <t>DXVASC_PP</t>
  </si>
  <si>
    <t>15.1. Realización y supervisión de tos procedimientos diagnósticos y de tratamiento.</t>
  </si>
  <si>
    <t>12.Cumple con los criterios que le sean aplicables de todos los servicios y adicionalmente cuenta con la siguiente información documentada:</t>
  </si>
  <si>
    <t>15.2. Instrucciones a los pacientes sobre la preparación de los procedimientos diagnósticos y de tratamiento.</t>
  </si>
  <si>
    <t>15.3.   Acciones para evitar el efecto nocivo de las radiaciones para los pacientes, el personal, los visitantes y el público en general.</t>
  </si>
  <si>
    <t>Modalidad tefemedicina - prestador de referencia</t>
  </si>
  <si>
    <t>16. Cumple con los criterios que le sean aplicables de todos los servicios</t>
  </si>
  <si>
    <t>12.1. Recuperación del paciente cuando el procedimiento lo requiera.</t>
  </si>
  <si>
    <t>HCA_HCR</t>
  </si>
  <si>
    <t>17. Cumple con los criterios que le sean aplicables de todos los servicios y adicionalmente cuenta con los siguientes registros:</t>
  </si>
  <si>
    <t>17.1.  Registro de tiempo de exposición</t>
  </si>
  <si>
    <t>17.2. Número de exposiciones, que incluya el nombre del paciente y nombre del estudio realizado</t>
  </si>
  <si>
    <t>12.2. Oxígeno medicinal cuando el procedimiento lo requiera.</t>
  </si>
  <si>
    <t>17.3. Dosis de radiación expresadas en unidades según la tecnología del equipo.</t>
  </si>
  <si>
    <t>17.4.  Control de calidad de los equipos generadores de radiación ionizante.</t>
  </si>
  <si>
    <t>Modalidad telemedicína - prestador de referencia</t>
  </si>
  <si>
    <t>12.3. Medicamentos, dispositivos médicos e insumos en los procedimientos que se realicen.</t>
  </si>
  <si>
    <t>HCA_INT</t>
  </si>
  <si>
    <t>Modalidades  intramural</t>
  </si>
  <si>
    <t>12.4. Dotación en los procedimientos que se realicen.</t>
  </si>
  <si>
    <t>19. Cumple con los criterios que le sean aplicables de todos los servicios y adicionalmente cuenta con:</t>
  </si>
  <si>
    <t>19.1.  Servicio de hospitalización.</t>
  </si>
  <si>
    <t>12.5. Procedimientos en los que se requiere la disponibilidad del transporte asistencial de
pacientes.</t>
  </si>
  <si>
    <t>19.2.  Servicio de cuidado intensivo.</t>
  </si>
  <si>
    <t>19.3.  Servicio de cirugía, que incluya las diferentes especialidades habilitadas, según el tipo de intervencionismo  realizado.</t>
  </si>
  <si>
    <t>19.4. Servicio de gestión pre transfusional.</t>
  </si>
  <si>
    <t>19.5. Servicio  farmacéutico.</t>
  </si>
  <si>
    <t>Modalidad telemedicina - prestador remisor - prestador de referencia</t>
  </si>
  <si>
    <t>20.  No aplica.</t>
  </si>
  <si>
    <t>13.  Cumple con los criterios que le sean aplicables de todos los servicios.</t>
  </si>
  <si>
    <t>DXVASC_HCR</t>
  </si>
  <si>
    <t>Modalidades intramural. tefemedicina - prestador remisor - prestador de referencia</t>
  </si>
  <si>
    <t xml:space="preserve">14. Cumple con los criterios que le sean aplicables de todos los servicios. </t>
  </si>
  <si>
    <t>DXVAC_INT</t>
  </si>
  <si>
    <t>Modalidades intramural.</t>
  </si>
  <si>
    <t>15. Cumple  con  los  criterios  que  le  sean  aplicables  de  todos  los  servicios  y  adicionalmente disponibilidad de:</t>
  </si>
  <si>
    <t>Servicio de transporte asistencial cuando lo requiera de acuerdo con la información documentada en el esténdar de procesos prioritarios.</t>
  </si>
  <si>
    <t>Modalidad tefemedicina - prestador remisor - prestador de referencia</t>
  </si>
  <si>
    <t>16.	No aplica.</t>
  </si>
  <si>
    <t>Servicio de Gestión Pre-Trasfusional</t>
  </si>
  <si>
    <t>GPT_TH</t>
  </si>
  <si>
    <t>1.   Cumple con los criterios que le sean aplicables de todos los servicios y adicionalmente, cuando el servicio de gestión pre- transfusional sea interdependiente de:</t>
  </si>
  <si>
    <t>Servicios de salud de alta complejidad:</t>
  </si>
  <si>
    <t>1.1 Cuenta con profesional de bacteriología.</t>
  </si>
  <si>
    <t>Servicios de salud de baja y mediana complejidad:</t>
  </si>
  <si>
    <t>1.2. Disponibilidad de profesional de bacteriología.</t>
  </si>
  <si>
    <t>2. El profesional de bacteriología cuenta con constancia de asistencia en las acciones de formación continua en el manejo de la gestión pre transfusional.</t>
  </si>
  <si>
    <t>GPT_INF</t>
  </si>
  <si>
    <t>3. Cumple con los criterios que le sean aplicables de todos los servicios y adicionalmente.</t>
  </si>
  <si>
    <t>4. Cuenta con:</t>
  </si>
  <si>
    <t>4.1 Área para recepción, información y entrega de componentes sanguíneos.</t>
  </si>
  <si>
    <t>Servicio de Toma de Muestras de Laboratorio Clinico</t>
  </si>
  <si>
    <t>4.2.1. Lavamanos.</t>
  </si>
  <si>
    <t>4.2.2. Mesón de trabajo.</t>
  </si>
  <si>
    <t>TMLC_TH</t>
  </si>
  <si>
    <t>4.2.3. Poceta, cuando la requiera, según los procedimientos que documente en el estándar de procesos prioritarios.</t>
  </si>
  <si>
    <t>4.2.4. Área para refrigeración y congelación.</t>
  </si>
  <si>
    <t>GPT_DOT</t>
  </si>
  <si>
    <r>
      <t xml:space="preserve">5.  Cumple con los criterios que le sean aplicables de todos los servicios y adicionalmente </t>
    </r>
    <r>
      <rPr>
        <b/>
        <sz val="11"/>
        <rFont val="Calibri"/>
      </rPr>
      <t>cuenta con</t>
    </r>
  </si>
  <si>
    <t>5.1.  Nevera o depósito frío para el almacenamiento de sangre o sus componentes con sistema de control de temperatura entre 1ºC y 6ºC y alarma audible o sistema de monitoreo que alerte cambios próximos al limite en que la sangre o sus componentes puedan deteriorarse.</t>
  </si>
  <si>
    <t>5.2.   Equipo para descongelar plasma cuando se requiera, con sistema de control de temperatura</t>
  </si>
  <si>
    <t>Profesional de bacteriología o auxiliar de laboratorio clínico o auxiliar de enfermería.</t>
  </si>
  <si>
    <t>5.3.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</si>
  <si>
    <t>5.4.  Nevera para el almacenamiento  de sueros y  reactivos con termómetro  para control de temperatura de 2 ºC a 8 ºC</t>
  </si>
  <si>
    <t>Profesional de bacteriología quien realiza la supervisión cuando la toma de muestras es realizada por el auxiliar.</t>
  </si>
  <si>
    <t>5.5. Pipetas automáticas.</t>
  </si>
  <si>
    <t>TMLC_INF</t>
  </si>
  <si>
    <t>5.6.  Centrifuga para la realización de pruebas pre transfusionales de acuerdo con la metodologia empleada.</t>
  </si>
  <si>
    <t>5.7. Agitador o retador de plaquetas, cuando se requiera, con sistema de control de temperatura entre 2DºC y 24ºC</t>
  </si>
  <si>
    <t>3. Cumple con los criterios que le sean aplicables de todos los servicios y adicionalmente,</t>
  </si>
  <si>
    <t>5.8. Incubadora para la realización de pruebas pre transfusionales, de acuerdo con la metodología empleada.</t>
  </si>
  <si>
    <t>5.9.  Lector de pruebas pre transfusionales cuando se requiera, de acuerdo con la metodología empleada</t>
  </si>
  <si>
    <t>4.1. Área para recepción de muestras, información y entrega de resultados.</t>
  </si>
  <si>
    <t xml:space="preserve">5.10. Nevera para transporte de componentes sanguíneos, que garantice la cadena de fría. </t>
  </si>
  <si>
    <t>4.2. Cubículo para la toma de muestras.</t>
  </si>
  <si>
    <t>GPT_MD</t>
  </si>
  <si>
    <t>4.3. Ambiente para la toma de muestras especiales cuando lo oferte, cuenta con unidad sanitaria y perchero (si el procedimiento lo indica).</t>
  </si>
  <si>
    <r>
      <t xml:space="preserve">6. Cumple con los criterios que le sean aplicables de todos los servicios y adicionalmente </t>
    </r>
    <r>
      <rPr>
        <b/>
        <sz val="11"/>
        <rFont val="Calibri"/>
      </rPr>
      <t>cuenta con:</t>
    </r>
  </si>
  <si>
    <t>4.4. Lavamanos.</t>
  </si>
  <si>
    <t>Convenio o contrato escrito vigente con un banco de sangre certificado por la autoridad competente para e1 suministro de componentes sanguíneos.</t>
  </si>
  <si>
    <t>4.5. Área de preparación, embalaje y remisión de las muestras que cuenta con:</t>
  </si>
  <si>
    <t>GPT_PP</t>
  </si>
  <si>
    <t>7. Cumple con los criterios que le sean aplicables de todos los servicios y adicionalmente. cuenta con la siguiente información documentada:</t>
  </si>
  <si>
    <t>7.1. Procedimientos técnicos realizados en el servicio.</t>
  </si>
  <si>
    <t>4.5.1. Mesón de trabajo, con poceta cuando ésta se requiera.</t>
  </si>
  <si>
    <t>7.2.  Manejo de inventarios de sangre y componentes sanguíneos, incluyendo mecanismos de respuesta ante situaciones de riesgo de emergencia o desastre.</t>
  </si>
  <si>
    <t>7.3. Recepción,  información, condiciones de  almacenamiento y  entrega  de  ta  sangre  y  los componentes sanguíneos.</t>
  </si>
  <si>
    <t>5.1. Sala de espera.</t>
  </si>
  <si>
    <t>7.4.  Programa de control de calidad interno.</t>
  </si>
  <si>
    <t>5.2. Unidades sanitarias discriminadas por sexo.</t>
  </si>
  <si>
    <t>7.5.  Programa de control de calidad externo.</t>
  </si>
  <si>
    <t>7.6.  Análisis de tos reportes del control de calidad y toma de medidas preventivas y correctivas.</t>
  </si>
  <si>
    <t>6. Cumple con los criterios que le sean aplicables de todos los servicios</t>
  </si>
  <si>
    <t>7.7. Limpieza y desinfección del material que se utilice en el procesamiento de las muestras. cuando aplique.</t>
  </si>
  <si>
    <t>TMLC_DOT</t>
  </si>
  <si>
    <t xml:space="preserve">7.8. Almacenamiento de muestras (seroteca). </t>
  </si>
  <si>
    <t>7. Cumple con los criterios que le sean aplicables de todos los servicios y adicionalmente cuenta con:</t>
  </si>
  <si>
    <t>GPT_HCR</t>
  </si>
  <si>
    <t>8.   Cumple con los criterios que le sean aplicables de todos los servicios y adicionalmente cuenta con los siguientes registros:</t>
  </si>
  <si>
    <t>8.1. Solicitud de reserva de sangre y sus componentes.</t>
  </si>
  <si>
    <t>Equipos biomédicos necesarios, según las muestras que se tomen, de acuerdo con lo documentado en el estándar de procesos prioritarios.</t>
  </si>
  <si>
    <t>8.2. Resultados de cada una de las pruebas realizadas en el servicio.</t>
  </si>
  <si>
    <t>TMLC_MED</t>
  </si>
  <si>
    <t>8.3. Entrega de sangre y sus componentes a los servicios solicitantes.</t>
  </si>
  <si>
    <t>8.4. Control de calidad interno y externo</t>
  </si>
  <si>
    <t>Medicamentos, dispositivos médicos e insumos requeridos para la toma de las muestras, de acuerdo con lo documentado en el estándar de procesos prioritarios.</t>
  </si>
  <si>
    <t>8.5. Entrega  para  incineración  de  restos  de  transfusión  y  los  componentes   sanguíneos descartados.</t>
  </si>
  <si>
    <t>TMLC_PP</t>
  </si>
  <si>
    <t>8.6. Registros  que  aseguren  la  trazabilidad  de  los  componentes  sanguíneos,  desde  su consecución hasta la entrega para la transfusión a los servicios solicitantes.</t>
  </si>
  <si>
    <t>GPT_INT</t>
  </si>
  <si>
    <t>9.  No aplica.</t>
  </si>
  <si>
    <t>9. Cumple con los criterios que le sean aplicables de todos los servicios y adicionalmente, cuenta con la siguiente información documentada:</t>
  </si>
  <si>
    <t>9.1. Toma, recepción, identificación, transporte, conservación, embalaje y remisión de las muestras.</t>
  </si>
  <si>
    <t>9.2. Entrega de resultados.</t>
  </si>
  <si>
    <t>9.3. Supervisión de la toma de muestras cuando sea realizada por los auxiliares.</t>
  </si>
  <si>
    <t>9.4. Procedimiento y condiciones para la toma de muestras en la modalidad extramural cuando se realicen.</t>
  </si>
  <si>
    <t>TM_HCR</t>
  </si>
  <si>
    <t>10. Cumple con los criterios que le sean aplicables de todos los servicios y adicionalmente cuenta con:</t>
  </si>
  <si>
    <t>10.1. Registro de pacientes, muestras tomadas, exámenes solicitados y muestras remitidas.</t>
  </si>
  <si>
    <t>10.2. Registro de los resultados de los exámenes remitidos. Los resultados de los exámenes deben ser entregados al paciente con el nombre del laboratorio clínico y la persona que los realizó.</t>
  </si>
  <si>
    <t>10.3. Contrato o convenio escrito con el o los laboratorios que realizan el procesamiento de las muestras. Cuando se trate de sedes de un mismo prestador no requiere convenio o contrato.</t>
  </si>
  <si>
    <t>10.4. Contrato o convenio escrito con el servicio de patología cuando se recepcione fragmentos de tejidos, órganos (biopsias) y material citológico de origen humano para su estudio. Cuando se trate de sedes de un mismo prestador no requiere convenio o contrato.</t>
  </si>
  <si>
    <t>TM_INT</t>
  </si>
  <si>
    <t>11. Cumple con los criterios que le sean aplicables de todos los servicios y adicionalmente disponibilidad de:</t>
  </si>
  <si>
    <t>Servicio de laboratorio clínico.</t>
  </si>
  <si>
    <t>Servicio de Laboratorio Clinico</t>
  </si>
  <si>
    <t>LC_TH</t>
  </si>
  <si>
    <t>Modalidades intramural, extramural unidad móvil, jornada de salud y telemedicina - prestador remisor.</t>
  </si>
  <si>
    <t>1.1. Cuenta con:</t>
  </si>
  <si>
    <t>1.1.1. Bacteriólogo (a).</t>
  </si>
  <si>
    <r>
      <t xml:space="preserve">1.1.2. Talento humano profesional que </t>
    </r>
    <r>
      <rPr>
        <b/>
        <sz val="11"/>
        <rFont val="Calibri"/>
      </rPr>
      <t>cuenta con</t>
    </r>
    <r>
      <rPr>
        <sz val="11"/>
        <color rgb="FF000000"/>
        <rFont val="Calibri"/>
      </rPr>
      <t xml:space="preserve"> constancia de asistencia en las acciones de formación continua en las actividades relacionadas con el laboratorio clínico, cuando se requiera.</t>
    </r>
  </si>
  <si>
    <t>1.1.3. Auxiliar(es) de laboratorio clínico o de enfermería, cuando se requiera.</t>
  </si>
  <si>
    <r>
      <t xml:space="preserve">1.1.4. Talento humano que </t>
    </r>
    <r>
      <rPr>
        <b/>
        <sz val="11"/>
        <rFont val="Calibri"/>
      </rPr>
      <t>cuenta con</t>
    </r>
    <r>
      <rPr>
        <sz val="11"/>
        <color rgb="FF000000"/>
        <rFont val="Calibri"/>
      </rPr>
      <t xml:space="preserve"> constancia de asistencia en las acciones de formación continua para el desarrollo de los programas para diagnóstico y control de enfermedades transmitidas por vectores, cuando se requiera.</t>
    </r>
  </si>
  <si>
    <r>
      <rPr>
        <b/>
        <sz val="11"/>
        <rFont val="Calibri"/>
      </rPr>
      <t>2. Disponibilidad</t>
    </r>
    <r>
      <rPr>
        <sz val="11"/>
        <color rgb="FF000000"/>
        <rFont val="Calibri"/>
      </rPr>
      <t xml:space="preserve"> de bacteriólogo en zonas dispersas con permanencia de acuerdo con lo definido por el prestador de servicios de salud en el estándar de procesos prioritarios.</t>
    </r>
  </si>
  <si>
    <t>3. Cuando se realicen pruebas de inmunología para trasplantes, el profesional de bacteriología cuenta con constancia de asistencia en las acciones de formación continua en la realización de dichas pruebas.</t>
  </si>
  <si>
    <r>
      <t xml:space="preserve">4. Cuando se realicen controles de calidad a las “pruebas en el punto de atención del paciente - (Point of Care Testing - POCT)” a otros servicios de salud que hacen uso de estas pruebas, el/la bacteriólogo (a) </t>
    </r>
    <r>
      <rPr>
        <b/>
        <sz val="11"/>
        <rFont val="Calibri"/>
      </rPr>
      <t>cuenta con</t>
    </r>
    <r>
      <rPr>
        <sz val="11"/>
        <color rgb="FF000000"/>
        <rFont val="Calibri"/>
      </rPr>
      <t xml:space="preserve"> constancia de asistencia en las acciones de formación continua en el manejo de las mismas.</t>
    </r>
  </si>
  <si>
    <t>5. Cumple con los criterios que le sean aplicables de todos los servicios.</t>
  </si>
  <si>
    <t>6. El Profesional de bacteriología, puede hacer uso de la categoría telexperticia sincrónica o asincrónica entre profesionales de la salud de acuerdo con lo definido por el prestador de servicios de salud en el estándar de procesos prioritarios.</t>
  </si>
  <si>
    <t>LC_INF</t>
  </si>
  <si>
    <t>7. Cumple con los criterios definidos para todos los servicios.</t>
  </si>
  <si>
    <t>8. Cuenta con:</t>
  </si>
  <si>
    <t>8.1. Área para recepción de muestras, información y entrega de resultados.</t>
  </si>
  <si>
    <t>8.2. Ambiente(s) técnico(s) de procedimientos que cuenta con:</t>
  </si>
  <si>
    <t>8.2.1. Mesón de trabajo, con poceta cuando ésta se requiera.</t>
  </si>
  <si>
    <t>8.2.2. Ducha manual o lavaojos que puede ser compartida entre los ambientes técnicos.</t>
  </si>
  <si>
    <t>8.2.3. Área para neveras o cuarto frío.</t>
  </si>
  <si>
    <t>8.2.4. Lavamanos.</t>
  </si>
  <si>
    <t>8.2.5. Ambiente oscuro, cuando se requiera.</t>
  </si>
  <si>
    <t>8.3. Área o ambiente para el almacenamiento de materiales, insumos y reactivos.</t>
  </si>
  <si>
    <t>8.4. Ambiente para la toma de muestras especiales (cuando las realice), que cumple con los criterios definidos para el servicio de toma de muestras de laboratorio clínico.</t>
  </si>
  <si>
    <t>8.5. Cubículo para toma de muestras, (cuando se realice), que cumple con los criterios definidos para el servicio de toma de muestras de laboratorio clínico.</t>
  </si>
  <si>
    <t>9.1. Sala de espera.</t>
  </si>
  <si>
    <t>9.2. Unidades sanitarias discriminadas por sexo o de uso mixto para profesional independiente.</t>
  </si>
  <si>
    <t>Modalidades extramural unidad móvil y jornada de salud</t>
  </si>
  <si>
    <t>LC_DOT</t>
  </si>
  <si>
    <t>Modalidades intramural, extramural unidad móvil, jornada de salud, telemedicina - prestador remisor.</t>
  </si>
  <si>
    <t>12.1. Equipos biomédicos manuales, semi-automatizados o automatizados para los procedimientos que realice.</t>
  </si>
  <si>
    <t>12.2. Cabina de bioseguridad, si procesa muestras para el análisis de bacterias anaerobias, micosis subcutáneas o profundas y pruebas por técnica de biología molecular, cuando se requiera.</t>
  </si>
  <si>
    <t>12.3. Microscopio para toma e interpretación de pruebas para enfermedades transmitidas por vectores en zonas rurales, zonas especiales de dispersión geográfica y endémica.</t>
  </si>
  <si>
    <t>LC_MD</t>
  </si>
  <si>
    <t>14. Cumple con los criterios que le sean aplicables de todos los servicios y adicionalmente cuenta con:</t>
  </si>
  <si>
    <t>Medicamentos, dispositivos médicos e insumos requeridos para el procesamiento de las muestras, de acuerdo con las pruebas que realice.</t>
  </si>
  <si>
    <t>LC_PP</t>
  </si>
  <si>
    <r>
      <t xml:space="preserve">16. Cumple con los criterios que le sean aplicables de todos los servicios y adicionalmente </t>
    </r>
    <r>
      <rPr>
        <b/>
        <sz val="11"/>
        <rFont val="Calibri"/>
      </rPr>
      <t>cuenta con</t>
    </r>
    <r>
      <rPr>
        <sz val="11"/>
        <color rgb="FF000000"/>
        <rFont val="Calibri"/>
      </rPr>
      <t xml:space="preserve"> la siguiente información documentada:</t>
    </r>
  </si>
  <si>
    <t>16.1. Programa de control de calidad interno y externo, que contemple las pruebas realizadas.</t>
  </si>
  <si>
    <t>16.2. Validación secundaria o verificación.</t>
  </si>
  <si>
    <t>16.3. Análisis de los reportes del control de calidad y toma de medidas preventivas y correctivas.</t>
  </si>
  <si>
    <t>16.4. Toma, identificación, transporte, conservación, embalaje y remisión de las muestras, cuando aplique.</t>
  </si>
  <si>
    <t>16.5. Entrega de resultados.</t>
  </si>
  <si>
    <t>16.6. Supervisión de la toma de muestras cuando sea realizada por los auxiliares, cuando aplique.</t>
  </si>
  <si>
    <t>16.7. Limpieza y desinfección del material que se utilice en el procesamiento de las muestras, cuando aplique.</t>
  </si>
  <si>
    <t>16.8. Control de calidad de las “pruebas en el punto de atención del paciente - (point of care testing -POCT)”, cuando aplique.</t>
  </si>
  <si>
    <t>16.9. Procedimiento y condiciones para la toma de muestras, que incluya los equipos biomédicos y medicamentos, dispositivos médicos e insumos requeridos, según las muestras que se tomen.</t>
  </si>
  <si>
    <t>17. Cumple con los criterios que le sean aplicables de todos los servicios</t>
  </si>
  <si>
    <t>LC_HCR</t>
  </si>
  <si>
    <t>Modalidades intramural, extramural unidad móvil, jornada de salud, telemedicina - prestador remisor</t>
  </si>
  <si>
    <t>18. Cumple con los criterios que le sean aplicables de todos los servicios y adicionalmente cuenta con:</t>
  </si>
  <si>
    <t>18.1. Registro de pacientes, exámenes solicitados y pruebas realizadas.</t>
  </si>
  <si>
    <t>18.2. Registro de muestras tomadas y muestras remitidas, cuando aplique.</t>
  </si>
  <si>
    <t>18.3. Registro de validación secundaria o verificación.</t>
  </si>
  <si>
    <t>18.4. Formato de reporte de resultados.</t>
  </si>
  <si>
    <t>18.5. Registro de resultados de los exámenes remitidos. Los resultados de los exámenes deben ser entregados al paciente con el nombre del laboratorio clínico y la persona que los realizó.</t>
  </si>
  <si>
    <t>18.6. Registro de control de calidad interno y externo.</t>
  </si>
  <si>
    <t>18.7. Registro de control de calidad de las “pruebas en el punto de atención del paciente - (point of care testing - POCT)”, cuando aplique.</t>
  </si>
  <si>
    <t>18.8.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</si>
  <si>
    <t>18.9.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</si>
  <si>
    <t>LC_INT</t>
  </si>
  <si>
    <t>Modalidades intramural, extramural unidad móvil, jornada de salud, telemedicina - prestador remisor – prestador de referencia</t>
  </si>
  <si>
    <t>20. No aplica.</t>
  </si>
  <si>
    <t>Servicio de Toma de Muestras de Cuello Uterino y Ginecológicas</t>
  </si>
  <si>
    <t>TM_CU_TH</t>
  </si>
  <si>
    <t>Modalidades intramural, extramural unidad móvil. Jornada de salud y domiciliaria</t>
  </si>
  <si>
    <t>Servicio de Laboratorio de Citologías Cervico-Uterinas</t>
  </si>
  <si>
    <t xml:space="preserve">1. Cumple con los criterios que le sean aplicables de todos los servicios y adicionalmente cuenta con: </t>
  </si>
  <si>
    <t>LCU_TH</t>
  </si>
  <si>
    <t>Estándar de talento humano</t>
  </si>
  <si>
    <t>1.1. Profesional de la medicina o profesional de la enfermería o profesional de bacteriología o citohistotecnólogo (a) o histocitotecnólogo (a)</t>
  </si>
  <si>
    <t>1.2. El personal que realice toma de citologías cuenta con constancia de asistencia en las acciones de formación continua en esta actividad.</t>
  </si>
  <si>
    <t>Modalidad intramuraf, telemedicina  prestador remisor</t>
  </si>
  <si>
    <t>1.3. La técnica VIA VILI solo podrá ser realizada por profesional de la medicina o profesional en enfermería</t>
  </si>
  <si>
    <t>En zonas especiales de dispersión geográfica:</t>
  </si>
  <si>
    <r>
      <t xml:space="preserve">1. Cumple con los criterios definidos para todos los servicios y adicionalmente, </t>
    </r>
    <r>
      <rPr>
        <b/>
        <sz val="11"/>
        <rFont val="Calibri"/>
      </rPr>
      <t>cuenta con:</t>
    </r>
  </si>
  <si>
    <t>2. Cuenta con:</t>
  </si>
  <si>
    <t>2.1. Auxiliar de enfermería o profesional de la medicina o profesional de la enfermería o profesional de bacteriología o citohistotecnólogo (a) o histocitotecnólogo (a).</t>
  </si>
  <si>
    <t>1.1. Citotecnólogo o citohistotecnólogo o citólogo o histocitotecnólogo.</t>
  </si>
  <si>
    <t>2.2. El personal que realice toma de citologías cuenta con constancia de asistencia en las acciones de formación continua para esta actividad.</t>
  </si>
  <si>
    <t>TM_CU_INF</t>
  </si>
  <si>
    <t>1. Disponibilidad de profesional de ta medicina especialista en patología.</t>
  </si>
  <si>
    <t>3. Cumple con los criterios que le sean aplicables de todos los servicios y adicionalmente cuenta con:</t>
  </si>
  <si>
    <t>3.1. Ambiente para la toma de muestras especiales, con unidad sanitaria y perchero.</t>
  </si>
  <si>
    <t>3. Cumple con los criterios definidos para todos los servicios.</t>
  </si>
  <si>
    <t>4. El Profesional de la medicina especialista en patología, puede realizar la disponibilidad en la categoría telexperticia sincrónica o asincrónica, entre profesionales de !a salud de acuerdo con lo definido por el prestador de servicios de salud en el estándar de procesos prioritarios.</t>
  </si>
  <si>
    <t>3.2. Área de información y entrega de resultados.</t>
  </si>
  <si>
    <t>LCU_INF</t>
  </si>
  <si>
    <t>Modalidades intramuraf, tefemedicína -prestador remisor</t>
  </si>
  <si>
    <t>3.3. Área o ambiente de preparación, embalaje y remisión de las muestras con mesón de trabajo.</t>
  </si>
  <si>
    <t>5. Cumple con los criterios que le sean aplicables de todos los servicios y adicionalmente,</t>
  </si>
  <si>
    <t>3.4. Área o ambiente para el almacenamiento de materiales, insumos y reactivos.</t>
  </si>
  <si>
    <t>6. Cuenta con:</t>
  </si>
  <si>
    <t>4. Disponibilidad de:</t>
  </si>
  <si>
    <t>4.1. sala de espera</t>
  </si>
  <si>
    <t>6.1. Area para recepción de muestras, información y entrega de resultados, con superticie de trabajo</t>
  </si>
  <si>
    <t>4.2. Unidades sanitarias discriminadas por sexo.</t>
  </si>
  <si>
    <t>6.2. Ambiente técnico de procedimientos que cuenta con:</t>
  </si>
  <si>
    <t>Modalidad extramural unidad móvil y jornada de salud</t>
  </si>
  <si>
    <t>5. Cumple con los criterios que le sean aplicables de todos los servicios</t>
  </si>
  <si>
    <t>6.2.1. Mesón de trabajo.</t>
  </si>
  <si>
    <t>TM_CU_DOT</t>
  </si>
  <si>
    <t xml:space="preserve">6.2.2. Poceta, cuando la requiera, según los procedimientos que documente. </t>
  </si>
  <si>
    <t>6.2.3.Lavamanos.</t>
  </si>
  <si>
    <t>6.1. Camilla con estribos.</t>
  </si>
  <si>
    <t>6.2. Lámpara de cuello de cisne o su equivalente.</t>
  </si>
  <si>
    <t>Modalidad de telemedicina - prestador de referencia</t>
  </si>
  <si>
    <t>6.3. Escalerilla.</t>
  </si>
  <si>
    <t>TM_CU_MD</t>
  </si>
  <si>
    <t>LCU_DOT</t>
  </si>
  <si>
    <t>Modalidades intramural y tefemedícína - prestador remisor</t>
  </si>
  <si>
    <t xml:space="preserve">8. Cumple con los criterios que le sean aplicables de todos los servicios y adicionalmente cuenta con·
</t>
  </si>
  <si>
    <t>7.1. Espéculos de diferentes tamaños desechables o reutilizables siempre y cuando se garantice el proceso de esterilización.</t>
  </si>
  <si>
    <t>8. 1. Microscopio binocular.</t>
  </si>
  <si>
    <t>7.2. Bata para el paciente.</t>
  </si>
  <si>
    <t>7.3. Fijador para células, cuando se requiera</t>
  </si>
  <si>
    <t>7.4. Cepillo endocervical y espátula, desechables, cuando se requiera.</t>
  </si>
  <si>
    <t>8.2. Elementos para archivar láminas.</t>
  </si>
  <si>
    <t>7.5. Lámina portaobjetos de único uso con área de rotulado, cuando se requiera</t>
  </si>
  <si>
    <t>9. Adicional a lo anterior, para la modalidad intramural cuenta con:</t>
  </si>
  <si>
    <t>7.6. Elemento para rotulación de láminas portaobjetos, cuando se requiera.</t>
  </si>
  <si>
    <t>Batería para coloración.</t>
  </si>
  <si>
    <t>7.7. Kits de toma de pruebas de ADN – VPH, cuando éstas se realicen.</t>
  </si>
  <si>
    <t>7.8. Soporte para fijación de muestras.</t>
  </si>
  <si>
    <t>7.9. Insumos para realización de citología base líquida, cuando se realice.</t>
  </si>
  <si>
    <t>7.10. Insumos para técnicas de inspección visual: ácido acético y lugol, cuando se realice.</t>
  </si>
  <si>
    <t xml:space="preserve">10.	Cumple con los criterios que le sean aplicables de tocios los servicios. </t>
  </si>
  <si>
    <t>TM_CU_PP</t>
  </si>
  <si>
    <t>LCU_MD</t>
  </si>
  <si>
    <t>Modalidades intramural y telemedicina - prestador remisor - prestador de referencia</t>
  </si>
  <si>
    <t>8. Cumple con los criterios que le sean aplicables de todos los servicios y adicionalmente, cuenta con la siguiente información documentada:</t>
  </si>
  <si>
    <t>8.1. Toma, identificación, transporte, conservación, embalaje y remisión de las muestras.</t>
  </si>
  <si>
    <t xml:space="preserve">11.	Cumple con los criterios que le sean aplicables de todos los servicios. </t>
  </si>
  <si>
    <t>8.2. Toma de muestras de tejido del cuello del útero, pruebas ADN/VPH, técnicas de inspección visual y muestras ginecológicas cuando se oferte</t>
  </si>
  <si>
    <t>LCU_PP</t>
  </si>
  <si>
    <t>Modalidades intramural y tefemedicina - prestador remisor</t>
  </si>
  <si>
    <t>8.3. Preparación de fijador de células cuando se realice.</t>
  </si>
  <si>
    <t>8.4. Control de calidad.</t>
  </si>
  <si>
    <t>12. Cumple con los criterios que te sean aplicables de todos los servicios y adicionalmente cuenta con la siguiente información documentada:</t>
  </si>
  <si>
    <t>8.5. Entrega de resultados.</t>
  </si>
  <si>
    <t>12.1. Anfllisis de las muestras de citologla cervico-uterinas.</t>
  </si>
  <si>
    <t>TM_CU_HCR</t>
  </si>
  <si>
    <t>12.2. Control de calidad interno.</t>
  </si>
  <si>
    <t>9. Cumple con los criterios que le sean aplicables de todos los servicios y adicionalmente cuenta con los siguientes registros:</t>
  </si>
  <si>
    <t>12.3. Recepción, transporte, conservación, embalaje y remisión de muestras cuando se requiera.</t>
  </si>
  <si>
    <t>9.1. Pacientes y muestras tomadas.</t>
  </si>
  <si>
    <t>9.2. Muestras remitidas para su procesamiento.</t>
  </si>
  <si>
    <t>12.4. Entrega de resultados que incluya mecanismo de entrega oportuna de resultados positivos.</t>
  </si>
  <si>
    <t>9.3. Resultados de los análisis con el nombre del laboratorio que realizó el procesamiento o lectura de las muestras y de la persona que los realizó.</t>
  </si>
  <si>
    <t>12.5. Supervisión de la lectura de las citologias y su control de calidad por parte del profesional en medicina especializada en patologla.</t>
  </si>
  <si>
    <t>9.4. Análisis del control de calidad y de las medidas preventivas y correctivas</t>
  </si>
  <si>
    <t>TM_CU_INT</t>
  </si>
  <si>
    <t>12.6. Archivo de lflminas y resultados.</t>
  </si>
  <si>
    <t>10. Cumple con los criterios que le sean aplicables de todos los servicios y adicionalmente disponibilidad de laboratorio de citología cervico-uterinas o servicio de patología.</t>
  </si>
  <si>
    <t>13.        Cumple con los criterios que le sean aplicables de tocios los servicios</t>
  </si>
  <si>
    <t>LCU_HCR</t>
  </si>
  <si>
    <t>14.	Cumple con los criterios que le sean aplicables de todos los servicios y adicionalmente cuenta con los siguientes registros:</t>
  </si>
  <si>
    <t>14.1. Muestras recibidas.</t>
  </si>
  <si>
    <t>14.2.	Pruebas realizadas y sus resultados.</t>
  </si>
  <si>
    <t>14.3. Formato para reporte de resultados.</t>
  </si>
  <si>
    <t>14.4. Registro y análisis de control de calidad interno y toma de medidas preventivas y correctivo</t>
  </si>
  <si>
    <t xml:space="preserve">15. Cumple con los criterios que le sean aplicables de todos los servicios. </t>
  </si>
  <si>
    <t>LCU_INT</t>
  </si>
  <si>
    <t>Modalidades intramural y telemedicina - prestador remisor- prestador de referencia</t>
  </si>
  <si>
    <t>16. No aplica.</t>
  </si>
  <si>
    <t>Servicio de Laboratorio de Histotecnología</t>
  </si>
  <si>
    <t>LHT_TH</t>
  </si>
  <si>
    <t>1. Cumple con los criterios que le sean aplicables de todos tos servicios y adicionalmente cuenta con:</t>
  </si>
  <si>
    <t>1.1. Citotecnólogo o citohistotecnólogo o histocitotecnólogo o citólogo.</t>
  </si>
  <si>
    <t>LHT_INF</t>
  </si>
  <si>
    <t>2. Cumple con los criterios que le sean aplicables de todos los servicios y adicionalmente cuenta con</t>
  </si>
  <si>
    <t>2.1. Area para recepción de muestras</t>
  </si>
  <si>
    <t>2.2. Ambiente técnico de procedimientos que cuenta con:</t>
  </si>
  <si>
    <t xml:space="preserve">2.2.1.Ducha manual o lavaojos. </t>
  </si>
  <si>
    <t>2.2.2.Lavamanos.</t>
  </si>
  <si>
    <t>2.2.3. Mesón de trabajo</t>
  </si>
  <si>
    <t>2.2.4. Poceta, cuando la requiera, según los procedimientos documentados por el prestador de servicios de salud en el estándar de procesos prioritarios.</t>
  </si>
  <si>
    <t>2.3. Ambiente donde se realicen las coloraciones que cuenta con extractor de sustancias quimicas.</t>
  </si>
  <si>
    <t>2.4. Área o ambiente para el almacenamiento de materiales, insumos y reactivos.</t>
  </si>
  <si>
    <t>LHT_DOT</t>
  </si>
  <si>
    <t>3. Cumple con los criterios que le sean aplicables de todos tos servicios y adicionalmente cuenta con:</t>
  </si>
  <si>
    <t>3.1. Microscopio.</t>
  </si>
  <si>
    <t>3.2. Procesador de tejidos.</t>
  </si>
  <si>
    <t>3.3. Dispensador de parafina o estación de inclusión</t>
  </si>
  <si>
    <t>3.4. Baño de flotación.</t>
  </si>
  <si>
    <t>3.5. Micrótomo.</t>
  </si>
  <si>
    <t>3.6. Hamo.</t>
  </si>
  <si>
    <t>3.7. Batería para coloración.</t>
  </si>
  <si>
    <t>3.8. Nevera, cuando se requiera.</t>
  </si>
  <si>
    <t>LHT_MD</t>
  </si>
  <si>
    <t>4. Cumple con los criterios que le sean aplicables de todos los servicios.</t>
  </si>
  <si>
    <t>LHT_PP</t>
  </si>
  <si>
    <t>5. Cumple con los criterios que le sean aplicables de todos los servicios y adicionalmente cuenta con la siguiente información documentada:</t>
  </si>
  <si>
    <t>5.1.	Recepción de cortes y preparaciones citológicas</t>
  </si>
  <si>
    <t>5.2. Procedimientos técnicos para la preparación y montaje de tejidos de origen humano. que incluya los equipos biomédicos y dispositivos médicos e insumos requeridos.</t>
  </si>
  <si>
    <t>5.3. Control de calidad interno.</t>
  </si>
  <si>
    <t>5.4. Transporte, conservación.  embalaje y remisión de bloques de parafina,  láminas histológicas y citológicas al servicio de patolog!a.</t>
  </si>
  <si>
    <t>LHT_HCR</t>
  </si>
  <si>
    <t>6. Cumple con los criterios que le sean aplicables de todos los servicios y adicionalmente cuenta con los siguientes registros:</t>
  </si>
  <si>
    <t>6.1. Recepción de cortes y preparaciones citológicas</t>
  </si>
  <si>
    <t>6.2. Procedimientos  realizados</t>
  </si>
  <si>
    <t>6.3. Registro y análisis del control de calidad interno y toma de medidas preventivas y correctivas.</t>
  </si>
  <si>
    <t>6.4. Remisión de bloques de parafina, láminas histológicas y citológicas al servicio de patología</t>
  </si>
  <si>
    <t>6.5. Contrato o convenio escrito con el servicio de patologla o de consulla externa de patología.</t>
  </si>
  <si>
    <t>LHT_INT</t>
  </si>
  <si>
    <t>7.  No aplica.</t>
  </si>
  <si>
    <t>Servicio Laboratorio de Patologia</t>
  </si>
  <si>
    <t>LPT_TH</t>
  </si>
  <si>
    <t>1.1. profesional de la medicina  especialista en patología.</t>
  </si>
  <si>
    <t>2.Disponibilidad de  Histotecnólogo o citohistotecnólogo o Histocitotecnólogo o Citotecnólogo o Citólogo.</t>
  </si>
  <si>
    <t>4. El Profesional de la medicina especialista en patología puede hacer uso de la categoría telexperticia sincrónica o asincrónica entre profesionales de la salud de acuerdo con lo definido por el prestador de servicios de salud en el estándar de procesos prioritarios.</t>
  </si>
  <si>
    <t>LPT_INF</t>
  </si>
  <si>
    <t>Modalidades intramural y telemedicina - prestador remisor</t>
  </si>
  <si>
    <t>5. Cumple con los criterios definidos para todos los servicios y adicionalmente cuenta con:</t>
  </si>
  <si>
    <t>5.1.Área para recepción de muestras, información y entrega de resultados..</t>
  </si>
  <si>
    <t>5.2. Ambiente técnico de procedimientos que cuenta con:</t>
  </si>
  <si>
    <t>5.2.1.Area de histotecnologla, cuando se realice</t>
  </si>
  <si>
    <t>5.2.2.Area de microscopia.</t>
  </si>
  <si>
    <t>5.2.3. Ambiente donde se realicen las coloraciones que cuenta con extractor de sustancias químicas, cuando lo requiera</t>
  </si>
  <si>
    <t>5.2.4. Mesón de trabajo</t>
  </si>
  <si>
    <t>5.2.5. Poceta, cuando la requiera, según los procedimientos que documente en el estándar de procesos prioritarios.</t>
  </si>
  <si>
    <t>5.2.6. Ducha manual o lavaojos (Puede ser la misma del ambiente de macroscopia)</t>
  </si>
  <si>
    <t>5.2.7.Lavamanos</t>
  </si>
  <si>
    <t>5.3. Area o ambiente para el almacenamiento de materiales, insumos y reactivos.</t>
  </si>
  <si>
    <t>5.4. Disponibilidad de:</t>
  </si>
  <si>
    <t>5.4.1.Ambiente de macroscopía, con extractor de sustancias químicas que cuenta con mesón de trabajo con poceta y ducha manual o lavaojos.</t>
  </si>
  <si>
    <t>5.4.2.Área o ambiente para archivo de estudios patológicos.</t>
  </si>
  <si>
    <t xml:space="preserve">5.4.3.Area o ambiente para lectura de resultados. </t>
  </si>
  <si>
    <t>Servicio de Dialisis</t>
  </si>
  <si>
    <t>D_TH</t>
  </si>
  <si>
    <t>Modalidad lntramural - prestador remisor.</t>
  </si>
  <si>
    <t xml:space="preserve"> 1 1  Profesional de la medicina, que cuenta con constancia  de asistencia en las acciones de formación continua en el control de las complicaciones más frecuentes en el servicio y soporte
vital avanzado.
</t>
  </si>
  <si>
    <t>1.2. Profesional de la enfermeria que cuenta con constancia de asistencia en las acciones de fonnación continua en la atención del paciente en diálisis renal.</t>
  </si>
  <si>
    <t>LPT_DOT</t>
  </si>
  <si>
    <t>1.3. Auxiliar de enfermería que cuenta con constancja de asistencia en las acciones de formación continua en la atención del paciente en diálisis renal.</t>
  </si>
  <si>
    <t>7.Cumple con los criterios que le sean aplicables de todos los servicios y adicionalmente cuenta con·</t>
  </si>
  <si>
    <t>7.1. Microscopio.</t>
  </si>
  <si>
    <t>2.1. Profesional de la medicina especialista en nefrologla con permanencia durante los procedimienlos definidos por er prestador de servicios de salud en el estandar de procesos prioritarios.</t>
  </si>
  <si>
    <t>2.2. Profesional de la psicologla.</t>
  </si>
  <si>
    <t>2.3. Profesional de nutrición y dietética</t>
  </si>
  <si>
    <t>7.2.Material de disección</t>
  </si>
  <si>
    <t>2.4. Profesional de trabajo social.</t>
  </si>
  <si>
    <t>8. Adicionalmente cuenta con la siguiente dotación cuando la requiera:</t>
  </si>
  <si>
    <t>Modalidad extramural jornada de salud</t>
  </si>
  <si>
    <t>3. Cuenta con prescripción previa del nefrólogo y permanencia del profesional de la enfermería en la conexión, monitorización y desconexión del paciente.</t>
  </si>
  <si>
    <t>8.1. Procesador de tejidos.</t>
  </si>
  <si>
    <t>8.2. Micrótomo.</t>
  </si>
  <si>
    <t>8.3.  Baño de flotación.</t>
  </si>
  <si>
    <t>5. 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</si>
  <si>
    <t>8.4 Dispensador de parafina..</t>
  </si>
  <si>
    <t>D_ INF</t>
  </si>
  <si>
    <t>Modalidades intramural. tefemedicina - prestador remisor</t>
  </si>
  <si>
    <t>8.5 Batería para coloración..</t>
  </si>
  <si>
    <t>8.6. Horno</t>
  </si>
  <si>
    <t>8.7. Termo para nitrógeno</t>
  </si>
  <si>
    <t>6.1. Sala de espera con disponibilidad de unidades sanitarias discriminadas por sexo.</t>
  </si>
  <si>
    <t>8.8. Criostato, cuando se realicen biopslas por congelación.</t>
  </si>
  <si>
    <t>6.2. Sala de procedimientos.</t>
  </si>
  <si>
    <t>8.9. Elementos para archivar los resultados, !as láminas y los bloques de parafina.</t>
  </si>
  <si>
    <t>6.3. Consultorio.</t>
  </si>
  <si>
    <t>8.10. Nevera</t>
  </si>
  <si>
    <t>6.4. Ambiente o área para almacenamiento de dispositivos, insumos y materiales.</t>
  </si>
  <si>
    <t>Modalidad tefemedicina • prestador de referencia</t>
  </si>
  <si>
    <t>6.5. Área para lavado de fistulas, cuando se realice hemodiálisis.</t>
  </si>
  <si>
    <t>9. Cumple con los criterios definidos para todos los servicios.</t>
  </si>
  <si>
    <t>6.6. Ambiente para mantenimiento de máquinas.</t>
  </si>
  <si>
    <t>LPT_MD</t>
  </si>
  <si>
    <t>Modalidades intramural, telemedicina .prestador remisor - prestador de referencia</t>
  </si>
  <si>
    <t>6.7. Área para casilleros.</t>
  </si>
  <si>
    <t>6.8. Área para sillas de ruedas.</t>
  </si>
  <si>
    <t>6.9. Ambiente con planta de tratamiento de agua, cuando se realice hemodiálisis, de acuerdo con la tecnología.</t>
  </si>
  <si>
    <t>LPT_PP</t>
  </si>
  <si>
    <t>6.10. Ambiente de trabajo sucio.</t>
  </si>
  <si>
    <t>11.1. Estudio integral de fragmentos de tejido u órganos (biopsias) y material citológico de origen humano, que incluya los equipos biomédicos y dispositivos médicos e insumos requeridos</t>
  </si>
  <si>
    <t>7. La sala de hemodiálisis adicional a lo anterior cuenta con:</t>
  </si>
  <si>
    <t>7.1. Puesto de enfermería.</t>
  </si>
  <si>
    <t>11.2. Biopsias por congelación, cuando se realicen</t>
  </si>
  <si>
    <t>11.3 Analisis de control de calidad interno y toma de meidada preventivas y de mejora</t>
  </si>
  <si>
    <t>7.2. Ambiente o área de trabajo limpio.</t>
  </si>
  <si>
    <t>11.4 Recepción, transporte, conservación,  embalaje y remisión de muestras, cuando se requiera.</t>
  </si>
  <si>
    <t>11.5. Entrega de resultados que incluya mecanismo de entrega oportuna de resultados.</t>
  </si>
  <si>
    <t>7.4. Demarcación y barrera física que permita identificar el área de hemodiálisis para pacientes seropositivos con hepatitis B.</t>
  </si>
  <si>
    <t>11.6 Archivo de resultado, láminas y bloques de parafina</t>
  </si>
  <si>
    <t>7.5. Instalaciones hidráulicas y eléctricas por máquina de acuerdo con las indicaciones del fabricante.</t>
  </si>
  <si>
    <t>Modalidad telemedicina ·prestador de referencia</t>
  </si>
  <si>
    <t>La distribución de las máquinas de hemodiálisis dentro de la sala debe permitir movilización del talento humano, pacientes, usuarios y equipos biomédicos.</t>
  </si>
  <si>
    <t>12.        Cumple con los criterios que le sean aplicables de todos los servicios</t>
  </si>
  <si>
    <r>
      <t xml:space="preserve">8. Diálisis peritoneal, cumple con los criterios que le sean aplicables de todos los servicios y adicionalmente </t>
    </r>
    <r>
      <rPr>
        <b/>
        <sz val="11"/>
        <rFont val="Calibri"/>
      </rPr>
      <t>cuenta con:</t>
    </r>
  </si>
  <si>
    <t>LPT_HCR</t>
  </si>
  <si>
    <t>Estándar de historia clínica y registros</t>
  </si>
  <si>
    <t>Modalidades intramura/ y telemedicina ·prestador remisor</t>
  </si>
  <si>
    <t>8.1. Sala de espera con disponibilidad de unidades sanitarias discriminadas por sexo.</t>
  </si>
  <si>
    <t>13. Cumple con los criterios que le sean aplicables de todos los servicios y adicionalmente cuenta con los siguientes registros:</t>
  </si>
  <si>
    <t>8.2. Sala de procedimientos, no se exige adicional si cuenta con hemodiálisis en la oferta de la misma estructura.</t>
  </si>
  <si>
    <t>13.1. Muestras recibidas.</t>
  </si>
  <si>
    <t>8.3. Consultorio.</t>
  </si>
  <si>
    <t>13.2. Procedimientos realizados y sus resultados</t>
  </si>
  <si>
    <t>8.4. Ambiente o área para almacenamiento de dispositivos, insumos y materiales.</t>
  </si>
  <si>
    <t>13.3. Formato para reporte de resultados.</t>
  </si>
  <si>
    <t>8.5. Área para casilleros.</t>
  </si>
  <si>
    <t>13.4. Registro y análisis del control de calidad interno y toma de medidas preventivas y correctivas.</t>
  </si>
  <si>
    <t>8.6. Área para sillas de ruedas.</t>
  </si>
  <si>
    <t>13.5. Muestras remitidas, cuando se realice.</t>
  </si>
  <si>
    <t>8.7. Ambiente de trabajo sucio</t>
  </si>
  <si>
    <t>13.6. Contrato o convenio escrito con el laboratorio de Histotecnología o servicio de patologla, cuando lo requiera. Si el servicio de patología se encuentra en otro país, deberá contar con copia del documento que autorice el funcionamiento en dicho país.</t>
  </si>
  <si>
    <t>8.8. Ambiente de entrenamiento de diálisis peritoneal con dos lavamanos.</t>
  </si>
  <si>
    <t>8.9. Ambiente para recambio con área para inactivación de líquidos.</t>
  </si>
  <si>
    <t>14.	Cumple con los criterios que le sean aplicables de todos los servicios.</t>
  </si>
  <si>
    <t>LPT_INT</t>
  </si>
  <si>
    <t>9. Cumple con los criterios que le sean aplicables de todos los servicios</t>
  </si>
  <si>
    <t>Estándar de interdependencia</t>
  </si>
  <si>
    <t>D_DOT</t>
  </si>
  <si>
    <t>15. Disponibilidad de laboratorio de histotecnología cuando no realice los procedimientos técnicos para la preparación y montaje de tejidos y material citológico de origen humano.</t>
  </si>
  <si>
    <r>
      <t xml:space="preserve">10. Cumple con los criterios que le sean aplicables de todos los servicios y adicionalmente </t>
    </r>
    <r>
      <rPr>
        <b/>
        <sz val="11"/>
        <rFont val="Calibri"/>
      </rPr>
      <t>cuenta con:</t>
    </r>
  </si>
  <si>
    <t>10.1. Carro de paro</t>
  </si>
  <si>
    <t>10.2. Balanza.</t>
  </si>
  <si>
    <t>10.3. Casilleros.</t>
  </si>
  <si>
    <t>11. Adicionalmente, la sala de hemodiálisis cuenta con:</t>
  </si>
  <si>
    <t>11.1. Silla reclinable escualizable de material que permita fácil limpieza y desinfección.</t>
  </si>
  <si>
    <t>11.2. Equipo de hemodiálisis por paciente, que cuenta con:</t>
  </si>
  <si>
    <t>11.2.1. Monitor de alarma de conductividad, alarma de temperatura, alarma de aire en el sistema de sangre, presión en cámara venosa y en cámara arterial, tiempo efectivo en diálisis, volumen de sangre de la bomba y sistema de desinfección de la máquina.</t>
  </si>
  <si>
    <t>11.2.2. Bomba de infusión de heparina.</t>
  </si>
  <si>
    <t>11.2.3. Sistema de proporcionamiento del dializado.</t>
  </si>
  <si>
    <t>11.2.4. Sistema de ultrafiltración controlado.</t>
  </si>
  <si>
    <t>11.2.5. Inyector de sangre variable – (bomba de sangre) con inyector de volumen.</t>
  </si>
  <si>
    <t>11.2.6. Sistema de monitoreo de la hemodiálisis con tensión arterial. Si el equipo no lo incluye, cuenta con tensiómetro y fonendoscopio para el servicio.</t>
  </si>
  <si>
    <t>11.3. Máquinas independientes para pacientes seropositivos para hepatitis B (si atiende pacientes con Hepatitis B).</t>
  </si>
  <si>
    <t>12. Planta de tratamiento de agua para hemodiálisis que cumpla con los controles de calidad físico, químico y microbiológico.</t>
  </si>
  <si>
    <t>13. La sala de procedimientos cuenta con:</t>
  </si>
  <si>
    <t>13.1. Camilla con barandas, ruedas y freno.</t>
  </si>
  <si>
    <t>13.2. Equipo de pequeña cirugía.</t>
  </si>
  <si>
    <t>13.3. Lámpara pielítica o cielítica.</t>
  </si>
  <si>
    <t>14. La sala de diálisis peritoneal cuenta con:</t>
  </si>
  <si>
    <t>14.1. Máquina cicladora para diálisis peritoneal automatizada.</t>
  </si>
  <si>
    <t>14.2. Camilla fija.</t>
  </si>
  <si>
    <t>14.3. Balanza.</t>
  </si>
  <si>
    <t>15. Cuando se realice tratamiento de hemodiálisis cuenta con equipo de hemodiálisis que cumple con las características descritas en el numeral 11.2 del estándar de dotación del servicio de diálisis.</t>
  </si>
  <si>
    <t>16. Los equipos biomédicos para terapias extracorpóreas cuentan con agua tratada o plantas portátiles de ósmosis inversa y con controles de calidad fisicoquímico y bacteriológico.</t>
  </si>
  <si>
    <t>D_MD</t>
  </si>
  <si>
    <t>Modalidades intramural, ex tramural jornada de salud, telemedicina - prestador remisor</t>
  </si>
  <si>
    <t>18. Cumple con los criterios que le sean aplicables de todos los servicios y adicionalmente,  cuenta con oxígeno medicinal que puede ser suministrado mediante salida de oxigeno medicinal.</t>
  </si>
  <si>
    <t>D_PP</t>
  </si>
  <si>
    <t>20. Cumple con los criterios que le sean aplicables de todos los servicios y adicionalmente cuenta con la siguiente información documentada:</t>
  </si>
  <si>
    <t>20.1. Manejo de la injuria renal aguda.</t>
  </si>
  <si>
    <t>20.2. Bioseguridad en unidad renal.</t>
  </si>
  <si>
    <t>20.3. Manejo de la anemia en la enfermedad renal crónica.</t>
  </si>
  <si>
    <t>20.4. Manejo de la osteodistrofia renal.</t>
  </si>
  <si>
    <t>20.5. Manejo de la nefropatía lúpica.</t>
  </si>
  <si>
    <t>20.6. Manejo de nefropatía diabética</t>
  </si>
  <si>
    <t>20.7. Manejo de hipertensión arterial.</t>
  </si>
  <si>
    <t>21. Cuando se realice tratamiento de hemodiálisis, adicionalmente cuenta con la siguiente información documentada:</t>
  </si>
  <si>
    <t>21.1. Control de calidad del agua de la planta de tratamiento.</t>
  </si>
  <si>
    <t>21.2. Formulación de la hemodiálisis según cinética de la urea.</t>
  </si>
  <si>
    <t>21.3. Complicaciones en hemodiálisis.</t>
  </si>
  <si>
    <t>21.4. Accesos vasculares, cuidado y tratamiento de la infección del acceso vascular.</t>
  </si>
  <si>
    <t>21.5. Manejo de pacientes con Hepatitis B, que incluya medidas de vacunación, bioseguridad, seguimiento a riesgos y prevención de la infección cruzada y actividades de entrenamiento al personal.</t>
  </si>
  <si>
    <t>21.6. Conexión y desconexión.</t>
  </si>
  <si>
    <t>22. Cuando se realice tratamiento de diálisis peritoneal, adicional a los criterios definidos en el numeral 20, cuenta con la siguiente información documentada:</t>
  </si>
  <si>
    <t>22.1. Formulación de diálisis peritoneal según cinética de la urea.</t>
  </si>
  <si>
    <t>22.2. Test de equilibrio peritoneal.</t>
  </si>
  <si>
    <t>22.3. Implante de catéter peritoneal</t>
  </si>
  <si>
    <t>22.4. Tratamiento de infección del orificio y túnel del catéter peritoneal.</t>
  </si>
  <si>
    <t>22.5. Tratamiento de peritonitis en diálisis peritoneal.</t>
  </si>
  <si>
    <t>22.6. Criterios de ingreso del paciente a la diálisis peritoneal.</t>
  </si>
  <si>
    <t>23. Cuando se realice tratamiento de hemodiálisis, adicional a los criterios definidos en los numerales 20 y 21, cuenta con la siguiente información documentada:</t>
  </si>
  <si>
    <t>23.1. Transporte, conexión, funcionalidad y desconexión de la tecnología y normas de bioseguridad.</t>
  </si>
  <si>
    <t>24. Cumple con los criterios que le sean aplicables de todos los servicios</t>
  </si>
  <si>
    <t>D_HCR</t>
  </si>
  <si>
    <t xml:space="preserve">
Modalidades intramural, extramural jornada de salud, telemedicina - prestador remisor
</t>
  </si>
  <si>
    <t>25. Cumple con los criterios que le sean aplicables de todos los servicios y adicionalmente cuenta con:</t>
  </si>
  <si>
    <t>Registro del control de calidad del agua de la planta de tratamiento.</t>
  </si>
  <si>
    <t>Modalidad telemedicina – prestador de referencia</t>
  </si>
  <si>
    <t>D_INT</t>
  </si>
  <si>
    <t>Modalidades intramural, extramura/ jornada de salud</t>
  </si>
  <si>
    <t>27. Cumple con los criterios que le sean aplicables de todos los servicios y adicionalmente cuenta con:</t>
  </si>
  <si>
    <t>Servicio farmacéutico.</t>
  </si>
  <si>
    <t>28. Disponibilidad de:</t>
  </si>
  <si>
    <t>28.1. Servicio de cirugía.</t>
  </si>
  <si>
    <t>28.2. Servicio de laboratorio clínico.</t>
  </si>
  <si>
    <t>28.3. Servicio de transporte asistencial.</t>
  </si>
  <si>
    <t>Modalidad telemedicina – prestador remisor - prestador de referencia</t>
  </si>
  <si>
    <t>29. No aplica.</t>
  </si>
  <si>
    <t>Grupo Internación</t>
  </si>
  <si>
    <t>Servicio Hospitalización</t>
  </si>
  <si>
    <t>HP_TH</t>
  </si>
  <si>
    <t>COMPLEJIDAD BAJA</t>
  </si>
  <si>
    <t>Modalidad intramural y extramural domiciliaria</t>
  </si>
  <si>
    <t>1. Cumple con los criterios definidos para todos los servicios y adicionalmente, disponibilidad de:</t>
  </si>
  <si>
    <t>1 1. Profesional de la medicina</t>
  </si>
  <si>
    <t>1.2. Profesional de la enfermeria.</t>
  </si>
  <si>
    <t>1.3. Auxiliar de enfermería</t>
  </si>
  <si>
    <t>Categoría telexperticia – prestador remisor</t>
  </si>
  <si>
    <t>2. Cumple con los criterios que le sean aplicables de todos los servicios y adicionalmente</t>
  </si>
  <si>
    <t>2.1. Cuando se realice telexperticia entre profesionales de la salud cumple con los criterios establecidos en la modalidad intramural del servicio de hospitalización de baja complejidad.</t>
  </si>
  <si>
    <t>2.2. Cuando realice telexperticia entre personal de salud no profesional y un profesional de la salud, en la modalidad domiciliaria, el prestador remisor cuenta con auxiliar de enfermería que atiende presencialmente al usuario.</t>
  </si>
  <si>
    <t>Categoría telexperticia – prestador de referencia</t>
  </si>
  <si>
    <t>3. Cumple con los criterios que le sean aplicables de todos los servicios, y adicionalmente cuenta con profesional de la salud, de acuerdo con lo definido por el prestador de servicios de salud en el estándar de procesos prioritarios.</t>
  </si>
  <si>
    <t>Categoría telemonitoreo – prestador remisor en modalidad extramural domiciliaria</t>
  </si>
  <si>
    <t>5. La permanencia del talento humano en salud en el domicilio del paciente será determinada según la condición clínica del paciente y la información documentada en el estándar de procesos prioritarios.</t>
  </si>
  <si>
    <t>6. El personal de la salud puede hacer uso de la categoría telemonitoreo sincrónica o asincrónica, de acuerdo con lo definido por el prestador de servicios de salud en el estándar de procesos prioritarios</t>
  </si>
  <si>
    <t>COMPLEJIDAD MEDIANA</t>
  </si>
  <si>
    <t>7. Cumple los criterios definidos para todos los servicios y adicionalmente cuenta con:</t>
  </si>
  <si>
    <t>7.1. Profesional de la medicina</t>
  </si>
  <si>
    <t>7.2. Profesional de la enfermería.</t>
  </si>
  <si>
    <t>7.3. Auxiliar de enfermería.</t>
  </si>
  <si>
    <t>8. 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</si>
  <si>
    <t>9.1. Profesional de la medicina especialista por cada especialidad ofertada.</t>
  </si>
  <si>
    <t>9.2. Profesional de fisioterapia o terapia respiratoria.</t>
  </si>
  <si>
    <t>9.3. Profesional de nutrición y dietética.</t>
  </si>
  <si>
    <t>9.4. Profesional de la psicología.</t>
  </si>
  <si>
    <t>10. Cumple con los criterios que le sean aplicables de todos los servicios, y adicionalmente cuenta con profesional de la salud, de acuerdo con lo definido por el prestador de servicios de salud en el estándar de procesos prioritarios.</t>
  </si>
  <si>
    <t>11. 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</si>
  <si>
    <t>12. El profesional de la salud puede hacer uso de la telexperticia sincrónica o asincrónica entre profesionales de la salud, de acuerdo con lo definido por el prestador de servicios de salud en el estándar de procesos prioritarios.</t>
  </si>
  <si>
    <t>COMPLEJIDAD ALTA</t>
  </si>
  <si>
    <t>13. Cumple los criterios definidos para todos los servicios hospitalización de mediana complejidad y adicionalmente:</t>
  </si>
  <si>
    <t>14. Disponibilidad del profesional de la medicina especialista por cada especialidad ofertada, que tendrá una permanencia mínima de 6 horas por cada 24 horas.</t>
  </si>
  <si>
    <t>15. Si ofrece hospitalización para paciente oncológico, adicionalmente, cuenta con:</t>
  </si>
  <si>
    <t>15.1. Profesional de la enfermería con especialidad en oncología o con constancia de asistencia en acciones de formación continua del cuidado integral del paciente oncológico.</t>
  </si>
  <si>
    <t>15.2. Auxiliar de enfermería.</t>
  </si>
  <si>
    <t>15.3. Todo el personal mencionado cuenta con constancia de asistencia en las acciones de formación continua para la atención del paciente oncológico a excepción de los profesionales especialistas en oncología.</t>
  </si>
  <si>
    <t>Si ofrece trasplante de células progenitoras hematopoyéticas adulto o pediátrico, adicional a lo definido en los numerales 13 y 14:</t>
  </si>
  <si>
    <t>16.1. Cuenta con profesional de la enfermería con especialidad en oncología o con constancia de asistencia en las acciones de formación continua del cuidado del paciente trasplantado.</t>
  </si>
  <si>
    <t>16.2. Disponibilidad del profesional de la medicina especialista en hematología o hematología y oncología, con permanencia durante los procedimientos definidos por el prestador de servicios de salud en el estándar de procesos prioritarios.</t>
  </si>
  <si>
    <t>16.3. Todo el personal mencionado cuenta con constancia de asistencia en las acciones de formación continua del cuidado del paciente trasplantado, a excepción de los profesionales especialistas en oncología.</t>
  </si>
  <si>
    <t>17. El personal que participe en el trasplante debe estar inscrito ante la coordinación regional de la Red de Donación y Trasplantes.</t>
  </si>
  <si>
    <t>18. Cumple con los criterios que le sean aplicables de todos los servicios, y adicionalmente cuenta con profesional de la salud, de acuerdo con lo definido por el prestador de servicios de salud en el estándar de procesos prioritarios.</t>
  </si>
  <si>
    <t>19.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</si>
  <si>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HP_INF</t>
  </si>
  <si>
    <t>Modalidades intramural, telemedicina - prestador remisor – categoría telexperticia</t>
  </si>
  <si>
    <t>20. Cumple con los criterios que le sean aplicables de todos los servicios y adicionalmente cuenta con:</t>
  </si>
  <si>
    <t>20.1. Sala de procedimientos cuando el servicio cuente con habitaciones múltiples.</t>
  </si>
  <si>
    <t>20.2. Estación de enfermería.</t>
  </si>
  <si>
    <t>20.3. Área para estacionamiento de camillas y sillas de ruedas.</t>
  </si>
  <si>
    <t>20.4. Habitación individual o múltiple para pacientes adultos, pediátricos o lactantes, según oferta, que cuenta con:</t>
  </si>
  <si>
    <t>20.4.1. Lavamanos, sanitario, ducha, área de guardarropa y sistema de llamado por cama o cuna.</t>
  </si>
  <si>
    <t>20.4.2. La habitación individual para pacientes adultos, pediátricos o lactantes debe tener un área mínima de 16 m2.</t>
  </si>
  <si>
    <t>20.4.3. La habitación múltiple para pacientes adultos debe tener una capacidad máxima de 4 camas, con área libre mínima de 7 m2 por cama, separadas con barrera física fija o móvil.</t>
  </si>
  <si>
    <t>20.4.4. La habitación múltiple para pacientes pediátricos debe tener una capacidad máxima de 6 camas, con área libre mínima de 6 m2 por cama, separadas con barrera física fija o móvil.</t>
  </si>
  <si>
    <t>20.4.5. La habitación múltiple para lactantes debe tener un área libre mínima de 4 m2 por cuna, con área para bañar y vestir a los lactantes y unidad sanitaria para acompañante. La capacidad máxima de cunas será definida por el prestador según su capacidad instalada.</t>
  </si>
  <si>
    <t>20.4.6. Las habitaciones para pacientes adultos deben estar separadas de las habitaciones para pacientes pediátricos.</t>
  </si>
  <si>
    <t>20.4.7. Las habitaciones para pacientes pediátricos cuentan con sistema de seguridad en las ventanas, mecanismos de protección en las instalaciones eléctricas y los aparatos sanitarios y muebles, deben tener la altura adecuada que permita al paciente su fácil utilización.</t>
  </si>
  <si>
    <t>20.4.8. Las puertas de acceso a las habitaciones deben permitir el paso y giro de camillas y sillas de ruedas.</t>
  </si>
  <si>
    <t>20.4.9. El ambiente donde esté ubicado el sanitario y la ducha debe permitir el fácil desplazamiento del paciente y contar con sistema de llamado de enfermería audible y visible.</t>
  </si>
  <si>
    <t>20.5. Habitación individual de aislamiento que cuenta con:</t>
  </si>
  <si>
    <t>20.5.1. Antecámara a manera de filtro, con lavamanos. La presión del aire debe ser acorde con la patología del paciente.</t>
  </si>
  <si>
    <t>20.5.2. Baño.</t>
  </si>
  <si>
    <t>20.5.3. Área de guardarropa.</t>
  </si>
  <si>
    <t>20.6. Si ofrece trasplante de células progenitoras hematopoyéticas adulto o pediátrico, cuenta con habitación individual de aislamiento.</t>
  </si>
  <si>
    <t>21. Disponibilidad de:</t>
  </si>
  <si>
    <t>21.1. Sala de visitas.</t>
  </si>
  <si>
    <t>21.2. Unidades sanitarias discriminadas por sexo.</t>
  </si>
  <si>
    <t>21.3. Ambiente para almacenamiento y distribución de alimentos.</t>
  </si>
  <si>
    <t>21.4. Ambiente para la preparación de fórmulas artificiales y extracción de leche materna.</t>
  </si>
  <si>
    <t>Modalidad extramural domiciliaria y telemedicina</t>
  </si>
  <si>
    <t>Categoría telexperticia – prestador remisor - prestador referencia</t>
  </si>
  <si>
    <t>Categoría telemonitoreo – prestador remisor - prestador referencia</t>
  </si>
  <si>
    <t>COMPLEJIDAD MEDIANA Y ALTA</t>
  </si>
  <si>
    <t>Modalidades intramural, telemedicina - prestador remisor - categoría telexperticia</t>
  </si>
  <si>
    <t>23. Cumple con los criterios del servicio de hospitalización de baja complejidad.</t>
  </si>
  <si>
    <t>Categoría telexperticia – prestador referencia</t>
  </si>
  <si>
    <t>24. Cumple con los criterios que le sean aplicables de todos los servicios.</t>
  </si>
  <si>
    <t>HP_DOT</t>
  </si>
  <si>
    <t>25.1. Camas hospitalarias, de acuerdo con la oferta del servicio.</t>
  </si>
  <si>
    <t>25.2.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</si>
  <si>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26. Disponibilidad de:</t>
  </si>
  <si>
    <t>26.1. Bomba de infusión.</t>
  </si>
  <si>
    <t>26.2. Glucómetro.</t>
  </si>
  <si>
    <t>26.3. Silla de ruedas.</t>
  </si>
  <si>
    <t>26.4. Tensiómetro para adulto o pediátrico de acuerdo con la oferta del servicio.</t>
  </si>
  <si>
    <t>26.5. Fonendoscopio adulto o pediátrico de acuerdo con la oferta del servicio.</t>
  </si>
  <si>
    <t>26.6. Equipo de órganos de los sentidos.</t>
  </si>
  <si>
    <t>26.7. Electrocardiógrafo.</t>
  </si>
  <si>
    <t>26.8. Oxígeno medicinal que puede ser suministrado mediante salida de oxígeno medicinal o mediante oxígeno medicinal portátil.</t>
  </si>
  <si>
    <t>Modalidad extramural domiciliaria, telemedicina - prestador remisor - categoría telexperticia y categoría telemonitoreo</t>
  </si>
  <si>
    <t>27. Cumple con los criterios que le sean aplicables de todos los servicios y adicionalmente:</t>
  </si>
  <si>
    <t>Servicio Hospitalización - Paciente Cronico</t>
  </si>
  <si>
    <t>28. El domicilio del paciente cuenta con nevera, cuando los medicamentos requieran cadena de frío. Corresponde al prestador que habilita el servicio, constatar este criterio.</t>
  </si>
  <si>
    <t>29. La sede del prestador cuenta con la dotación de equipos biomédicos que requiera la atención del paciente de acuerdo con lo documentado en el estándar de procesos prioritarios y adicionalmente:</t>
  </si>
  <si>
    <t>SHPPC_TH</t>
  </si>
  <si>
    <t>29.1. Fonendoscopio.</t>
  </si>
  <si>
    <t>Hospitalización del paciente crónico sin ventilador</t>
  </si>
  <si>
    <t>29.2. Tensiómetro.</t>
  </si>
  <si>
    <t>29.3. Equipo de órganos.</t>
  </si>
  <si>
    <t>29.4. Oxímetro.</t>
  </si>
  <si>
    <t>29.5. Glucómetro.</t>
  </si>
  <si>
    <t>29.6. Martillo.</t>
  </si>
  <si>
    <t>29.7. Termómetro.</t>
  </si>
  <si>
    <t>29.8. Metro.</t>
  </si>
  <si>
    <t>1.1. Profesional de la enfermería</t>
  </si>
  <si>
    <t>29.9. Atriles.</t>
  </si>
  <si>
    <t>1.2. Auxiliar de enfermería.</t>
  </si>
  <si>
    <t>29.10. Bomba de infusión.</t>
  </si>
  <si>
    <t>2. La permanencia del profesional de la enfermería y la auxiliar de enfermería en el domicilio del paciente será determinada según la condición clínica del paciente y la información documentada en el estándar de procesos prioritarios.</t>
  </si>
  <si>
    <t>Categoría telemonitoreo – prestador referencia</t>
  </si>
  <si>
    <t>30. Cumple con los criterios que le sean aplicables de todos los servicios.</t>
  </si>
  <si>
    <t>3. Disponibilidad de:</t>
  </si>
  <si>
    <t>31. Cumple con los criterios que le sean aplicables de todos los servicios, y del servicio de hospitalización de baja complejidad y adicionalmente:</t>
  </si>
  <si>
    <t>3.1. Profesional de la medicina con permanencia durante los procedimientos definidos por el prestador de servicios de salud en el estándar de procesos prioritarios.</t>
  </si>
  <si>
    <t>32. Si ofrece trasplante de células progenitoras hematopoyéticas a pacientes adultos o pediátricos,</t>
  </si>
  <si>
    <t>3.2. Profesional de nutrición y dietética.</t>
  </si>
  <si>
    <t>32.1. Cada habitación cuenta con:</t>
  </si>
  <si>
    <t>3.3. Profesional de la psicología.</t>
  </si>
  <si>
    <t>32.1.1. Bomba de infusión.</t>
  </si>
  <si>
    <t>3.4. Profesionales de terapia de acuerdo con el plan de tratamiento.</t>
  </si>
  <si>
    <t>32.1.2. Monitor de signos vitales.</t>
  </si>
  <si>
    <t>32.1.3. Oxímetro si no se encuentra incluido en el monitor de signos vitales.</t>
  </si>
  <si>
    <t>32.1.4. Aspirador de secreciones mediante succionador o punto de red central con regulador de succión.</t>
  </si>
  <si>
    <t>4.1. Cuando se realice telexperticia entre profesionales de la salud cumple con los criterios establecidos en la modalidad intramural del servicio de hospitalización del paciente crónico sin ventilador baja complejidad.</t>
  </si>
  <si>
    <t>32.1.5. Tensiómetro adulto o pediátrico según oferta, si no está incluido dentro del monitor.</t>
  </si>
  <si>
    <t>4.2. Cuando realice telexperticia entre personal de salud no profesional y un profesional de la salud, en la modalidad domiciliaria, el prestador remisor cuenta con auxiliar de enfermería que atiende presencialmente al usuario.</t>
  </si>
  <si>
    <t>32.1.6. Fonendoscopio adulto o pediátrico según oferta.</t>
  </si>
  <si>
    <t>32.2. Disponibilidad en el servicio de monitor con presión no invasiva, trazado electrocardiográfico y oximetría que puede ser integrada o externa.</t>
  </si>
  <si>
    <t>5. Cumple con los criterios que le sean aplicables de todos los servicios, y adicionalmente cuenta con profesional de la salud, de acuerdo con lo definido por el prestador de servicios de salud en el estándar de procesos prioritarios.</t>
  </si>
  <si>
    <t>33. Disponibilidad de:</t>
  </si>
  <si>
    <t>6. 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</si>
  <si>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7. El profesional de la salud puede hacer uso de la telexperticia sincrónica o asincrónica entre profesionales de la salud, de acuerdo con lo definido por el prestador de servicios de salud en el estándar de procesos prioritarios.</t>
  </si>
  <si>
    <t>33.1. Monitor de transporte.</t>
  </si>
  <si>
    <t>33.2. Equipo de rayos x portátil.</t>
  </si>
  <si>
    <t>33.3. Bomba de nutrición enteral.</t>
  </si>
  <si>
    <t>33.4. Cabina de flujo laminar.</t>
  </si>
  <si>
    <t>9. La permanencia del talento humano en salud en el domicilio del paciente será determinada según la condición clínica del paciente y la información documentada en el estándar de procesos prioritarios.</t>
  </si>
  <si>
    <t>10. El personal de la salud puede hacer uso de la categoría telemonitoreo sincrónica o asincrónica, de acuerdo con lo definido por el prestador de servicios de salud en el estándar de procesos prioritarios.</t>
  </si>
  <si>
    <t>34. Cumple con los criterios que le sean aplicables de todos los servicios.</t>
  </si>
  <si>
    <t>HP_MD</t>
  </si>
  <si>
    <t>Modalidades intramural, extramural domiciliaria, telemedicina – prestador remisor - categoría telexperticia y categoría telemonitoreo</t>
  </si>
  <si>
    <t>11. Cumple con los criterios que le sean aplicables de todos los servicios, y los de hospitalización paciente crónico sin ventilador de baja complejidad y adicionalmente disponibilidad de:</t>
  </si>
  <si>
    <t>35. Cumple con los criterios que le sean aplicables de todos los servicios y adicionalmente, cuenta con:</t>
  </si>
  <si>
    <t>35.1. Oxígeno medicinal.</t>
  </si>
  <si>
    <t>11.1. Profesional de la medicina especialista según la oferta y la necesidad del paciente, con permanencia durante los procedimientos definidos por el prestador de servicios de salud en el estándar de procesos prioritarios.</t>
  </si>
  <si>
    <t>35.2. Dispositivos médicos e insumos, según patología del paciente.</t>
  </si>
  <si>
    <t>12. Disponibilidad de:</t>
  </si>
  <si>
    <t>35.3. Medicamentos, de acuerdo con inventario establecido para uso en la atención en casa.</t>
  </si>
  <si>
    <t>12.1. Profesional de la medicina especialista según la oferta y necesidad del paciente, con permanencia durante los procedimientos definidos por el prestador de servicios de salud en el estándar de procesos prioritarios.</t>
  </si>
  <si>
    <t>36. Disponibilidad de kit para recolección de evidencia forense y kit de profilaxis post exposición para VIH, ITS y anticoncepción de emergencia en víctimas de violencia sexual, según lo definido en la Resolución 459 de 2012 o la norma que la modifique, adicione o sustituya.</t>
  </si>
  <si>
    <t>12.2. Otros profesionales de la salud de acuerdo con el plan de tratamiento.</t>
  </si>
  <si>
    <t>Categoría telemonitoreo - prestador referencia</t>
  </si>
  <si>
    <t>13. Cumple con los criterios que le sean aplicables de todos los servicios y adicionalmente:</t>
  </si>
  <si>
    <t>Modalidades intramural, telemedicina – prestador remisor - categoría telexperticia</t>
  </si>
  <si>
    <t>13.1. Cuando se realice telexperticia entre profesionales de la salud cumple con los criterios establecidos en la modalidad intramural del servicio de hospitalización del paciente crónico sin ventilador mediana complejidad.</t>
  </si>
  <si>
    <t>38. Cumple con los criterios definidos para el servicio de hospitalización de baja complejidad</t>
  </si>
  <si>
    <t>13.2. Cuando realice telexperticia entre personal de salud no profesional y un profesional de la salud, en la modalidad domiciliaria, el prestador remisor cuenta con auxiliar de enfermería que atiende presencialmente al usuario.</t>
  </si>
  <si>
    <t>14. Cumple con los criterios que le sean aplicables de todos los servicios, y adicionalmente cuenta con profesional de la salud, de acuerdo con lo definido por el prestador de servicios de salud en el estándar de procesos prioritarios.</t>
  </si>
  <si>
    <t>39. Cumple con los criterios que le sean aplicables de todos los servicios.</t>
  </si>
  <si>
    <t>40. Cumple con los criterios definidos para el servicio de hospitalización de mediana complejidad y adicionalmente, si ofrece trasplante de células progenitoras hematopoyéticas, cuenta con:</t>
  </si>
  <si>
    <t>15.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</si>
  <si>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40.1. Certificados de calidad del producto, para bancos de células de cordón umbilical y los registros de donantes no relacionados.</t>
  </si>
  <si>
    <t>16. El profesional de la salud puede hacer uso de la telexperticia sincrónica o asincrónica entre profesionales de la salud, de acuerdo con lo definido por el prestador de servicios de salud en el estándar de procesos prioritarios.</t>
  </si>
  <si>
    <t>40.2.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</si>
  <si>
    <t>40.3.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</si>
  <si>
    <t>18. La permanencia del talento humano en salud en el domicilio del paciente será determinada según la condición clínica del paciente y la información documentada en el estándar de procesos prioritarios.</t>
  </si>
  <si>
    <t>HP_PP</t>
  </si>
  <si>
    <t>19. El personal de la salud puede hacer uso de la categoría telemonitoreo sincrónica o asincrónica, de acuerdo con lo definido por el prestador de servicios de salud en el estándar de procesos prioritarios.</t>
  </si>
  <si>
    <t>42. Cumple con los criterios que le sean aplicables de todos los servicios y adicionalmente cuenta con la siguiente información documentada:</t>
  </si>
  <si>
    <t>Hospitalización del paciente crónico con ventilador</t>
  </si>
  <si>
    <t>42.1. Criterios de ingreso y egreso al servicio.</t>
  </si>
  <si>
    <t>42.2. Manejo de las principales causas de hospitalización, según oferta.</t>
  </si>
  <si>
    <t>42.3. Ronda médica diaria de evolución de pacientes.</t>
  </si>
  <si>
    <t>20.1. Profesional de la enfermería.</t>
  </si>
  <si>
    <t>42.4. Solicitud de interconsultas.</t>
  </si>
  <si>
    <t>42.5. Entrega de turno por parte de enfermería y de medicina.</t>
  </si>
  <si>
    <t>20.2. Auxiliar de enfermería.</t>
  </si>
  <si>
    <t>42.6. Control de líquidos.</t>
  </si>
  <si>
    <t>21. La permanencia del profesional de la enfermería y el auxiliar de enfermería en el domicilio del paciente será determinada según la condición clínica del paciente y la información documentada en procesos prioritarios.</t>
  </si>
  <si>
    <t>42.7. Plan de cuidados de enfermería.</t>
  </si>
  <si>
    <t>42.8. Administración de medicamentos.</t>
  </si>
  <si>
    <t>22. Disponibilidad de:</t>
  </si>
  <si>
    <t>42.9. Sujeción de pacientes.</t>
  </si>
  <si>
    <t>22.1. Profesional de la medicina con permanencia durante los procedimientos definidos por el prestador de servicios de salud en el estándar de procesos prioritarios.</t>
  </si>
  <si>
    <t>42.10. Toma de muestras de laboratorio.</t>
  </si>
  <si>
    <t>22.2. Profesional de la medicina especialista según la oferta y la necesidad del paciente, con permanencia durante los procedimientos definidos por el prestador de servicios de salud en el estándar de procesos prioritarios.</t>
  </si>
  <si>
    <t>42.11. Cateterismo vesical.</t>
  </si>
  <si>
    <t>22.3. Profesionales de terapia de acuerdo con el plan de tratamiento.</t>
  </si>
  <si>
    <t>42.12. Preparación para la toma de imágenes diagnósticas.</t>
  </si>
  <si>
    <t>22.4. Profesional de nutrición y dietética.</t>
  </si>
  <si>
    <t>42.13. Ilustrar al paciente en el auto cuidado de la salud y la preservación de la seguridad de su atención.</t>
  </si>
  <si>
    <t>42.14. Información a usuarios.</t>
  </si>
  <si>
    <t>22.5. Profesional de la psicología.</t>
  </si>
  <si>
    <t>42.15. Revisión del carro de paro.</t>
  </si>
  <si>
    <t>42.16. Actividades de rehabilitación: fisioterapia, terapia ocupacional y terapia del lenguaje, que incluya los tipos de elementos e insumos requeridos para cada tipo de actividad, según se requiera.</t>
  </si>
  <si>
    <t>23. Personal auxiliar de enfermería cuenta con constancia de asistencia en las acciones de formación continua en soporte vital básico.</t>
  </si>
  <si>
    <t>24. Profesionales de la medicina, especialistas y de la enfermería cuentan con constancia de asistencia en las acciones de formación continua en soporte vital avanzado.</t>
  </si>
  <si>
    <t>43. Cumple con los criterios que le sean aplicables de todos los servicios y adicionalmente cuenta con la siguiente información documentada:</t>
  </si>
  <si>
    <t>43.1. Criterios de ingreso y egreso al servicio.</t>
  </si>
  <si>
    <t>43.2. Referencia y contra referencia que incluye el traslado del paciente cuando este se requiera.</t>
  </si>
  <si>
    <t>43.3. Plan individualizado de atención según morbilidad.</t>
  </si>
  <si>
    <t>25. Cumple con los criterios que le sean aplicables de todos los servicios y adicionalmente:</t>
  </si>
  <si>
    <t>43.4. Permanencia del talento humano en salud en el domicilio del paciente, cuando se oferte el servicio en la modalidad de telemedicina.</t>
  </si>
  <si>
    <t>25.1. Cuando se realice telexperticia entre profesionales de la salud cumple con los criterios establecidos en la modalidad intramural del servicio de hospitalización del paciente crónico sin ventilador mediana complejidad.</t>
  </si>
  <si>
    <t>43.5. Manejo del dolor y cuidado paliativo, cuando se requiera.</t>
  </si>
  <si>
    <t>25.2. Cuando realice telexperticia entre personal de salud no profesional y un profesional de la salud, en la modalidad domiciliaria, el prestador remisor cuenta con auxiliar de enfermería que atiende presencialmente al usuario.</t>
  </si>
  <si>
    <t>43.6. Atención de enfermería.</t>
  </si>
  <si>
    <t>43.7. Revisión de equipos biomédicos.</t>
  </si>
  <si>
    <t>26. Cumple con los criterios que le sean aplicables de todos los servicios, y adicionalmente cuenta con profesional de la salud, de acuerdo con lo definido por el prestador de servicios de salud en el estándar de procesos prioritarios.</t>
  </si>
  <si>
    <t>43.8. Alimentación enteral.</t>
  </si>
  <si>
    <t>27.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</si>
  <si>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43.9. Colocación de catéteres.</t>
  </si>
  <si>
    <t>28. El profesional de la salud puede hacer uso de la telexperticia sincrónica o asincrónica entre profesionales de la salud, de acuerdo con lo definido por el prestador de servicios de salud en el estándar de procesos prioritarios.</t>
  </si>
  <si>
    <t>43.10. Manejo de medicamentos en casa.</t>
  </si>
  <si>
    <t>43.11. Entrenamiento y capacitación al paciente, familiar o cuidador que incluya manejo de asepsia y antisepsia en el domicilio, manejo de residuos, uso y almacenamiento adecuado de medicamentos y dispositivos médicos.</t>
  </si>
  <si>
    <t>29. Cumple con los criterios que le sean aplicables de todos los servicios.</t>
  </si>
  <si>
    <t>30. La permanencia del talento humano en salud en el domicilio del paciente será determinada según la condición clínica del paciente y la información documentada en el estándar de procesos prioritarios.</t>
  </si>
  <si>
    <t>31. El personal de la salud puede hacer uso de la categoría telemonitoreo sincrónica o asincrónica, de acuerdo con lo definido por el prestador de servicios de salud en el estándar de procesos prioritarios.</t>
  </si>
  <si>
    <t>44. Cumple con los criterios que le sean aplicables de todos los servicios.</t>
  </si>
  <si>
    <t>SHPPC_INF</t>
  </si>
  <si>
    <t>Hospitalización del paciente crónico con y sin ventilador</t>
  </si>
  <si>
    <t>45. Adicional a lo definido en el servicio de hospitalización de baja complejidad cuenta con la siguiente información documentada:</t>
  </si>
  <si>
    <t>32. Cumple con los criterios que le sean aplicables de todos los servicios y adicionalmente cuenta con:</t>
  </si>
  <si>
    <t>45.1. Valoración y seguimiento por nutrición que incluya minuta patrón de alimentos.</t>
  </si>
  <si>
    <t>32.1. Sala de procedimientos cuando el servicio cuente con habitaciones múltiples.</t>
  </si>
  <si>
    <t>45.2. Manejo de nutrición enteral y parenteral.</t>
  </si>
  <si>
    <t>32.2. Estación de enfermería.</t>
  </si>
  <si>
    <t>46. Si ofrece trasplante de células progenitoras hematopoyéticas adicionalmente cuenta con la siguiente información documentada:</t>
  </si>
  <si>
    <t>32.3. Área para estacionamiento de camillas y sillas de ruedas.</t>
  </si>
  <si>
    <t>46.1. Obtención, preservación, disposición, trasplante de células progenitoras hematopoyéticas y su seguimiento.</t>
  </si>
  <si>
    <t>32.4. Habitación individual o múltiple para pacientes adultos, pediátricos o lactantes, según oferta, que cuenta con:</t>
  </si>
  <si>
    <t>46.2. Valoración, estudio pre-trasplante, trasplante y seguimiento pos-trasplante,</t>
  </si>
  <si>
    <t>32.4.1. Lavamanos, sanitario, ducha, área de guardarropa y sistema de llamado por cama o cuna.</t>
  </si>
  <si>
    <t>46.3. Recolección de progenitores hematopoyéticos de origen de médula ósea, realizada en salas de cirugía, bajo anestesia general, asegurando la adecuada marcación y sellamiento que incluya los datos del donante y los del receptor.</t>
  </si>
  <si>
    <t>46.4. Recolección de células progenitoras hematopoyéticas, obtenidas de sangre periférica, realizada en unidad de trasplante o en el banco de sangre, según la edad del paciente.</t>
  </si>
  <si>
    <t>32.4.2. La habitación individual para pacientes adultos, pediátricos o lactantes debe tener un área mínima de 16 m2.</t>
  </si>
  <si>
    <t>46.5. Calidad del producto celular para el trasplante de células progenitoras hematopoyéticas.</t>
  </si>
  <si>
    <t>32.4.3. La habitación múltiple para pacientes adultos debe tener una capacidad máxima de 4 camas, con área libre mínima de 7 m2 por cama, separadas con barrera física fija o móvil.</t>
  </si>
  <si>
    <t>32.4.4. La habitación múltiple para pacientes pediátricos debe tener una capacidad máxima de 6 camas, con área libre mínima de 6 m2 por cama, separadas con barrera física fija o móvil.</t>
  </si>
  <si>
    <t>47. Cumple con los criterios que le sean aplicables de todos los servicios.</t>
  </si>
  <si>
    <t>HP_HCR</t>
  </si>
  <si>
    <t>COMPLEJIDADES BAJA, MEDIANA Y ALTA</t>
  </si>
  <si>
    <t>32.4.5. La habitación múltiple para lactantes debe tener un área libre mínima de 4 m2 por cuna, con área para bañar y vestir a los lactantes y unidad sanitaria para acompañante. La capacidad máxima de cunas será definida por el prestador según su capacidad instalada.</t>
  </si>
  <si>
    <t>Modalidades intramural, extramural domiciliaria y telemedicina - prestador remisor</t>
  </si>
  <si>
    <t>32.4.6. Las habitaciones para pacientes adultos deben estar separadas de las habitaciones para pacientes pediátricos.</t>
  </si>
  <si>
    <t>32.4.7. Las habitaciones para pacientes pediátricos cuentan con sistema de seguridad en las ventanas, mecanismos de protección en las instalaciones eléctricas y los aparatos sanitarios y muebles, deben tener la altura adecuada que permita al paciente su fácil utilización.</t>
  </si>
  <si>
    <t>48. Cumple con los criterios que le sean aplicables de todos los servicios.</t>
  </si>
  <si>
    <t>49. Si ofrece trasplante de células progenitoras hematopoyéticas, adicionalmente cuenta con:</t>
  </si>
  <si>
    <t>32.4.8. Las puertas de acceso a las habitaciones deben permitir el paso y giro de camillas y sillas de ruedas.</t>
  </si>
  <si>
    <t>49.1. Resumen de la historia clínica del donante donde quede consignado los resultados de las pruebas serológicas e inmunológicas.</t>
  </si>
  <si>
    <t>32.4.9. El ambiente donde esté ubicado el sanitario y la ducha debe permitir el fácil desplazamiento del paciente y contar con sistema de llamado de enfermería audible y visible.</t>
  </si>
  <si>
    <t>49.2. Resultados de las pruebas serológicas e inmunológicas del receptor y demás registros para trazabilidad pos-trasplante.</t>
  </si>
  <si>
    <t>32.5. Habitación individual de aislamiento que cuenta con:</t>
  </si>
  <si>
    <t>32.5.1. Antecámara a manera de filtro, con lavamanos. La presión del aire debe ser acorde con la patología del paciente.</t>
  </si>
  <si>
    <t>32.5.2. Baño.</t>
  </si>
  <si>
    <t>50. Cumple con los criterios que le sean aplicables de todos los servicios</t>
  </si>
  <si>
    <t>HP_INT</t>
  </si>
  <si>
    <t>32.5.3. Área de guardarropa.</t>
  </si>
  <si>
    <t>51. Cumple con los criterios que le sean aplicables de todos los servicios y adicionalmente disponibilidad de:</t>
  </si>
  <si>
    <t>33.1. Sala de visitas.</t>
  </si>
  <si>
    <t>51.1. Servicio de laboratorio cínico.</t>
  </si>
  <si>
    <t>33.2. Unidades sanitarias discriminadas por sexo.</t>
  </si>
  <si>
    <t>51.2. Servicio de imágenes diagnósticas.</t>
  </si>
  <si>
    <t>51.3. Servicio de transporte asistencial.</t>
  </si>
  <si>
    <t>33.3. Ambiente para almacenamiento y distribución de alimentos.</t>
  </si>
  <si>
    <t>33.4. Ambiente para la preparación de fórmulas artificiales y extracción de leche materna.</t>
  </si>
  <si>
    <t>51.4. Servicio farmacéutico.</t>
  </si>
  <si>
    <t>51.5. Servicios de apoyo (alimentación, lavandería y vigilancia).</t>
  </si>
  <si>
    <t>Modalidad extramural domiciliaria</t>
  </si>
  <si>
    <t>52. Cumple con los criterios que le sean aplicables de todos los servicios y adicionalmente disponibilidad de:</t>
  </si>
  <si>
    <t>52.1. Servicio de laboratorio cínico.</t>
  </si>
  <si>
    <t>52.2. Servicio de imágenes diagnósticas.</t>
  </si>
  <si>
    <t>52.3. Servicio de transporte asistencial.</t>
  </si>
  <si>
    <t>52.4. Servicio farmacéutico.</t>
  </si>
  <si>
    <t>SHPPC_DOT</t>
  </si>
  <si>
    <t>53. Cumple con los criterios que le sean aplicables de todos los servicios y adicionalmente cuenta con:</t>
  </si>
  <si>
    <t>53.1. Servicio de laboratorio clínico.</t>
  </si>
  <si>
    <t>35. Cumple con los criterios que le sean aplicables de todos los servicios y adicionalmente cuenta con:</t>
  </si>
  <si>
    <t>53.2. Servicio de imágenes diagnósticas.</t>
  </si>
  <si>
    <t>35.1. Camas hospitalarias, de acuerdo con la oferta del servicio.</t>
  </si>
  <si>
    <t>53.3. Servicio farmacéutico.</t>
  </si>
  <si>
    <t>53.4. Servicio de gestión pre transfusional.</t>
  </si>
  <si>
    <t>35.2.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</si>
  <si>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54. Disponibilidad de:</t>
  </si>
  <si>
    <t>35.3. La dotación de los elementos y equipos biomédicos, que se requieran para la atención de los pacientes de acuerdo con el plan individualizado de atención y los procedimientos definidos en el estándar de procesos prioritarios.</t>
  </si>
  <si>
    <t>54.1. Servicio de transporte asistencial.</t>
  </si>
  <si>
    <t>36. Disponibilidad de:</t>
  </si>
  <si>
    <t>54.2. Servicios de apoyo (alimentación, lavandería y vigilancia).</t>
  </si>
  <si>
    <t>36.1. Bomba de infusión.</t>
  </si>
  <si>
    <t>55. Adicional a lo requerido para hospitalización de mediana complejidad, cuenta con: Servicio de cirugía.</t>
  </si>
  <si>
    <t>36.2. Glucómetro.</t>
  </si>
  <si>
    <t>56. Si ofrece trasplante de células progenitoras hematopoyéticas, adicionalmente cuenta con:</t>
  </si>
  <si>
    <t>36.3. Silla de ruedas</t>
  </si>
  <si>
    <t>56.1. Servicio de cuidado intensivo adulto o pediátrico, según oferta</t>
  </si>
  <si>
    <t>36.4. Tensiómetro adulto o pediátrico de acuerdo con el tipo de paciente hospitalizado.</t>
  </si>
  <si>
    <t>56.2. Servicio de patología.</t>
  </si>
  <si>
    <t>36.5. Fonendoscopio adulto o pediátrico de acuerdo con el tipo de paciente hospitalizado.</t>
  </si>
  <si>
    <t>36.6. Equipo de órganos de los sentidos.</t>
  </si>
  <si>
    <t>36.7. Electrocardiógrafo.</t>
  </si>
  <si>
    <t>57. No aplica.</t>
  </si>
  <si>
    <t>36.8. Oxígeno medicinal que puede ser suministrado mediante salida de oxígeno medicinal o mediante oxígeno medicinal portátil.</t>
  </si>
  <si>
    <t>37. Cumple con los criterios que le sean aplicables de todos los servicios y adicionalmente,</t>
  </si>
  <si>
    <t>38. El domicilio del paciente cuenta con nevera, cuando los medicamentos requieran cadena de frío. Corresponde al prestador que habilita el servicio, constatar este criterio.</t>
  </si>
  <si>
    <t>39. La sede del prestador cuenta con la dotación de equipos biomédicos que requiera la atención del paciente de acuerdo con lo documentado en el estándar de procesos prioritarios y adicionalmente:</t>
  </si>
  <si>
    <t>39.1. Fonendoscopio.</t>
  </si>
  <si>
    <t>39.2. Tensiómetro.</t>
  </si>
  <si>
    <t>39.3. Equipo de órganos.</t>
  </si>
  <si>
    <t>39.4. Oxímetro.</t>
  </si>
  <si>
    <t>39.5. Glucómetro.</t>
  </si>
  <si>
    <t>39.6. Martillo.</t>
  </si>
  <si>
    <t>39.7. Termómetro.</t>
  </si>
  <si>
    <t>39.8. Metro.</t>
  </si>
  <si>
    <t>39.9. Atriles.</t>
  </si>
  <si>
    <t>39.10. Bomba de infusión.</t>
  </si>
  <si>
    <t>39.11. Silla de ruedas</t>
  </si>
  <si>
    <t>41. Adicional a lo exigido para hospitalización del paciente crónico sin ventilador en la baja y mediana complejidad, cuenta con:</t>
  </si>
  <si>
    <t>41.1. Ventilador.</t>
  </si>
  <si>
    <t>41.2. Ventilador de transporte.</t>
  </si>
  <si>
    <t>41.3. Succión. Puede ser suministrado mediante sistema de vacío o mediante aspirador.</t>
  </si>
  <si>
    <t>42. Adicional a lo requerido para el servicio de hospitalización del paciente crónico sin ventilador baja y mediana complejidad, la sede del prestador, cuenta con ventilador mecánico de respaldo.</t>
  </si>
  <si>
    <t>43. El domicilio del paciente cuenta con:</t>
  </si>
  <si>
    <t>43.1. Resucitador pulmonar manual.</t>
  </si>
  <si>
    <t>43.2. Succión. Puede ser suministrado mediante aspirador.</t>
  </si>
  <si>
    <t>43.3. Ventilador mecánico con especificaciones técnicas para uso domiciliario.</t>
  </si>
  <si>
    <t>SHPPC_MD</t>
  </si>
  <si>
    <t>44. Cumple con los criterios que le sean aplicables de todos los servicios y adicionalmente, cuenta con:</t>
  </si>
  <si>
    <t>44.1. Oxígeno medicinal portátil.</t>
  </si>
  <si>
    <t>44.2. Dispositivos médicos e insumos, según patología del paciente.</t>
  </si>
  <si>
    <t>44.3. Medicamentos, de acuerdo con inventario establecido para uso en la atención en casa</t>
  </si>
  <si>
    <t>45. Cumple con los criterios que le sean aplicables de todos los servicios.</t>
  </si>
  <si>
    <t>SHPPC_PP</t>
  </si>
  <si>
    <t>46. Cumple con los criterios que le sean aplicables de todos los servicios y adicionalmente, cuenta con la siguiente información documentada:</t>
  </si>
  <si>
    <t>46.1. Ronda médica diaria de evolución de pacientes, aplica para la modalidad intramural.</t>
  </si>
  <si>
    <t>46.2. Solicitud de interconsultas.</t>
  </si>
  <si>
    <t>46.3. Entrega de turno por parte de enfermería y de medicina, aplica para la modalidad intramural.</t>
  </si>
  <si>
    <t>46.4. Control de líquidos.</t>
  </si>
  <si>
    <t>46.5. Plan de cuidados de enfermería.</t>
  </si>
  <si>
    <t>46.6. Administración de medicamentos.</t>
  </si>
  <si>
    <t>46.7. Sujeción de pacientes.</t>
  </si>
  <si>
    <t>46.8. Toma de muestras de laboratorio clínico.</t>
  </si>
  <si>
    <t>46.9. Cateterismo vesical.</t>
  </si>
  <si>
    <t>46.10. Preparación para la toma de imágenes diagnósticas.</t>
  </si>
  <si>
    <t>46.11. Indicaciones de autocuidado de la salud.</t>
  </si>
  <si>
    <t>46.12. Manejo de nutrición enteral y parenteral para los pacientes.</t>
  </si>
  <si>
    <t>46.13. Ingreso y egreso de pacientes.</t>
  </si>
  <si>
    <t>46.14. Seguimiento por profesional de la medicina general y especializada.</t>
  </si>
  <si>
    <t>46.15. Información a usuarios de la atención en salud.</t>
  </si>
  <si>
    <t>46.16. Actividades de rehabilitación (fisioterapia, terapia ocupacional, terapia respiratoria, terapia del lenguaje, entre otras)</t>
  </si>
  <si>
    <t>46.17. Manejo del dolor y cuidado paliativo.</t>
  </si>
  <si>
    <t>46.18. Manejo de pacientes con trastornos del desarrollo intelectual que incluye:</t>
  </si>
  <si>
    <t>46.18.1. Mecanismos de protección contra elementos o infraestructura potencialmente riesgosos para el paciente.</t>
  </si>
  <si>
    <t>46.18.2. Supervisión permanente por parte del talento humano en salud.</t>
  </si>
  <si>
    <t>47. Para el servicio de hospitalización del paciente crónico sin ventilador en modalidad extramural domiciliaria telemedicina – prestador remisor - categoría telexperticia y categoría telemonitoreo, adicionalmente cuenta con la siguiente información documentada:</t>
  </si>
  <si>
    <t>47.1. Criterios de inclusión de pacientes para la modalidad domiciliaria, que incluya:</t>
  </si>
  <si>
    <t>47.1.1. Valoración de las condiciones de accesibilidad al domicilio.</t>
  </si>
  <si>
    <t>47.1.2. Verificación de la existencia de nevera en el domicilio del paciente, cuando los medicamentos requieran cadena de frío.</t>
  </si>
  <si>
    <t>47.1.3. Condición clínica del paciente para el ingreso al programa.</t>
  </si>
  <si>
    <t>47.1.4. Egreso del paciente.</t>
  </si>
  <si>
    <t>47.1.5. Manejo de medicamentos en el domicilio.</t>
  </si>
  <si>
    <t>47.1.6. Entrenamiento y capacitación al paciente, familia y cuidador, que incluya:</t>
  </si>
  <si>
    <t>47.1.6.1. Manejo de asepsia y antisepsia en el domicilio.</t>
  </si>
  <si>
    <t>47.1.6.2. Manejo de residuos.</t>
  </si>
  <si>
    <t>47.1.6.3. Uso y almacenamiento de medicamentos y dispositivos médicos.</t>
  </si>
  <si>
    <t>47.2. Mecanismo de respuesta en caso de falla del ventilador, cuando oferte el servicio de hospitalización del paciente crónico con ventilador.</t>
  </si>
  <si>
    <t>SHPPC_HCR</t>
  </si>
  <si>
    <t>Hospitalización de paciente crónico con y sin ventilador</t>
  </si>
  <si>
    <t>Modalidades intramural, telemedicina – prestador remisor - categoría telexperticia y categoría telemonitoreo</t>
  </si>
  <si>
    <t>49. Cumple con los criterios que le sean aplicables de todos los servicios.</t>
  </si>
  <si>
    <t>Modalidad extramural domiciliaria, prestador remisor - categoría telexperticia y categoría telemonitoreo</t>
  </si>
  <si>
    <t>50. Adicional a lo definido para todos los servicios, se cuenta con los siguientes registros:</t>
  </si>
  <si>
    <t>50.1. Instrumento de valoración de criterios de inclusión al servicio.</t>
  </si>
  <si>
    <t>50.2. Valoración de ingreso y egreso.</t>
  </si>
  <si>
    <t>50.3. Registro de referencia y contra referencia, cuando aplique.</t>
  </si>
  <si>
    <t>50.4. Plan de cuidado de enfermería.</t>
  </si>
  <si>
    <t>51. Cumple con los criterios que le sean aplicables de todos los servicios.</t>
  </si>
  <si>
    <t>SHPPC_INT</t>
  </si>
  <si>
    <t>52. Cumple con los criterios que le sean aplicables de todos los servicios y adicionalmente tiene disponibilidad de:</t>
  </si>
  <si>
    <t>52.1. Servicio de laboratorio clínico.</t>
  </si>
  <si>
    <t>52.5. Servicios de apoyo (alimentación, lavandería y vigilancia).</t>
  </si>
  <si>
    <t>53. Cumple con los criterios que le sean aplicables de todos los servicios y adicionalmente tiene disponibilidad de:</t>
  </si>
  <si>
    <t>53.1. Servicio de hospitalización</t>
  </si>
  <si>
    <t>53.2. Servicio de laboratorio clínico.</t>
  </si>
  <si>
    <t>53.3. Servicio de imágenes diagnósticas.</t>
  </si>
  <si>
    <t>53.4. Servicio de transporte asistencial.</t>
  </si>
  <si>
    <t>53.5. Servicio farmacéutico.</t>
  </si>
  <si>
    <t>54. No aplica.</t>
  </si>
  <si>
    <t>Servicio Cuidado Básico Neonatal</t>
  </si>
  <si>
    <t>Complejidad: Baja</t>
  </si>
  <si>
    <t>Modalidad de prestación: Intramural Telemedicina - categorías: Telexperticia sincrónica o asincrónica - prestador remisor y prestador de referencia Entre dos profesionales</t>
  </si>
  <si>
    <t>CBN-TH</t>
  </si>
  <si>
    <t>Modalidad intramural y telemedicina - prestador remisor</t>
  </si>
  <si>
    <t>1. Cumple con los criterios que le sean aplicables de todos los servicios y adicionalmente,</t>
  </si>
  <si>
    <t>1.1 cuenta con auxiliar de enfermería.</t>
  </si>
  <si>
    <t>2.1. Profesional de la medicina con constancia de acciones de formación continua en atención del paciente neonatal.</t>
  </si>
  <si>
    <t>2.2. Profesional de la enfermería con constancia de acciones de formación continua en atención del paciente neonatal.</t>
  </si>
  <si>
    <t>4. El profesional de la salud puede hacer uso de la telexperticia sincrónica o asincrónica entre profesionales de la salud, de acuerdo con lo definido por el prestador de servicios de salud en el estándar de procesos prioritarios.</t>
  </si>
  <si>
    <t>CBN_INF</t>
  </si>
  <si>
    <t>5.1. Ambiente a manera de filtro, para acceso del talento humano en salud y visitantes, con lavamanos y área de casilleros.</t>
  </si>
  <si>
    <t>5.2. Estación de enfermería.</t>
  </si>
  <si>
    <t>5.3. Ambiente o área para brindar información a familiares.</t>
  </si>
  <si>
    <t>5.4. Área de incubadoras o cunas (4 m2 ), señalizado y de circulación restringida solo para personal autorizado</t>
  </si>
  <si>
    <t>6. Disponibilidad en el servicio de lavamanos.</t>
  </si>
  <si>
    <t>7. Los anteriores ambientes o áreas pueden ser compartidos entre los servicios de cuidado básico, intermedio e intensivo neonatal.</t>
  </si>
  <si>
    <t>8. Las puertas de acceso al servicio deben permitir el paso y giro de incubadoras y cunas.</t>
  </si>
  <si>
    <t>9. Disponibilidad de ambiente para extracción de leche materna y preparación de fórmulas artificiales.</t>
  </si>
  <si>
    <t>Modalidad telemedicina – prestador referencia</t>
  </si>
  <si>
    <t>CBN_DOT</t>
  </si>
  <si>
    <t>11. Cumple con los criterios que le sean aplicables de todos los servicios y adicionalmente por cada paciente cuenta con:</t>
  </si>
  <si>
    <t>11.1. Incubadora abierta o cuna para recién nacido</t>
  </si>
  <si>
    <t>11.2. Silla para el acompañante.</t>
  </si>
  <si>
    <t>12. Disponibilidad en el servicio de:</t>
  </si>
  <si>
    <t>12.1. Fonendoscopio neonatal.</t>
  </si>
  <si>
    <t>12.2. Tensiómetro neonatal (cuando no esté incluido en el monitor de signos vitales).</t>
  </si>
  <si>
    <t>12.3. Monitor de signos vitales que incluya frecuencia cardiaca, respiratoria, tensión arterial no invasiva y saturación de oxígeno, con accesorios neonatales</t>
  </si>
  <si>
    <t xml:space="preserve">12.4. Oxímetro con sensor neonatal (cuando no esté incluido en el monitor de signos vitales). </t>
  </si>
  <si>
    <t>12.5. Bomba de infusión.</t>
  </si>
  <si>
    <t>12.6. Resucitador pulmonar manual neonatal.</t>
  </si>
  <si>
    <t>12.7. Carro de paro</t>
  </si>
  <si>
    <t>12.8. Glucómetro.</t>
  </si>
  <si>
    <t xml:space="preserve">12.9. Monitor neonatal de transporte. </t>
  </si>
  <si>
    <t>12.10.Incubadora neonatal de transporte</t>
  </si>
  <si>
    <t>12.11.Ventilador neonatal de transporte</t>
  </si>
  <si>
    <t>12.12.Lámpara de fototerapia</t>
  </si>
  <si>
    <t>12.13.Báscula para bebés</t>
  </si>
  <si>
    <t>12.14.Tallímetro – infantómetro.</t>
  </si>
  <si>
    <t xml:space="preserve">12.15.Cinta métrica. </t>
  </si>
  <si>
    <t>12.16.Pesa pañales.</t>
  </si>
  <si>
    <t>12.17.Electrocardiógrafo, que permita su impresión, si no está incluida en el monitor de signos vitales.</t>
  </si>
  <si>
    <t xml:space="preserve">12.18.Equipo de órganos de los sentidos. </t>
  </si>
  <si>
    <t>12.19.Oxígeno medicinal que puede ser suministrado mediante salida de oxígeno medicinal o
mediante oxígeno medicinal portátil.</t>
  </si>
  <si>
    <t>12.20.Succión. Puede ser suministrado mediante sistema de vacío o mediante aspirador</t>
  </si>
  <si>
    <t>CBN_MD</t>
  </si>
  <si>
    <t>Modalidades intramural y telemedicina - prestador remisor – prestador de referencia</t>
  </si>
  <si>
    <t xml:space="preserve">14. Cumple con los criterios que le sean aplicables de todos los servicios, y adicionalmente </t>
  </si>
  <si>
    <t>14.1. cuenta con oxígeno medicinal.</t>
  </si>
  <si>
    <t>CBN_PP</t>
  </si>
  <si>
    <t>15. Cumple con los criterios que le sean aplicables de todos los servicios, y adicionalmente, cuenta con la siguiente información documentada:</t>
  </si>
  <si>
    <t xml:space="preserve">15.1. Ronda médica diaria de evolución de pacientes. </t>
  </si>
  <si>
    <t xml:space="preserve">15.2. Solicitud de interconsultas. </t>
  </si>
  <si>
    <t xml:space="preserve">15.3. Entrega de turno por parte de enfermería y de medicina. </t>
  </si>
  <si>
    <t xml:space="preserve">15.4. Control de líquidos. </t>
  </si>
  <si>
    <t xml:space="preserve">15.5. Plan de cuidados de enfermería. </t>
  </si>
  <si>
    <t xml:space="preserve">15.6. Administración de medicamentos. </t>
  </si>
  <si>
    <t xml:space="preserve">15.7. Sujeción de pacientes. </t>
  </si>
  <si>
    <t xml:space="preserve">15.8. Toma de muestras de laboratorio clínico. </t>
  </si>
  <si>
    <t xml:space="preserve">15.9. Cateterismo vesical. </t>
  </si>
  <si>
    <t xml:space="preserve">15.10.Preparación para la toma de imágenes diagnósticas. </t>
  </si>
  <si>
    <t xml:space="preserve">15.11.Indicaciones del cuidado de la salud al familiar o responsable. </t>
  </si>
  <si>
    <t xml:space="preserve">15.12.Transporte del recién nacido. </t>
  </si>
  <si>
    <t xml:space="preserve">15.13.Manejo de líquidos y electrolitos y alteración de los mismos. </t>
  </si>
  <si>
    <t>15.14.Prevención de la retinopatía del recién nacido</t>
  </si>
  <si>
    <t>15.15.Remisión del prematuro al seguimiento en programa canguro.</t>
  </si>
  <si>
    <t>Servicio Cuidado Intermedio Neonatal</t>
  </si>
  <si>
    <t>Complejidad: Mediana</t>
  </si>
  <si>
    <t>CBN_HCR</t>
  </si>
  <si>
    <t>Modalidad de prestación: Intramural
 Telemedicina – categorías:
 Telexperticia sincrónica prestador remisor y prestador referencia
Entre dos profesionales</t>
  </si>
  <si>
    <t>CIN_TH</t>
  </si>
  <si>
    <t xml:space="preserve">Modalidades intramural, telemedicina - prestador remisor </t>
  </si>
  <si>
    <t>CBN_INT</t>
  </si>
  <si>
    <t xml:space="preserve">Modalidades intramural </t>
  </si>
  <si>
    <t>18. Cumple con los criterios que le sean aplicables de todos los servicios y adicionalmente endisponibilidad:</t>
  </si>
  <si>
    <t>1.1. Profesional de la medicina especialista en pediatría.</t>
  </si>
  <si>
    <t xml:space="preserve">18.1. Servicio de laboratorio clínico. </t>
  </si>
  <si>
    <t>1.2. Profesional de la enfermería.</t>
  </si>
  <si>
    <t xml:space="preserve">18.2. Servicio farmacéutico. </t>
  </si>
  <si>
    <t>1.3. Auxiliar de enfermería.</t>
  </si>
  <si>
    <t xml:space="preserve">18.3. Servicio de transporte asistencial </t>
  </si>
  <si>
    <t>18.4. Servicio de imágenes diagnósticas.</t>
  </si>
  <si>
    <t>18.5. Servicio de cuidado intermedio neonatal.</t>
  </si>
  <si>
    <t>2.1. Profesional de la medicina especialista en neonatología.</t>
  </si>
  <si>
    <t xml:space="preserve">18.6. Servicios de apoyo hospitalario (lavandería y vigilancia). </t>
  </si>
  <si>
    <t>2.2. Profesional de terapia respiratoria o fisioterapia.</t>
  </si>
  <si>
    <t>Modalidad telemedicina - prestador remisor - prestador referencia</t>
  </si>
  <si>
    <t>2.3. Profesional de nutrición y dietética.</t>
  </si>
  <si>
    <t>19. No aplica.</t>
  </si>
  <si>
    <t>3. Todo el personal mencionado cuenta con constancia de asistencia en las acciones de formación continua para la atención del neonato, a excepción del médico especialista en neonatología.</t>
  </si>
  <si>
    <t xml:space="preserve">Modalidad telemedicina - prestador de referencia </t>
  </si>
  <si>
    <t xml:space="preserve">5. El profesional de salud puede hacer uso de la categoría telexperticia sincrónica entre profesionales
de la salud de acuerdo con lo definido por el prestador de servicios de salud en el estándar de
procesos prioritarios. </t>
  </si>
  <si>
    <t>6. Profesional de la medicina especialista en neonatología, puede realizar la disponibilidad en la
categoría telexperticia sincrónica entre profesionales de la salud de acuerdo con lo definido por el
prestador de servicios de salud en el estándar de procesos prioritarios.</t>
  </si>
  <si>
    <t>CIN_INF</t>
  </si>
  <si>
    <t>7.1. Ambiente a manera de filtro, para acceso del talento humano en salud y visitantes, con
lavamanos y área de casilleros.</t>
  </si>
  <si>
    <t xml:space="preserve">7.2. Estación de enfermería. </t>
  </si>
  <si>
    <t xml:space="preserve">7.3. Ambiente o área para brindar información a familiares. </t>
  </si>
  <si>
    <t xml:space="preserve">7.4. Área de incubadoras o cunas (4 m2), señalizado y de circulación restringida solo para personal
autorizado, que cuenta con: </t>
  </si>
  <si>
    <t>7.4.1.Sistema de vacío por incubadora o cuna.</t>
  </si>
  <si>
    <t>7.4.2.Oxigeno medicinal por incubadora o cuna</t>
  </si>
  <si>
    <t>7.5. Disponibilidad en el servicio de lavamanos.</t>
  </si>
  <si>
    <t>8. Los anteriores ambientes o áreas pueden ser compartidos entre los servicios de cuidado básico,intermedio e intensivo neonatal.</t>
  </si>
  <si>
    <t>9. Las puertas de acceso al servicio deben permitir el paso y giro de incubadoras y cunas.</t>
  </si>
  <si>
    <t xml:space="preserve">10. Disponibilidad de ambiente para extracción de leche materna y preparación de fórmulas artificiales. </t>
  </si>
  <si>
    <t>CIN_DOT</t>
  </si>
  <si>
    <t xml:space="preserve">12. Cumple con los criterios que le sean aplicables de todos los servicios y adicionalmente por cada
paciente cuenta con: </t>
  </si>
  <si>
    <t xml:space="preserve">12.1. Incubadora cerrada o cuna para recién nacido. </t>
  </si>
  <si>
    <t xml:space="preserve">12.2. Monitor de signos vitales que incluya frecuencia cardiaca, respiratoria y tensión arterial no
invasiva y saturación de oxígeno con accesorios neonatales. </t>
  </si>
  <si>
    <t>12.3. Bomba de infusión.</t>
  </si>
  <si>
    <t xml:space="preserve">12.4. Oxímetro, cuando no esté incluido en el monitor de signos vitales. </t>
  </si>
  <si>
    <t xml:space="preserve">12.5. Fonendoscopio neonatal. </t>
  </si>
  <si>
    <t xml:space="preserve">12.6. Silla para el acompañante. </t>
  </si>
  <si>
    <t xml:space="preserve">12.7. Resucitador pulmonar manual neonatal. </t>
  </si>
  <si>
    <t>13.  Disponibilidad de:</t>
  </si>
  <si>
    <t xml:space="preserve">13.1. Carro de paro. </t>
  </si>
  <si>
    <t xml:space="preserve">13.2. Equipo de rayos x portátil. </t>
  </si>
  <si>
    <t xml:space="preserve">13.3. Glucómetro. </t>
  </si>
  <si>
    <t xml:space="preserve">13.4. Monitor de transporte con accesorios neonatales. </t>
  </si>
  <si>
    <t xml:space="preserve">13.5. Incubadora de transporte. </t>
  </si>
  <si>
    <t>13.6. Ventilador neonatal de transporte que cuenta mínimo con:</t>
  </si>
  <si>
    <t>13.6.1. Sistemas de presión positiva continua en vía aérea (CPAP).</t>
  </si>
  <si>
    <t>13.6.2. Humidificador con control de temperatura</t>
  </si>
  <si>
    <t>13.6.3. Oxígeno medicinal</t>
  </si>
  <si>
    <t>13.6.4. Mezclador de gases medicinales</t>
  </si>
  <si>
    <t>13.6.5. Sistema de alarmas audibles y visuales.</t>
  </si>
  <si>
    <t>13.6.6. Batería</t>
  </si>
  <si>
    <t>13.7. Lámpara de fototerapia. .</t>
  </si>
  <si>
    <t>13.8. Báscula para bebés.</t>
  </si>
  <si>
    <t>13.9. Tallímetro o infantometro</t>
  </si>
  <si>
    <t xml:space="preserve">13.10.Cinta métrica </t>
  </si>
  <si>
    <t>13.11.Pesa pañales.</t>
  </si>
  <si>
    <t xml:space="preserve">13.12.Electrocardiografía neonatal con tres derivaciones, que permita su impresión, si no está
incluida en el monitor de signos vitales. </t>
  </si>
  <si>
    <t xml:space="preserve">13.13.Equipo de órganos de los sentidos. </t>
  </si>
  <si>
    <t xml:space="preserve">13.14.Bomba de infusión de jeringa. </t>
  </si>
  <si>
    <t>13.15.Incubadora abierta.</t>
  </si>
  <si>
    <t>CIN_MD</t>
  </si>
  <si>
    <t>15. Cumple con los criterios definidos para todos los servicios.</t>
  </si>
  <si>
    <t>15.1.  adicionalmente cuenta con oxígeno medicinal.</t>
  </si>
  <si>
    <t>CIN_PP</t>
  </si>
  <si>
    <t>16. Cumple con los criterios que le sean aplicables de todos los servicios y adicionalmente cuenta con
la siguiente información documentada:</t>
  </si>
  <si>
    <t xml:space="preserve">16.1. Ronda médica diaria de evolución de pacientes. </t>
  </si>
  <si>
    <t xml:space="preserve">16.2. Solicitud de interconsultas. </t>
  </si>
  <si>
    <t>16.3. Entrega de turno por parte de enfermería y de medicina.</t>
  </si>
  <si>
    <t xml:space="preserve">16.4. Control de líquidos. </t>
  </si>
  <si>
    <t xml:space="preserve">16.5. Plan de cuidados de enfermería. </t>
  </si>
  <si>
    <t xml:space="preserve">16.6. Administración de medicamentos. </t>
  </si>
  <si>
    <t xml:space="preserve">16.7. Sujeción de pacientes. </t>
  </si>
  <si>
    <t>16.9. Cateterismo vesical.</t>
  </si>
  <si>
    <t xml:space="preserve">16.10. Preparación para la toma de imágenes diagnósticas. </t>
  </si>
  <si>
    <t>16.11. Indicaciones del cuidado de la salud al familiar o responsable.</t>
  </si>
  <si>
    <t xml:space="preserve">16.12. Transporte del recién nacido. </t>
  </si>
  <si>
    <t xml:space="preserve">16.13. Manejo de líquidos y electrolitos y alteración de los mismos. </t>
  </si>
  <si>
    <t>16.14. Prevención de la retinopatía del recién nacido.</t>
  </si>
  <si>
    <t>16.15. Remisión del prematuro al seguimiento en programa canguro.</t>
  </si>
  <si>
    <t>16.16. Criterios de ingreso y egreso al servicio.</t>
  </si>
  <si>
    <t xml:space="preserve">16.17. Manejo del prematuro. </t>
  </si>
  <si>
    <t>16.18. Manejo de síndrome de dificultad respiratoria.</t>
  </si>
  <si>
    <t xml:space="preserve">16.19. Manejo de brotes de infección. </t>
  </si>
  <si>
    <t xml:space="preserve">16.20. Administración de sangre y derivados. </t>
  </si>
  <si>
    <t>16.21. Prevención de infecciones del torrente sanguíneo (bacteriemias) asociadas al uso de
dispositivos intravasculares (catéteres centrales y periféricos).</t>
  </si>
  <si>
    <t>16.22. Reanimación del recién nacido.</t>
  </si>
  <si>
    <t>CIN_HCR</t>
  </si>
  <si>
    <t>Modalidades intramural y telemedicina prestador remisor – prestador de referencia</t>
  </si>
  <si>
    <t>18. Cumple con los criterios definidos para todos los servicios</t>
  </si>
  <si>
    <t>CIN_INT</t>
  </si>
  <si>
    <t>19.1. Servicio de cuidado básico neonatal.</t>
  </si>
  <si>
    <t>19.2. Servicio de gestión pre transfusional.</t>
  </si>
  <si>
    <t xml:space="preserve">19.3. Servicio de laboratorio clínico. </t>
  </si>
  <si>
    <t>19.4.Servicio farmacéutico</t>
  </si>
  <si>
    <t>19.5. Imágenes diagnósticas</t>
  </si>
  <si>
    <t>20. Disponibilidad de:</t>
  </si>
  <si>
    <t>20.1. Servicio de cuidado intensivo neonatal.</t>
  </si>
  <si>
    <t>20.2. Servicio de transporte asistencial en complejidad mediana.</t>
  </si>
  <si>
    <t>20.3. Servicios de apoyo (lavandería y vigilancia).</t>
  </si>
  <si>
    <t>Servicio Cuidado Intensivo Neonatal</t>
  </si>
  <si>
    <t>Complejidad: Alta</t>
  </si>
  <si>
    <t>Modalidad de prestación: Intramural
 Telemedicina – categorías:
 Telexperticia sincrónica prestador remisor y prestador referencia
 Entre dos profesionales</t>
  </si>
  <si>
    <t>Servicio Cuidado Intermedio Pediátrico</t>
  </si>
  <si>
    <t>CINN_TH</t>
  </si>
  <si>
    <t xml:space="preserve">Modalidad intramural, telemedicina - prestador remisor </t>
  </si>
  <si>
    <t>1.1. Profesional de la medicina especialista en pediatría</t>
  </si>
  <si>
    <t>1.2. Profesional de la enfermería especialista en cuidado intensivo neonatal o con constancia de asistencia en las acciones de formación continua para la atención al paciente de cuidado intensivo neonatal.</t>
  </si>
  <si>
    <t xml:space="preserve"> CUIP_TH</t>
  </si>
  <si>
    <t>1.3. Profesional de terapia respiratoria o fisioterapia.</t>
  </si>
  <si>
    <t>1. Cumple con los criterios que le sean aplicables de todos los servicios y adicionalmente cuenta con</t>
  </si>
  <si>
    <t>1.4. Auxiliar de enfermería.</t>
  </si>
  <si>
    <t>2.1. Profesional de la medicina especialista en neonatología, con permanencia mínima de 6 horas por cada 24 horas.</t>
  </si>
  <si>
    <t>2.2. Profesional de la medicina especialista en oftalmología.</t>
  </si>
  <si>
    <t>1.1. Profesional de la medicina con especialidad en pediatria.</t>
  </si>
  <si>
    <t>2.3. Profesional de la medicina especialista en cardiología.</t>
  </si>
  <si>
    <t>2.4. Profesional de la medicina especialista en cirugía pediátrica.</t>
  </si>
  <si>
    <t>2.5. Profesional de nutrición y dietética.</t>
  </si>
  <si>
    <r>
      <t xml:space="preserve">3. Todo el talento humano en salud </t>
    </r>
    <r>
      <rPr>
        <b/>
        <sz val="11"/>
        <rFont val="Calibri"/>
      </rPr>
      <t xml:space="preserve">cuenta con </t>
    </r>
    <r>
      <rPr>
        <sz val="11"/>
        <color rgb="FF000000"/>
        <rFont val="Calibri"/>
      </rPr>
      <t>constancia de asistencia en las acciones de formación continua para la atención del paciente de cuidado intensivo neonatal, a excepción del médico (a) especialista en neonatología.</t>
    </r>
  </si>
  <si>
    <t>2.1. Profesional de la medicina especialista en cuidado intensivo pediátrico.</t>
  </si>
  <si>
    <t>2.2. Profesional de terapia respiratoria o de fisioterapia.</t>
  </si>
  <si>
    <t>5. El profesional de salud puede hacer uso de la categoría telexperticia sincrónica entre profesionales de la salud de acuerdo con lo definido por el prestador de servicios de salud en el estándar de procesos prioritarios.</t>
  </si>
  <si>
    <t>6. 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</si>
  <si>
    <t>7. 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</si>
  <si>
    <t>3. Todo el talento humano en salud cuenta con constancia de asistencia en las acciones de formación continua en atención del paciente de cuidado intermedio pediátrico con excepción del profesional especialista en cuidado intensivo pediátrico.</t>
  </si>
  <si>
    <t>CINN_INF</t>
  </si>
  <si>
    <t>8.1. Ambiente a manera de filtro, para acceso del talento humano en salud y visitantes, con lavamanos y área de casilleros.</t>
  </si>
  <si>
    <t>8.2. Estación de enfermería.</t>
  </si>
  <si>
    <t>8.3. Ambiente o área para brindar información a familiares</t>
  </si>
  <si>
    <t>5. El profesional de salud puede hacer uso de la categoría telexperticia sincrónica entre profesionales de la salud de acuerdo con lo definido por el prestador de servicios de salud en el estándar de procesos  prioritarios.</t>
  </si>
  <si>
    <t>8.4. Área de incubadoras o cunas (4 m2), señalizado y de circulación restringida solo para personal autorizado, que cuenta con</t>
  </si>
  <si>
    <t>6. 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</si>
  <si>
    <t>8.4.1. Sistema de vacío por incubadora o cuna.</t>
  </si>
  <si>
    <t>8.4.2. Oxigeno medicinal por incubadora o cuna.</t>
  </si>
  <si>
    <t>CUIP_INF</t>
  </si>
  <si>
    <t>9. Disponibilidad en el servicio de lavamanos.</t>
  </si>
  <si>
    <t>10. Los anteriores ambientes o áreas pueden ser compartidos entre los servicios de cuidado básico, intermedio e intensivo neonatal.</t>
  </si>
  <si>
    <t>11. Las puertas de acceso al servicio deben permitir el paso y giro de incubadoras y cunas.</t>
  </si>
  <si>
    <t>12. Disponibilidad de ambiente para extracción de leche materna y preparación de fórmulas artificiales</t>
  </si>
  <si>
    <t>13. Cumple con los criterios que le sean aplicables de todos los servicios</t>
  </si>
  <si>
    <t>7.1. Ambiente  a  manera  de  filtro, para  acceso  del talento  humano  en  salud  y  visitantes,  con lavamanos y área de casilleros.</t>
  </si>
  <si>
    <t>14. Cumple con los criterios que le sean aplicables de todos los servicios y adicionalmente por cada paciente cuenta con:</t>
  </si>
  <si>
    <t>7.2. Estación de enfermería.</t>
  </si>
  <si>
    <t>14.1.Incubadora cerrada que cuenta mínimo con:</t>
  </si>
  <si>
    <t>14.1.1. Doble pared</t>
  </si>
  <si>
    <t>7.3. Ambiente o área para brindar información a familiares.</t>
  </si>
  <si>
    <t>14.1.2. Controles de temperatura para aire y piel</t>
  </si>
  <si>
    <t>14.1.3. Control de humedad.</t>
  </si>
  <si>
    <t>7.4. Ambiente de cubículos por cunas (4 m2 ),  o camas (8 m2 ),  señalizado y de circulación restringida solo para personal autorizado, con:</t>
  </si>
  <si>
    <t>14.1.4. Sensor de piel</t>
  </si>
  <si>
    <t xml:space="preserve">7.4.1. Salida de oxígeno medicinal por cuna o cama. </t>
  </si>
  <si>
    <t>14.2. Ventilador neonatal que cuenta mínimo con:</t>
  </si>
  <si>
    <t>7.4.2. Salida de aire medicinal por cuna o cama.</t>
  </si>
  <si>
    <t>14.2.1. Sistemas de presión positiva continua en vía aérea (CPAP) o dispositivos para ventilación mecánica no invasiva.</t>
  </si>
  <si>
    <t>14.2.2. Humidificador con control de temperatura.</t>
  </si>
  <si>
    <t xml:space="preserve">7.4.3.Sistema de vacío por cuna o cama. </t>
  </si>
  <si>
    <t>14.2.3. Aire medicinal</t>
  </si>
  <si>
    <t>14.2.4. Mezclador de gases medicinales</t>
  </si>
  <si>
    <t>7.5. Lavamanos, que puede ser compartido entre varios cublculos.</t>
  </si>
  <si>
    <t>14.2.5.Sistema de alarmas audibles y visuales.</t>
  </si>
  <si>
    <t>8. Los anteriores ambientes pueden ser compartidos entre los servicios de cuidado intermedio e intensivo pediátricos.</t>
  </si>
  <si>
    <t>14.2.6. Batería</t>
  </si>
  <si>
    <t>9. Las puertas de acceso al servicio deben permitir el paso y giro de cunas o camas.</t>
  </si>
  <si>
    <t>14.3. Mínimo dos puntos de consumo de oxígeno</t>
  </si>
  <si>
    <t>10. Disponibilidad de:</t>
  </si>
  <si>
    <t>14.4. Flujómetro</t>
  </si>
  <si>
    <t>14.5. Resucitador pulmonar manual neonatal con control de presión</t>
  </si>
  <si>
    <t>10.1. Ambiente para extracción de leche materna y preparación de fórmulas artificiales.</t>
  </si>
  <si>
    <t>14.6. Monitor de signos vitales que incluya frecuencia cardíaca, respiratoria, tensión arterial no invasiva y saturación de oxígeno, con accesorios neonatales y batería.</t>
  </si>
  <si>
    <t>10.2. Ambiente de aislamiento.</t>
  </si>
  <si>
    <t>14.7. Bomba de infusión</t>
  </si>
  <si>
    <t>14.8. Oxímetro, cuando no esté incluido en el monitor de signos vitales.</t>
  </si>
  <si>
    <t>14.9. Fonendoscopio neonatal</t>
  </si>
  <si>
    <t>14.10. Silla para el acompañante</t>
  </si>
  <si>
    <t>15. Disponibilidad en el servicio de:</t>
  </si>
  <si>
    <t>CUIP_DOT</t>
  </si>
  <si>
    <t>Complejidad  mediana</t>
  </si>
  <si>
    <t>15.1. Monitor de la estación central del equipo de monitorización del paciente con alarmas visibles y audibles, en los casos en los cuales no existe control visual permanente.</t>
  </si>
  <si>
    <t>15.2. Carro de paro</t>
  </si>
  <si>
    <t>15.3. Monitor de signos vitales de transporte</t>
  </si>
  <si>
    <t>12. Cumple con tos criterios que le sean aplicables de todos los servicios y adicionalmente por cada cubículo o paciente cuenta con:</t>
  </si>
  <si>
    <t>15.4. Ventilador neonatal de transporte.</t>
  </si>
  <si>
    <t>12.1. Cuna o cama hospitalaria de dos o tres planos de acuerdo con el tipo de servicio ofrecido.</t>
  </si>
  <si>
    <t>15.5. Ventilador neonatal de alta frecuencia, si el ventilador convencional no cuenta con estas especificaciones.</t>
  </si>
  <si>
    <t>15.6. Incubadora de transporte</t>
  </si>
  <si>
    <t>12.2. Monitor de signos vitales con trazado electrocardiográfico, presión no invasiva y saturación de oxígeno. Con accesorios  pediátricos.</t>
  </si>
  <si>
    <t>15.7. Glucómetro</t>
  </si>
  <si>
    <t>15.8. Monitor de signos vitales con presión invasiva</t>
  </si>
  <si>
    <t>15.9. Lámpara de fototerapia</t>
  </si>
  <si>
    <t>12.4. Oxímetro con sensor pediátrico, cuando no esté incluido en el monitor.</t>
  </si>
  <si>
    <t>15.10. Electrocardiografía neonatal con tres derivaciones, que permita su impresión, si no está incluida en el monitor de signos vitales.</t>
  </si>
  <si>
    <t>15.11. Equipo de órganos</t>
  </si>
  <si>
    <t>12.5. Tensiómetro por cada paciente cuando no esté incluido en el monitor.</t>
  </si>
  <si>
    <t>15.12. Bomba de infusión de jeringa.</t>
  </si>
  <si>
    <t>12.6. Fonendoscopio pediátrico o adulto por cada paciente.</t>
  </si>
  <si>
    <t>15.13. Incubadora abierta.</t>
  </si>
  <si>
    <t>Servicio Cuidado Intensivo Pediátrico</t>
  </si>
  <si>
    <t>15.14. Báscula para bebés.</t>
  </si>
  <si>
    <t>12.7. Resucitador pulmonar manual pediátrico por cada paciente.</t>
  </si>
  <si>
    <t>Complejidad: Alta
Modalidad de prestación: lntramural
Telemedicina - categorías: Telexperticia sincrónica prestador remisor y prestador referencia Entre dos profesionales</t>
  </si>
  <si>
    <t>15.15. Tallímetro</t>
  </si>
  <si>
    <t>13. Disponibilidad en el servicio:</t>
  </si>
  <si>
    <t>15.16. Cinta métrica</t>
  </si>
  <si>
    <t>CIP_TH</t>
  </si>
  <si>
    <t>13.1. Carro de paro.</t>
  </si>
  <si>
    <t>15.17. Pesa pañales</t>
  </si>
  <si>
    <t>16. Disponibilidad de equipo de rayos X portátil.</t>
  </si>
  <si>
    <t>13.2. Glucómetro.</t>
  </si>
  <si>
    <t>1.1. Profesional de la medicina especialista en pediatria</t>
  </si>
  <si>
    <t>13.3. Equipo de órganos de los sentidos.</t>
  </si>
  <si>
    <t>CINN_MD</t>
  </si>
  <si>
    <t>1.2. Profesional de la enfermería especialista en cuidado crítico o cuidado crítico pediátrico o profesional de la enfermería con constancia de asistencia en las acciones de formación continua del control del paciente de cuidado intensivo pediátrico</t>
  </si>
  <si>
    <t>18.Cumple con los criterios definidos para todos los servicios.</t>
  </si>
  <si>
    <t>13.4. Monitor de signos vitales de transporte con accesorios pediátrico.</t>
  </si>
  <si>
    <t>1.3. Profesional de terapia respiratoria o fisioterapia</t>
  </si>
  <si>
    <t>18.1. adicionalmente cuenta con oxígeno medicinal.</t>
  </si>
  <si>
    <t>13.5. Oxígeno medicinal portátil</t>
  </si>
  <si>
    <t>1.4. Auxiliar de enfermería con constancia de asistencia en acciones de formación continua en asistencia en soporte vital básico.</t>
  </si>
  <si>
    <t>13.6. Tallimetro</t>
  </si>
  <si>
    <t>CINN_PP</t>
  </si>
  <si>
    <t>13.7. Cinta métrica</t>
  </si>
  <si>
    <t>13.8. Aspirador</t>
  </si>
  <si>
    <t xml:space="preserve">13.9. Equipo de rayos x portátil. </t>
  </si>
  <si>
    <t>2.1. Profesional de la medicina especialista en cuidado intensivo pediátrico, con permanencia mínima de 6 horas por cada 24 horas.</t>
  </si>
  <si>
    <r>
      <t xml:space="preserve">20. Cumple con los criterios que le sean aplicables de todos los servicios y adicionalmente </t>
    </r>
    <r>
      <rPr>
        <b/>
        <sz val="11"/>
        <rFont val="Calibri"/>
      </rPr>
      <t>cuenta con</t>
    </r>
    <r>
      <rPr>
        <sz val="11"/>
        <color rgb="FF000000"/>
        <rFont val="Calibri"/>
      </rPr>
      <t xml:space="preserve"> la siguiente información documentada:</t>
    </r>
  </si>
  <si>
    <t>13.10. Ventilador de transporte</t>
  </si>
  <si>
    <t>2.2. Si oferta atención a pacientes quemados en condición crítica, disponibilidad de especialista en cirugía plástica.</t>
  </si>
  <si>
    <t>13.11. Electrocardiógrafo</t>
  </si>
  <si>
    <t>20.1. Ronda médica diaria de evolución de pacientes.</t>
  </si>
  <si>
    <t>2.3. Profesional de la medicina especialista en cirugía pediátrica.</t>
  </si>
  <si>
    <t>20.2. Solicitud de interconsultas.</t>
  </si>
  <si>
    <t>14. Cumple con los criterios que le sean aplicables de todos los servicios</t>
  </si>
  <si>
    <t>20.3. Entrega de turno por parte de enfermería y de medicina.</t>
  </si>
  <si>
    <t>2.4. Profesional de la medicina especialista en cardiología pediátrica</t>
  </si>
  <si>
    <t>CUIP_MD</t>
  </si>
  <si>
    <t>Compleiidad  mediana</t>
  </si>
  <si>
    <t>20.4. Control de líquidos</t>
  </si>
  <si>
    <t>2.5. Profesional de Psicología.</t>
  </si>
  <si>
    <t>20.5. Plan de cuidados de enfermería.</t>
  </si>
  <si>
    <t>2.6. Profesional de Fonoaudiología.</t>
  </si>
  <si>
    <t>15. Cumple con los criterios que le sean aplicables de todos los servicios y adicionalmente cuenta con oxígeno medicinal.</t>
  </si>
  <si>
    <t>20.6. Administración de medicamentos.</t>
  </si>
  <si>
    <t>20.7. Sujeción de pacientes.</t>
  </si>
  <si>
    <t>2.7. Profesional de Terapia ocupacional si atiende pacientes quemados en condición crítica.</t>
  </si>
  <si>
    <t>20.8. Toma de muestras de laboratorio clínico.</t>
  </si>
  <si>
    <t>16. Cumple con los criterios que te sean aplicables de todos los servicios.</t>
  </si>
  <si>
    <t>2.8. Profesional de nutrición y dietética.</t>
  </si>
  <si>
    <t>20.9. Cateterismo vesical.</t>
  </si>
  <si>
    <t>3. 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</si>
  <si>
    <t>CUIP_PP</t>
  </si>
  <si>
    <t>4. Todo el talento humano en salud cuenta con constancia de asistencia en las acciones de formación continua del paciente de cuidado intensivo pediátrico, a excepción del especialista en cuidado intensivo pediátrico.</t>
  </si>
  <si>
    <t>20.10. Preparación para la toma de imágenes diagnósticas.</t>
  </si>
  <si>
    <t>Modalidades intramural,  telemedicina - prestador remisor</t>
  </si>
  <si>
    <t>5. Todo el talento humano en salud cuenta con constancia de asistencia en las acciones de formación continua en atención al paciente quemado, si atiende pacientes quemados en condiciones críticas, a excepción del profesional de la medicina especialista en cirugía plástica.</t>
  </si>
  <si>
    <t>20.11. Indicaciones del cuidado de la salud al familiar o responsable.</t>
  </si>
  <si>
    <t>17. Cumple con los criterios que le sean aplicables de todos los servicios y adicionalmente cuenta con la siguiente  información documentada:</t>
  </si>
  <si>
    <t>20.12. Transporte del recién nacido.</t>
  </si>
  <si>
    <t>17.1. Criterios de ingreso y egreso al servicio.</t>
  </si>
  <si>
    <t>20.13. Manejo de líquidos y electrolitos y alteración de los mismos.</t>
  </si>
  <si>
    <t>7. El profesional de salud puede hacer uso de la categoría telexperticia sincrónica entre profesionales de la salud de acuerdo con lo definido por el prestador de servicios de salud en el estándar de procesos prioritarios.</t>
  </si>
  <si>
    <t>20.14. Prevención de la retinopatía del recién nacido.</t>
  </si>
  <si>
    <t>17.2. Manejo de las principales causas de hospitalización, según oferta.</t>
  </si>
  <si>
    <t>20.15. Remisión del prematuro al seguimiento en programa canguro</t>
  </si>
  <si>
    <t>8. 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</si>
  <si>
    <t>17.3. Ronda médica diaria de evolución de pacientes.</t>
  </si>
  <si>
    <t>20.16. Criterios de ingreso y egreso al servicio</t>
  </si>
  <si>
    <t>9. 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</si>
  <si>
    <t>17.4. Solicitud de interconsultas.</t>
  </si>
  <si>
    <t>20.17. Manejo del prematuro.</t>
  </si>
  <si>
    <t>CIP_INF</t>
  </si>
  <si>
    <t>17.5. Entrega de turno por parte de enfermería y de medicina.</t>
  </si>
  <si>
    <t>20.18. Manejo de síndrome de dificultad respiratoria</t>
  </si>
  <si>
    <t>17.6. Control de líquidos.</t>
  </si>
  <si>
    <t>20.19. Manejo de brotes de infección</t>
  </si>
  <si>
    <t>17.7. Plan de cuidados de enfermería.</t>
  </si>
  <si>
    <t>20.20. Administración de sangre y derivados.</t>
  </si>
  <si>
    <t>10.1. Ambiente a manera de filtro, para acceso del talento humano en salud y visitantes, con lavamanos y área de casilleros.</t>
  </si>
  <si>
    <t>20.21. Prevención de infecciones del torrente sanguíneo (bacteriemias) asociadas al uso de dispositivos intravasculares (catéteres centrales y periféricos).</t>
  </si>
  <si>
    <t xml:space="preserve">17.8. Administración  de medicamentos. </t>
  </si>
  <si>
    <t>10.2. Estación de enfermería.</t>
  </si>
  <si>
    <t>20.22. Manejo de convulsiones.</t>
  </si>
  <si>
    <t>17.9. Sujeción de pacientes.</t>
  </si>
  <si>
    <t>10.3. Ambiente o área para brindar información a familiares.</t>
  </si>
  <si>
    <t>20.23 Principales causas de internación en el servicio</t>
  </si>
  <si>
    <t>20.24. Manejo de ductus arterioso persistente.</t>
  </si>
  <si>
    <t xml:space="preserve">17.10. Toma de muestras de laboratorio. </t>
  </si>
  <si>
    <t>10.4. Ambiente de cubículos por cunas (4 m2), o camas (8 m2), señalizado y de circulación restringida solo para personal autorizado, con:</t>
  </si>
  <si>
    <t>20.25. Manejo de enterocolitis.</t>
  </si>
  <si>
    <t>17.11. Cateterismo vesical.</t>
  </si>
  <si>
    <t>20.26. Manejo de hipoglicemia e hiperglicemia.</t>
  </si>
  <si>
    <t>10.5. Salida de oxígeno medicinal por cuna o cama.</t>
  </si>
  <si>
    <t>17.12. Preparación para la toma de imágenes diagnósticas.</t>
  </si>
  <si>
    <t>20.27. Manejo de ictericia.</t>
  </si>
  <si>
    <t>10.6. Salida de aire medicinal por cuna o cama.</t>
  </si>
  <si>
    <t>20.28. Manejo de policitemia.</t>
  </si>
  <si>
    <t>17.13. Ilustrar al paciente en el auto cuidado de la salud y la preservación de la seguridad de su atención.</t>
  </si>
  <si>
    <t>10.7. Sistema de vacío por cuna o cama.</t>
  </si>
  <si>
    <t>20.29.Nutrición enteral y parenteral.</t>
  </si>
  <si>
    <t xml:space="preserve">17.14. Información a usuarios. </t>
  </si>
  <si>
    <t>11. Lavamanos, que puede ser compartido entre varios cubículos.</t>
  </si>
  <si>
    <t>20.30. Manejo de neonatos producto de partos con ruptura prematura o prolongada de membranas.</t>
  </si>
  <si>
    <t>17.15. Revisión del carro de paro.</t>
  </si>
  <si>
    <t>20.31. Manejo de cardiopatías congénitas.</t>
  </si>
  <si>
    <t>12. Los anteriores ambientes pueden ser compartidos entre los servicios de cuidado intermedio e intensivo pediátricos.</t>
  </si>
  <si>
    <t>20.32. Ventilación mecánica.</t>
  </si>
  <si>
    <t>13. Las puertas de acceso al servicio deben permitir el paso y giro de cunas o camas.</t>
  </si>
  <si>
    <t>17.16. Actividades de rehabilitación: fisioterapia, terapia ocupacional y terapia del lenguaje, que incluya los tipos de elementos e insumos requeridos para cada tipo de actividad, según se requiera.</t>
  </si>
  <si>
    <t>20.33. Uso de surfactante pulmonar.</t>
  </si>
  <si>
    <t>20.34. Monitorización del gasto cardiaco, cuando se manejen pacientes de posoperatorio de cirugía cardiaca.</t>
  </si>
  <si>
    <t>14. Disponibilidad de:</t>
  </si>
  <si>
    <t>17.17. Valoración y seguimiento por nutrición que incluya minuta patrón de alimentos.</t>
  </si>
  <si>
    <t>20.35. Evaluación oftalmológica de retinopatía del prematuro.</t>
  </si>
  <si>
    <t>14.1. Ambiente para extracción de leche materna y preparación de fórmulas artificiales.</t>
  </si>
  <si>
    <t>20.36. Reanimación del neonato.</t>
  </si>
  <si>
    <t>17.18. Inserción de catéteres centrales.</t>
  </si>
  <si>
    <t>14.2. Ambiente de aislamiento.</t>
  </si>
  <si>
    <t>20.37. Cribado neonatal</t>
  </si>
  <si>
    <t>CINN_HCR</t>
  </si>
  <si>
    <t>Modalidades intramural, telemedicina - prestador remisor – prestador de referencia</t>
  </si>
  <si>
    <t xml:space="preserve">17.19. Cambio de líneas Intravenosas (centrales y periféricas) </t>
  </si>
  <si>
    <t>15. Cuando se oferte atención de paciente pediátrico quemado en condiciones críticas, cuenta con ambiente por cada paciente y sifón tapa ciega.</t>
  </si>
  <si>
    <t>17.20. Alimentación enteral y parenteral.</t>
  </si>
  <si>
    <t>CINN_INT</t>
  </si>
  <si>
    <t>17.21. Punción lumbar.</t>
  </si>
  <si>
    <t>22. Cumple con los criterios que le sean aplicables de todos los servicios y adicionalmente cuenta con:</t>
  </si>
  <si>
    <t>22.1. Servicio de cuidado básico neonatal.</t>
  </si>
  <si>
    <t xml:space="preserve">17.22. Cuidados por terapia respiratoria. </t>
  </si>
  <si>
    <t>22.2. Servicio de cuidado intermedio neonatal.</t>
  </si>
  <si>
    <t>CIP_DOT</t>
  </si>
  <si>
    <t>17.23. Oxigenoterapia.</t>
  </si>
  <si>
    <t>22.3. Servicio de cirugía, para la atención de paciente pediátrico.</t>
  </si>
  <si>
    <t xml:space="preserve">17.24. Medidas para reducir el riesgo de la atención del paciente critico. </t>
  </si>
  <si>
    <t>22.4. Servicio de gestión pre transfusional.</t>
  </si>
  <si>
    <t>17. Cumple con los criterios que le sean aplicables de todos los servicios y adicionalmente por cada cubículo o paciente cuenta con:</t>
  </si>
  <si>
    <t>17.25. Control de visitas.</t>
  </si>
  <si>
    <t>22.5. Servicio de laboratorio clínico.</t>
  </si>
  <si>
    <t>17.1. Cuna o cama hospitalaria de dos o tres planos de acuerdo con el tipo de servicio ofrecido.</t>
  </si>
  <si>
    <t>22.6. Servicio farmacéutico</t>
  </si>
  <si>
    <t>17.26. Reanimación cardio cerebro pulmonar del paciente pediátrico.</t>
  </si>
  <si>
    <t>17.2. Monitor de signos vitales con trazado electrocardiográfico, presión no invasiva y saturación de oxígeno. Con accesorios pediátricos.</t>
  </si>
  <si>
    <t>22.7.. Servicio de imágenes diagnósticas</t>
  </si>
  <si>
    <t>17.3. Bomba de infusión.</t>
  </si>
  <si>
    <t>23. Disponibilidad de:</t>
  </si>
  <si>
    <t>23.1. Servicio de transporte asistencial en complejidad mediana.</t>
  </si>
  <si>
    <t>17.4. Oxímetro con sensor pediátrico, cuando no esté incluido en el monitor.</t>
  </si>
  <si>
    <t>23.2. Servicios de apoyo (lavandería y vigilancia).</t>
  </si>
  <si>
    <t>17.5. Tensiómetro por cada paciente cuando no esté incluido en el monitor.</t>
  </si>
  <si>
    <t>CUIP_HCR</t>
  </si>
  <si>
    <t>Modalidades intramural, telemedicina - prestador remisor - prestador referencia</t>
  </si>
  <si>
    <t>24. No aplica.</t>
  </si>
  <si>
    <t>17.6. Fonendoscopio pediátrico o adulto por cada paciente.</t>
  </si>
  <si>
    <t>17.7. Resucitador pulmonar manual pediátrico por cada paciente.</t>
  </si>
  <si>
    <t>CUIP_INT</t>
  </si>
  <si>
    <t>17.8. Ventilador pediátrico.</t>
  </si>
  <si>
    <t>18. Cuando se oferte atención de paciente pediátrico quemado en condiciones críticas, cuenta con la dotación de los elementos y equipos biomédicos, que se requieran de acuerdo con los procedimientos definidos en el estándar de procesos prioritarios.</t>
  </si>
  <si>
    <t>20.1. Servicio de laboratorio clinico.</t>
  </si>
  <si>
    <t>19. Disponibilidad en el servicio:</t>
  </si>
  <si>
    <t>20.2. Servicio farmacéutico.</t>
  </si>
  <si>
    <t>19.1. Carro de paro</t>
  </si>
  <si>
    <t>20.3. Servicio de gestión pre transfusional.</t>
  </si>
  <si>
    <t>19.2. Glucómetro.</t>
  </si>
  <si>
    <t>19.3. Equipo de órganos de los sentidos.</t>
  </si>
  <si>
    <t>20.4. Servicio de imágenes diagnósticas.</t>
  </si>
  <si>
    <t>20.5. Servicio de hospitalización, para atención del paciente pediátrico.</t>
  </si>
  <si>
    <t>19.4. Monitor de signos vitales de transporte con accesorios pediátrico.</t>
  </si>
  <si>
    <t>19.5. Oxígeno medicinal portátil</t>
  </si>
  <si>
    <t>19.6. Tallímetro</t>
  </si>
  <si>
    <t>21.1 Transporte asistencial, en complejidad mediana.</t>
  </si>
  <si>
    <t>19.7. Cinta métrica</t>
  </si>
  <si>
    <t>21.2. Servicios de apoyo (alimentación, lavanderia y vigilancia).</t>
  </si>
  <si>
    <t>19.8. Aspirador</t>
  </si>
  <si>
    <t>19.9. Equipo de rayos x portátil.</t>
  </si>
  <si>
    <t>19.10. Ventilador de transporte</t>
  </si>
  <si>
    <t>19.11. Electrocardiógrafo</t>
  </si>
  <si>
    <t>19.12. Marcapasos</t>
  </si>
  <si>
    <t>19.13. Ecógrafo.</t>
  </si>
  <si>
    <t>19.14. Monitor de signos vitales con presión invasiva, cuando no esté incluida en el monitor de signos vitales de transporte.</t>
  </si>
  <si>
    <t>CIP_MD</t>
  </si>
  <si>
    <t>21. Cumple con los criterios que le sean aplicables de todos los servicios, y adicionalmente cuenta con oxígeno medicinal.</t>
  </si>
  <si>
    <t>CIP_PP</t>
  </si>
  <si>
    <t>23. Cumple con los criterios que le sean aplicables de todos los servicios y adicionalmente cuenta con la siguiente información documentada:</t>
  </si>
  <si>
    <t>23.1. Criterios de ingreso y egreso al servicio.</t>
  </si>
  <si>
    <t>23.2. Manejo de las principales causas de hospitalización, según oferta.</t>
  </si>
  <si>
    <t>23.3. Ronda médica diaria de evolución de pacientes.</t>
  </si>
  <si>
    <t>23.4. Solicitud de interconsultas.</t>
  </si>
  <si>
    <t>23.5. Entrega de turno por parte de enfermería y de medicina.</t>
  </si>
  <si>
    <t>23.6. Control de líquidos.</t>
  </si>
  <si>
    <t>23.7. Plan de cuidados de enfermería.</t>
  </si>
  <si>
    <t>23.8. Administración de medicamentos.</t>
  </si>
  <si>
    <t>23.9. Sujeción de pacientes.</t>
  </si>
  <si>
    <t>23.10. Toma de muestras de laboratorio.</t>
  </si>
  <si>
    <t>23.11. Cateterismo vesical.</t>
  </si>
  <si>
    <t>23.12. Preparación para la toma de imágenes diagnósticas.</t>
  </si>
  <si>
    <t>23.13. Ilustrar al paciente en el auto cuidado de la salud y la preservación de la seguridad de su atención.</t>
  </si>
  <si>
    <t>23.14. Información a usuarios.</t>
  </si>
  <si>
    <t>23.15. Revisión del carro de paro.</t>
  </si>
  <si>
    <t>23.16. Actividades de rehabilitación: fisioterapia, terapia ocupacional y terapia del lenguaje, que incluya los tipos de elementos e insumos requeridos para cada tipo de actividad, según se requiera.</t>
  </si>
  <si>
    <t>23.17. Valoración y seguimiento por nutrición que incluya minuta patrón de alimentos.</t>
  </si>
  <si>
    <t>23.18. Inserción de catéteres centrales.</t>
  </si>
  <si>
    <t>23.19. Cambio de líneas Intravenosas (centrales y periféricas)</t>
  </si>
  <si>
    <t>23.20. Alimentación enteral y parenteral.</t>
  </si>
  <si>
    <t>23.21. Punción lumbar.</t>
  </si>
  <si>
    <t>23.22. Cuidados por terapia respiratoria.</t>
  </si>
  <si>
    <t>23.23. Oxigenoterapia.</t>
  </si>
  <si>
    <t>23.24. Medidas para reducir el riesgo de la atención del paciente crítico.</t>
  </si>
  <si>
    <t>23.25. Control de visitas.</t>
  </si>
  <si>
    <t>23.26. Reanimación cardio cerebro pulmonar del paciente pediátrico</t>
  </si>
  <si>
    <t>23.27. Inserción de marcapaso interno transitorio si la unidad atiende pacientes con patologías cardiovasculares</t>
  </si>
  <si>
    <t>23.28. Toracentesis.</t>
  </si>
  <si>
    <t>23.29. Anticoagulación profiláctica si se manejan pacientes cardiovasculares y oncológicos.</t>
  </si>
  <si>
    <t>23.30. Toracostomía.</t>
  </si>
  <si>
    <t>23.31. Terapias de reemplazo renal.</t>
  </si>
  <si>
    <t>23.32. Cumplimiento de las actividades de la gestión operativa de la donación.</t>
  </si>
  <si>
    <t>24. Si atiende pacientes críticamente quemados, adicionalmente cuenta con:</t>
  </si>
  <si>
    <t>24.1. Criterios de inclusión al servicio,</t>
  </si>
  <si>
    <t>24.2. Procedimientos para la atención de los pacientes críticamente quemados, que incluya los equipos biomédicos, medicamentos y dispositivos médicos e insumos requeridos.</t>
  </si>
  <si>
    <t>CIP_HCR</t>
  </si>
  <si>
    <t>Modalidades intramural, telemedicina - prestador remisor – prestador referencia</t>
  </si>
  <si>
    <t>CIP_INT</t>
  </si>
  <si>
    <t>27.1. Servicio de cuidado intermedio pediátrico.</t>
  </si>
  <si>
    <t>27.2. Servicio de cirugía.</t>
  </si>
  <si>
    <t>27.3. Servicio de laboratorio clínico.</t>
  </si>
  <si>
    <t>27.4. Servicio farmacéutico.</t>
  </si>
  <si>
    <t>27.5. Servicio de gestión pre transfusional.</t>
  </si>
  <si>
    <t>27.6. Servicio de imágenes diagnósticas.</t>
  </si>
  <si>
    <t>27.7. Servicio de hospitalización, para atención de paciente pediátrico.</t>
  </si>
  <si>
    <t>28.1. Transporte asistencial de complejidad mediana.</t>
  </si>
  <si>
    <t>28.2. Servicios de apoyo (alimentación, lavandería y vigilancia).</t>
  </si>
  <si>
    <t>29. Si maneja pacientes críticamente quemados, adicionalmente cuenta con oferta de trasplante de piel.</t>
  </si>
  <si>
    <t>Servicio Cuidado Intermedio Adulto</t>
  </si>
  <si>
    <t>CIMA_TH</t>
  </si>
  <si>
    <t xml:space="preserve">Modalidad intramural, telemedicina - prestador remisor
</t>
  </si>
  <si>
    <t xml:space="preserve">1.1. Profesional de la medicina especialista en medicina interna.
</t>
  </si>
  <si>
    <t xml:space="preserve">1.2. Profesional de la enfermería.
</t>
  </si>
  <si>
    <t xml:space="preserve">2.1. Profesional  de  la  medicina  especialista en  medicina  crítica  o  cuidado  intensivo  o anestesiología o cirugía general o medicina de urgencias.
</t>
  </si>
  <si>
    <t>2.2. Profesional en terapia respiratoria o fisioterapia</t>
  </si>
  <si>
    <t>2.3. Profesional en nutrición y dietética.</t>
  </si>
  <si>
    <t xml:space="preserve">3. Todo el personal cuenta con acciones de formación continua en atención del paciente de cuidado intermedio adultos, a excepción de los especialistas en medicina critica o cuidado intensivo.
</t>
  </si>
  <si>
    <t xml:space="preserve">4. Cumple con los criterios que le sean aplicables de todos los servicios.
</t>
  </si>
  <si>
    <t>5. Profesional de la medicina especialista en medicina crítica o cuidado intensivo o anestesiologia o cirugía general o medicina de urgencias, puede realizar la disponibilidad en la categoría telexperticia sincrónica entre profesionales de la salud de acuerdo con lo definido por el prestador de servicios de salud en e! estándar de procesos prioritarios.</t>
  </si>
  <si>
    <t xml:space="preserve">6.El profesional de la salud puede hacer uso de la telexperticia sincrónica entre profesionales de la salud, de acuerdo con lo definido por el prestador de servicios de salud en el estándar de procesos prioritarios.
</t>
  </si>
  <si>
    <t>CIMA_INF</t>
  </si>
  <si>
    <t>7.1 Ambiente a manera de filtro, para acceso del talento humano en salud y visitantes, con lavamanos y área de casilleros.</t>
  </si>
  <si>
    <t>7.3. Ambiente para brindar información a familiares.</t>
  </si>
  <si>
    <r>
      <t xml:space="preserve">7.4. Cubículos de 8 m2 que </t>
    </r>
    <r>
      <rPr>
        <b/>
        <sz val="11"/>
        <rFont val="Calibri"/>
      </rPr>
      <t>cuentan con:</t>
    </r>
  </si>
  <si>
    <t xml:space="preserve">7.4.1. Salida de oxigeno medicinal. </t>
  </si>
  <si>
    <t>7.4.2. Sistema de vacío</t>
  </si>
  <si>
    <t>7.5.  Lavamanos, que puede ser compartido entre varios cubiculos.</t>
  </si>
  <si>
    <t>7.5.1. La distribución de la cama dentro del cubículo debe permitir movilización del talento humano, pacientes, usuarios y equipos biomédicos.</t>
  </si>
  <si>
    <t xml:space="preserve">8. Los anteriores ambientes pueden ser compartidos entre los servicios de cuidado intermedio e intensivo adultos.
</t>
  </si>
  <si>
    <t xml:space="preserve">Modalidad telemedicina - prestador de referencia
</t>
  </si>
  <si>
    <t>CIMA_DOT</t>
  </si>
  <si>
    <r>
      <t xml:space="preserve">10. Cumple con los criterios que le sean aplicables de todos los servicios y adicionalmente por cada cubículo </t>
    </r>
    <r>
      <rPr>
        <b/>
        <sz val="11"/>
        <rFont val="Calibri"/>
      </rPr>
      <t>cuenta con:</t>
    </r>
  </si>
  <si>
    <t>10.1. Cama hospitalaria de dos o tres planos.</t>
  </si>
  <si>
    <t>10.2. Bomba de infusión.</t>
  </si>
  <si>
    <t>10.3. Monitor de signos vitales con accesorios adultos que cuente mínimo con</t>
  </si>
  <si>
    <t>10.3.1. Trazado electrocardiográfico.</t>
  </si>
  <si>
    <t>10.3.2. Presión no invasiva.</t>
  </si>
  <si>
    <t>10.3.3. Presión invasiva.</t>
  </si>
  <si>
    <t>10.3.4. Saturación de oxígeno.</t>
  </si>
  <si>
    <t>10.4. Oxímetro cuando no esté integrado en el monitor.</t>
  </si>
  <si>
    <t>10.5. Fonendoscopio adulto.</t>
  </si>
  <si>
    <t xml:space="preserve">11.Cuenta con carro de paro.
</t>
  </si>
  <si>
    <t>12.1. Glucómetro.</t>
  </si>
  <si>
    <t>12.2. Tensiómetro adulto</t>
  </si>
  <si>
    <t>12.3. Equipo de órganos de los sentidos.</t>
  </si>
  <si>
    <t>12.4. Ventilador de transporte.</t>
  </si>
  <si>
    <t>12.5. Monitor de signos vitales de transporte</t>
  </si>
  <si>
    <t>12.6. Marcapaso externo no invasivo, cuando no esté incluido en el desfibritador</t>
  </si>
  <si>
    <t>12.7. Oxígeno medicinal portátil</t>
  </si>
  <si>
    <t>12.8. Electrocardiógrafo</t>
  </si>
  <si>
    <t xml:space="preserve">13. Disponibilidad de:
</t>
  </si>
  <si>
    <t>13.1. Equipo de rayos X portátil</t>
  </si>
  <si>
    <t>13.2. Equipo de gases arteriales</t>
  </si>
  <si>
    <t xml:space="preserve">Modalidad Telemedicina prestador de referencia </t>
  </si>
  <si>
    <t>14. Cumple con los criterios que le sean aplicables de todos tos servicios</t>
  </si>
  <si>
    <t>CIMA_MD</t>
  </si>
  <si>
    <t>15. Cumple con los criterios que le sean aplicables de todos los servicios y adicionalmente cuenta con oxígeno medicinal</t>
  </si>
  <si>
    <t>CIMA_PP</t>
  </si>
  <si>
    <t>17. Cumple con los criterios que le sean aplicables de todos los servicios y adicionalmente cuenta con la siguiente información documentada</t>
  </si>
  <si>
    <t>17.1. Criterios de ingreso y egreso del servicio</t>
  </si>
  <si>
    <t xml:space="preserve">17.7. Plan de cuidados de enfermería. </t>
  </si>
  <si>
    <t>17.8. Administración de medicamentos.</t>
  </si>
  <si>
    <t>17.10. Toma de muestras de laboratorio.</t>
  </si>
  <si>
    <t xml:space="preserve">17.16. Actividades de rehabilitación: fisioterapia, terapia ocupacional y terapia del lenguaje, que incluya los tipos de elementos e insumos requeridos para cada tipo de actividad, según se requiera. </t>
  </si>
  <si>
    <t xml:space="preserve">17.17. Valoración y seguimiento por nutrición que incluya minuta patrón de alimentos. </t>
  </si>
  <si>
    <t xml:space="preserve">17.18. Manejo de nutrición enteral y parenteral. </t>
  </si>
  <si>
    <t>17.19. Anticoagulación profiláctica.</t>
  </si>
  <si>
    <t>17.20. Toracostomía.</t>
  </si>
  <si>
    <t>17.21. Paracentesis.</t>
  </si>
  <si>
    <t>17.22. Diálisis peritoneal.</t>
  </si>
  <si>
    <t>17.23. Hemodiálisis.</t>
  </si>
  <si>
    <t>17.24. Punción lumbar.</t>
  </si>
  <si>
    <t>Modalidad de Telemedicina prestador de referencia</t>
  </si>
  <si>
    <t>CIMA_HCR</t>
  </si>
  <si>
    <t xml:space="preserve">Modalidades intramural y telemedicina - prestador remisor - prestador de referencia 
</t>
  </si>
  <si>
    <t>CIMA_INT</t>
  </si>
  <si>
    <t xml:space="preserve">Modalidades intramural 
</t>
  </si>
  <si>
    <r>
      <t xml:space="preserve">20. Cumple con los criterios que le sean aplicables de todos los servicios y adicionalmente, </t>
    </r>
    <r>
      <rPr>
        <b/>
        <sz val="11"/>
        <rFont val="Calibri"/>
      </rPr>
      <t>cuenta con:</t>
    </r>
  </si>
  <si>
    <t>20.1. Servicio de hospitalización.</t>
  </si>
  <si>
    <t>20.2. Servicio de cirugía</t>
  </si>
  <si>
    <t>20.3. Servicio de laboratorio clínico.</t>
  </si>
  <si>
    <t>20.4. Servicio farmacéutico.</t>
  </si>
  <si>
    <t>20.5. Servicio de gestión pre - transfusional.</t>
  </si>
  <si>
    <t>20.6. Servicio de radiología e imágenes diagnósticas.</t>
  </si>
  <si>
    <t>21.1. Servicio de transporte asistencial de complejidad mediana.</t>
  </si>
  <si>
    <t>21.2. Servicios de apoyo (alimentación, lavandería y vigilancia)</t>
  </si>
  <si>
    <t xml:space="preserve">22. No aplica </t>
  </si>
  <si>
    <t>Servicio Cuidado Intensivo Adultos</t>
  </si>
  <si>
    <t>CIA_TH</t>
  </si>
  <si>
    <t xml:space="preserve">Complejidad alta </t>
  </si>
  <si>
    <t>1.1. Profesional de la medicina especialista en medicina crítica y cuidado intensivo o profesional de la medicina especialista en anestesiología o neurología o neurocirugía o medicina Interna o cirugía general o medicina de urgencias, según la oferta de servicios.</t>
  </si>
  <si>
    <t xml:space="preserve">1.2. Profesional de la enfermería especialista en cuidado crítico o profesional en enfermería con acciones de formación continua en el control del paciente de cuidado intensivo adultos.  </t>
  </si>
  <si>
    <t>2.1. Profesional de la medicina especialista en medicina crítica y cuidado Intensivo, con permanencia mínima de 6 horas por cada 24 horas.</t>
  </si>
  <si>
    <t>2.2. Cuando se oferte atención a pacientes críticamente quemados, profesional de la medicina especialista en cirugía plástica.</t>
  </si>
  <si>
    <t xml:space="preserve">2.3. Cuando se oferte atención a pacientes críticamente quemados, profesional de terapia ocupacional. </t>
  </si>
  <si>
    <t>2.4. Profesional de nutrición y dietética.</t>
  </si>
  <si>
    <t>2.5. Profesional de psicología</t>
  </si>
  <si>
    <t>3. 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</si>
  <si>
    <t>4. Todo el talento humano en salud cuenta con constancia de asistencia en acciones de formación continua en atención del paciente de cuidado intensivo adultos, con excepción de los profesionales especialistas en cuidado intensivo y cuando se oferte atención a pacientes criticamente quemados con excepción del profesional de la medicina especialista en cirugía plástica.</t>
  </si>
  <si>
    <t>Modalidades telemedicina - prestador de referencia</t>
  </si>
  <si>
    <t xml:space="preserve">6. 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 </t>
  </si>
  <si>
    <t xml:space="preserve">7. El profesional de la medicina especialista en cirugía plástica, puede realizar la disponibilidad en la categoría telexperticia sincrónica, entre profesionales de la salud de acuerdo con lo definido por el prestador de servicios de salud en el estándar de procesos prioritarios. </t>
  </si>
  <si>
    <t xml:space="preserve">8. El profesional de la salud puede hacer uso de la telexperticia sincrónica entre profesionales de la salud, de acuerdo con lo definido por el prestador de servicios de salud en el estándar de procesos prioritarios.   </t>
  </si>
  <si>
    <t>CIA_INF</t>
  </si>
  <si>
    <t xml:space="preserve">10.1. Ambiente a manera de filtro, para acceso del talento humano en salud y visitantes, con lavamanos y área de casilleros. </t>
  </si>
  <si>
    <t>10.2. Estación de enfermería</t>
  </si>
  <si>
    <t xml:space="preserve">10.3. Ambiente para brindar información a familiares. </t>
  </si>
  <si>
    <r>
      <t xml:space="preserve">10.4. Cubículos de 8 m2 que </t>
    </r>
    <r>
      <rPr>
        <b/>
        <sz val="11"/>
        <rFont val="Calibri"/>
      </rPr>
      <t xml:space="preserve">cuentan con: </t>
    </r>
  </si>
  <si>
    <t xml:space="preserve">10.4.1. Salida de oxígeno medicinal </t>
  </si>
  <si>
    <t xml:space="preserve">10.4.2. Sistema de vacío </t>
  </si>
  <si>
    <t xml:space="preserve">10.5. Lavamanos que puede ser compartido entre varios cubículos. </t>
  </si>
  <si>
    <t xml:space="preserve">10.5.1. La distribución de la cama dentro del cubículo debe permitir movilización del talento humano, pacientes, usuarios y equipos biomédicos. </t>
  </si>
  <si>
    <t xml:space="preserve">11. Los anteriores ambientes pueden ser compartidos entre los servicios de cuidado intermedio e intensivo adulto. </t>
  </si>
  <si>
    <t xml:space="preserve">12. Cuando se oferte atención de paciente adulto quemado en condiciones críticas, cuenta con ambiente por cada paciente y sifón tapa ciega. </t>
  </si>
  <si>
    <t>CIA_DOT</t>
  </si>
  <si>
    <r>
      <t xml:space="preserve">14. Cumple con los criterios que le sean aplicables de todos los servicios, y con los del servicio de cuidado intermedio adultos y adicionalmente por cada cubículo y paciente </t>
    </r>
    <r>
      <rPr>
        <b/>
        <sz val="11"/>
        <rFont val="Calibri"/>
      </rPr>
      <t>cuenta con:</t>
    </r>
  </si>
  <si>
    <t>14.1. Ventilador adulto que cuenta mínimo con:</t>
  </si>
  <si>
    <t>14.1.1. Sistemas de presión positiva continua en vía aérea (CPAP).</t>
  </si>
  <si>
    <t>14.1.2. Modo ventilatorio: controlado o asistido, sincrónico o asincrónico.</t>
  </si>
  <si>
    <t>14.1.3. Límite de presión superior y el nivel de presión espiratoria (PEEP o CPAP) ajustables.</t>
  </si>
  <si>
    <t>14.1.4. Límite de volumen.</t>
  </si>
  <si>
    <t>14.1.5.Aire medicinal.</t>
  </si>
  <si>
    <t>14.1.6. Oxígeno medicinal.</t>
  </si>
  <si>
    <t xml:space="preserve">14.1.7. Mezclador de gases medicinales de acuerdo a la clase de ventilador que se utilice. </t>
  </si>
  <si>
    <t xml:space="preserve">14.1.8. Alarmas auditivas y visuales de presión, volumen, apnea, presión de aire, oxígeno medicinal. </t>
  </si>
  <si>
    <t xml:space="preserve">14.1.9. Batería. </t>
  </si>
  <si>
    <t>15. Disponibilidad de:</t>
  </si>
  <si>
    <t>15.1. Ecógrafo.</t>
  </si>
  <si>
    <t xml:space="preserve">15.2. Sistema de monitoreo de gasto cardiaco. </t>
  </si>
  <si>
    <t xml:space="preserve">16. Cuando se oferte atención de paciente adulto quemado en condiciones críticas, cuenta con la dotación de los elementos y equipos biomédicos, que se requieran de acuerdo con los procedimientos definidos en el estándar de procesos prioritarios. </t>
  </si>
  <si>
    <t xml:space="preserve">17. Cumple con los criterios que le sean aplicables de todos los servicio. </t>
  </si>
  <si>
    <t>CIA_MD</t>
  </si>
  <si>
    <t>CIA_PP</t>
  </si>
  <si>
    <t>20.1. Criterios de ingreso y egreso al servicio.</t>
  </si>
  <si>
    <t>20.2. Manejo de las principales causas de hospitalización, según oferta.</t>
  </si>
  <si>
    <t>20.3. Ronda médica diaria de evolución de pacientes.</t>
  </si>
  <si>
    <t>Servicio Hospitalización Salud Mental o Consumo de Sustancias Psicoactivas</t>
  </si>
  <si>
    <t>20.4. Solicitud de interconsultas.</t>
  </si>
  <si>
    <t>20.5. Entrega de turno por parte de efermería y de medicina.</t>
  </si>
  <si>
    <t>HSM_TH</t>
  </si>
  <si>
    <t>20.6. Control de líquidos.</t>
  </si>
  <si>
    <t>Compleiidad mediana</t>
  </si>
  <si>
    <t>20.7. Plan de cuidados de enfermería.</t>
  </si>
  <si>
    <t>20.8. Administración de medicamentos.</t>
  </si>
  <si>
    <t>1. Cumple con los criterios que le sean aplicables de todos los servicios y adicionalmente,  cuenta con:</t>
  </si>
  <si>
    <t>20.9. Sujeción de pacientes.</t>
  </si>
  <si>
    <t>20.10. Toma de muestras de laboratorio.</t>
  </si>
  <si>
    <t>1.1. Profesional de la medicina.</t>
  </si>
  <si>
    <t>20.11. Cateterismo vesical.</t>
  </si>
  <si>
    <t>20.12. Preparación para la toma de imágenes diagnósticas.</t>
  </si>
  <si>
    <t>20.13. Ilustrar al paciente en el auto cuidado de la salud y la preservación de la seguridad de su atención.</t>
  </si>
  <si>
    <t>2.Disponibilidad de:</t>
  </si>
  <si>
    <t>20.14. Información a usuarios.</t>
  </si>
  <si>
    <t>2.1. Profesional de la medicina especialista en psiquiatría o psiquiatría infantil con permanencia mínimo una vez a la semana en los horarios definidos en los procedimientos documentados en el estándar de procesos prioritarios.</t>
  </si>
  <si>
    <t>20.15. Revisión del carro de paro.</t>
  </si>
  <si>
    <t>2.2. Profesional de la medicina especialista en anestesiología con permanencia cuando se realicen procedimientos de terapia electroconvulsiva con anestesia relajante- TECAR.</t>
  </si>
  <si>
    <t>20.16. Actividades de rehabilitación: fisioterapia, terapia ocupacional y terapia de lenguaje, que incluya los tipos de elementos e insumos requeridos para cada tipo de actividad, según se requiera.</t>
  </si>
  <si>
    <t>20.17. Valoración y seguimiento por nutrición que incluya minuta patrón de alimentos.</t>
  </si>
  <si>
    <t>2.4. Profesional en psicología</t>
  </si>
  <si>
    <t>20.18. Manejo de nutrición enteral y parenteral.</t>
  </si>
  <si>
    <t>2.5. Profesional en terapia ocupacional.</t>
  </si>
  <si>
    <t>20.19. Anticoagulación profiláctica.</t>
  </si>
  <si>
    <t>2.6 Profesional en trabajo social.</t>
  </si>
  <si>
    <t>20.20. Diálisis peritoneal.</t>
  </si>
  <si>
    <t>3. El talento humano en salud cuenta con:</t>
  </si>
  <si>
    <t>20.21. Punción lumbar.</t>
  </si>
  <si>
    <t>3.1. Constancia de asistencia  en las acciones de formación  continua  para  la atención y  el tratamiento en salud mental y consumo de sustancias psicoactivas y adicciones, según oferta.</t>
  </si>
  <si>
    <t>20.22. Gestión operativa de la donación, de acuerdo con la normatividad vigente.</t>
  </si>
  <si>
    <t>3.2. Los profesionales de la medicina y de la enfermería cuentan con constancia de asistencia en las acciones de formación continua en soporte vital avanzado.</t>
  </si>
  <si>
    <t>20.23. Inserción de catéter de presión intracraneana.</t>
  </si>
  <si>
    <t>20.24. Inserción de marcapaso interno transitorio.</t>
  </si>
  <si>
    <t>20.25. Paracentesis.</t>
  </si>
  <si>
    <t>5. El profesional de salud puede hacer uso de la categoría telexperticia sincrónica o asincrónica entre profesionales de la salud de acuerdo con lo definido por el prestador de servicios de salud en el estándar de procesos prioritarios.</t>
  </si>
  <si>
    <t>6. 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</si>
  <si>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20.26. Hemodiafiltración.</t>
  </si>
  <si>
    <t>7. El profesional de psicología puede realizar la disponibilidad en la categoría de telexperticia sincrónica o asincrónica entre profesionales de la salud, de acuerdo con lo definido por el prestador de servicios de salud en el estándar de procesos prioritarios.</t>
  </si>
  <si>
    <t>20.27. Traqueotomía.</t>
  </si>
  <si>
    <t>20.28. Toracentesis.</t>
  </si>
  <si>
    <t>20.29. Anticoagulación profiláctica.</t>
  </si>
  <si>
    <t>8. Cumple con los criterios definidos para la complejidad mediana del servicio de hospitalización en salud mental o consumo de sustancias psicoactivas y adicionalmente, cuenta con:</t>
  </si>
  <si>
    <t>20.30. Toracostomía.</t>
  </si>
  <si>
    <t>8.1. Profesional de la medicina especialista en psiquiatría o psiquiatría infantil, según la oferta.</t>
  </si>
  <si>
    <t>20.31. Hemodiálisis.</t>
  </si>
  <si>
    <t>Modalidad telemedicina prestador de referencia</t>
  </si>
  <si>
    <t>20.32. Diálisis peritoneal.</t>
  </si>
  <si>
    <t>20.33. Reducir el riesgo de la atención del paciente crítico.</t>
  </si>
  <si>
    <t>10. El profesional de salud puede hacer uso de la categoría telexperticia sincrónica o asincrónica entre profesionales de la salud de acuerdo con lo definido por el prestador de servicios de salud en el estándar de procesos prioritarios.</t>
  </si>
  <si>
    <r>
      <t xml:space="preserve">21. Si atiende pacientes criticamente quemados, </t>
    </r>
    <r>
      <rPr>
        <b/>
        <sz val="11"/>
        <rFont val="Calibri"/>
      </rPr>
      <t>adicionalmente cuenta con:</t>
    </r>
  </si>
  <si>
    <t>HSM_INF</t>
  </si>
  <si>
    <t>21.1. Criterios de inclusión al servicio.</t>
  </si>
  <si>
    <t>21.2. Procedimientos para la atención de los pacientes criticamente quemados, que incluya los equipos biomédicos, medicamentos y dispositivos médicos e insumos requeridos.</t>
  </si>
  <si>
    <t>12. La infraestructura para la atención en salud mental será independiente de la infraestructura para la atención al consumidor de sustancias psicoactivas.</t>
  </si>
  <si>
    <t>CIA_HCR</t>
  </si>
  <si>
    <t>13. Cuenta con:</t>
  </si>
  <si>
    <t>13.1. Estación de enfermería.</t>
  </si>
  <si>
    <t>13.2. Área para estacionamiento de camlllas y sillas de ruedas.</t>
  </si>
  <si>
    <t>13.3. Ambiente para terapia de grupo.</t>
  </si>
  <si>
    <t>CIA_INT</t>
  </si>
  <si>
    <t>13.4. Las habitaciones para pacientes adultos deben estar separadas de las habitaciones para pacientes pediátricos.</t>
  </si>
  <si>
    <t>13.5. Habitación individua\ o múltiple para pacientes adultos o pediátricos, según oferta, que cuenta con·</t>
  </si>
  <si>
    <t>13.5.1. Lavamanos, sanitario, ducha, área de guardarropa y sistema de llamado por cama.</t>
  </si>
  <si>
    <r>
      <t xml:space="preserve">24. Cumple con los criterios que le sean aplicables de todos los servicios y adicionalmente </t>
    </r>
    <r>
      <rPr>
        <b/>
        <sz val="11"/>
        <rFont val="Calibri"/>
      </rPr>
      <t>cuenta con:</t>
    </r>
  </si>
  <si>
    <t>24.1. Servicio cuidado intermedio adultos.</t>
  </si>
  <si>
    <t>13.5.2. La habitación individual para pacientes adultos y pediátricos debe tener un área mínima de 16 m2.</t>
  </si>
  <si>
    <t>24.2. Servicio de hospitalización.</t>
  </si>
  <si>
    <t>13.5.3. La habitación múltiple para pacientes adultos debe tener una capacidad máxima de 4 camas, con área libre mlnima de 7 m2 por cama</t>
  </si>
  <si>
    <t>24.3. Servicio de cirugía</t>
  </si>
  <si>
    <t>13.5.4. La habitación múltiple para pacientes pediátricos debe tener una capacidad maxima de 6 camas, con área libre mlnima de 6 m2 por cama</t>
  </si>
  <si>
    <t>24.4 Servicio de laboratorio clínico</t>
  </si>
  <si>
    <t>24.5. Servicio farmacéutico</t>
  </si>
  <si>
    <t>13.5.5. Las habitaciones para pacientes pediátricos deben contar con sistema de seguridad en las ventanas; mecanismos de protección en las instalaciones eléctricas y los aparatos sanitarios y muebles deben tener la altura adecuada que permita al paciente su fácil utilización.</t>
  </si>
  <si>
    <t>24.6. Servicio de gestión pre transfusional.</t>
  </si>
  <si>
    <t>13.5.6. Las puertas de acceso a las habitaciones deben permitir el paso y giro de camillas y sillas de ruedas.</t>
  </si>
  <si>
    <t>24.7. Servicio de imágenes diagnósticas.</t>
  </si>
  <si>
    <t>13.5.7. Cuando se realice procedimientos de terapia electroconvulsiva con anestesia relajante­ TECAR fuera de salas de cirugla, cuenta con sala de procedimientos con salida de oxigeno medicinal</t>
  </si>
  <si>
    <t>25. Disponibilidad de:</t>
  </si>
  <si>
    <t>25.1. Servicio de transporte asistencial de complejidad mediana.</t>
  </si>
  <si>
    <t>25.2. Servicios de apoyo (alimentación, lavandería y vigilancia).</t>
  </si>
  <si>
    <t>14.1. Habitación de aislamiento</t>
  </si>
  <si>
    <t>26. Si maneja pacientes críticamente quemados, adicionalmente cuenta con oferta de transplante de piel.</t>
  </si>
  <si>
    <t>14.2. Consultorio.</t>
  </si>
  <si>
    <t>14.3. Sala de visitas</t>
  </si>
  <si>
    <t>27. No aplica.</t>
  </si>
  <si>
    <t>14.4. Unidades sanitarias discriminadas por sexo.</t>
  </si>
  <si>
    <t>14.5. Ambiente para almacenamiento y distribución de alimentos.</t>
  </si>
  <si>
    <t>14.6. Ambiente para actividades y talleres.</t>
  </si>
  <si>
    <t>14.7. Area para actividades de aprovechamiento y ocupación del tiempo libre y recreación.</t>
  </si>
  <si>
    <t>HSM_DOT</t>
  </si>
  <si>
    <t>16. Cumple con los criterios que le sean aplicables de todos los servicios y  adicionalmente cuenta con:</t>
  </si>
  <si>
    <t>16.1. Camas  hospitalarias.</t>
  </si>
  <si>
    <t>16.2. Muebles con seguridad para el almacenamiento de las pertenencias de Jos usuarios.</t>
  </si>
  <si>
    <t>14.6. Tensiómetro adulto o pediátrico, según la oferta</t>
  </si>
  <si>
    <t>16.4. Elementos para sujeción flsica.</t>
  </si>
  <si>
    <t>16.5. Dotación de equipos biomédicos acorde con las modalidades de terapia ocupacional, fisica y de lenguaje cuando se requiera.</t>
  </si>
  <si>
    <t>16.6. Los elementos necesarios para la utilización del tiempo libre, asr como para actividades vocacionales u ocupacionales.</t>
  </si>
  <si>
    <t>16.7. Elementos necesarios para la realización de actividades  lúdicas y  educativas  niflos, niflas y adolescentes, si brinda atención a esta población.</t>
  </si>
  <si>
    <t>16.8. Cuando se realice procedimientos de terapia electroconvulsiva con anestesia  relajante­ TECAR fuera de salas de cirugla, cuenta con:</t>
  </si>
  <si>
    <t>16.8.1. Succión que puede ser suministrado mediante sistema de vaclo o mediante aspirador.</t>
  </si>
  <si>
    <t>16.8.2. Equipo de terapia electroconvulsiva con anestesia.</t>
  </si>
  <si>
    <t>17. Oxigeno  medicinal que  puede  ser  suministrado  mediante  salida de oxígeno  medicinal o mediante oxigeno medicinal portétil.</t>
  </si>
  <si>
    <t>18. Disponibilidad de:</t>
  </si>
  <si>
    <t>18.1. Silla de ruedas.</t>
  </si>
  <si>
    <t>18.2. Carro de paro</t>
  </si>
  <si>
    <t>HSM_MD</t>
  </si>
  <si>
    <t>20.1. Pruebas POCT - rápidas para la detección de sustancias psicoactivas, VIH, hepatitis virales, y sífilis</t>
  </si>
  <si>
    <t>20.2. Flumazenil, cuando se utilicen medicamentos como benzodiacepinas.</t>
  </si>
  <si>
    <t>20.3. Medicamentos antagonistas opioides e hipnosedantes, cuando se utilicen medicamentos para terapia de mantenimiento con opioides e hipnosedantes.</t>
  </si>
  <si>
    <t>20.4. Oxígeno medicinal.</t>
  </si>
  <si>
    <t>HSM_PP</t>
  </si>
  <si>
    <t>22. Cumple con los criterios que le sean aplicables de todos los servicios y adicionalmente cuenta con la siguiente información documentada:</t>
  </si>
  <si>
    <t>22.1. Ronda médica diaria de evolución de pacientes.</t>
  </si>
  <si>
    <t>22.2. Solicitud de interconsultas.</t>
  </si>
  <si>
    <t>22.3. Entrega de turno por parte de enfermería y de medicina.</t>
  </si>
  <si>
    <t>22.4. Control de líquidos.</t>
  </si>
  <si>
    <t>22.5. Plan de cuidados de enfermería.</t>
  </si>
  <si>
    <t>22.6. Administración de medicamentos.</t>
  </si>
  <si>
    <t>22.7. Sujeción de pacientes.</t>
  </si>
  <si>
    <t>22.8. Toma de muestras de laboratorio clínico, cuando aplique.</t>
  </si>
  <si>
    <t>22.9. Cateterismo vesical, cuando aplique</t>
  </si>
  <si>
    <t>22.10. Valoración y seguimiento por nutrición que incluya minuta de alimentos,</t>
  </si>
  <si>
    <t>22.11. Política institucional basada en el respeto por los derechos y la dignidad humana, priorizando la autonomía personal y el libre desarrollo de la personalidad.</t>
  </si>
  <si>
    <t>22.12. Tamizaje del riesgo asociado al consumo de sustancias psicoactivas e intervención motivacional breve por curso de vida y a mujeres embarazadas cuando aplique.</t>
  </si>
  <si>
    <t>22.13. Evaluación multidimensional del consumo de sustancias psicoactivas que incluya:</t>
  </si>
  <si>
    <t>22.13.1. Detección de intoxicación/abstinencia.</t>
  </si>
  <si>
    <t>22.13.2. Condiciones médicas que entre otras contemple como mínimo VIH/SIDA, hepatitis viral, sífilis, tuberculosis y usuarios de drogas inyectadas.</t>
  </si>
  <si>
    <t>22.13.3. Condiciones emocionales, cognitivas, comportamentales, y trastornos concurrentes, comorbilidad o patología dual.</t>
  </si>
  <si>
    <t>22.13.4. Disposición para el cambio de comportamiento.</t>
  </si>
  <si>
    <t>22.13.5. Análisis de problemas potenciales del uso continuado y recaídas.</t>
  </si>
  <si>
    <t>22.13.6. Ambiente o condiciones de recuperación posteriores al tratamiento.</t>
  </si>
  <si>
    <t>22.14. Plan de tratamiento y seguimiento.</t>
  </si>
  <si>
    <t>22.14.1. Tratamiento del consumo de sustancias durante el embarazo cuando aplique.</t>
  </si>
  <si>
    <t>22.15. Horarios de la permanencia del profesional de la medicina especialista en psiquiatría o psiquiatría infantil</t>
  </si>
  <si>
    <t>22.16. Adaptación de las atenciones de acuerdo con las características de las poblaciones a atender y de los contextos territoriales.</t>
  </si>
  <si>
    <t>22.17. Manejo de las principales causas de internación para el tratamiento en salud mental y consumo de sustancias psicoactivas, según oferta.</t>
  </si>
  <si>
    <t>22.18. Manejo de urgencias que incluya:</t>
  </si>
  <si>
    <t>22.18.1. Detección y manejo de intoxicación aguda y síndrome de abstinencia a sustancias psicoactivas, según oferta.</t>
  </si>
  <si>
    <t>22.18.2. Agitación psicomotora, conducta suicida y agresión a terceros.</t>
  </si>
  <si>
    <t>22.18.3. Agudización de síntomas psiquiátricos</t>
  </si>
  <si>
    <t>22.19. Valoración inicial y seguimiento por equipo multidisciplinario que incluya profesional de la medicina especialista en psiquiatría.</t>
  </si>
  <si>
    <t>22.20. Control de ingreso de sustancias psicoactivas y el manejo de las mismas, según oferta.</t>
  </si>
  <si>
    <t>22.21. Realización de pruebas POCT - rápidas para la detección de sustancias psicoactivas, VIH, hepatitis virales y sífilis.</t>
  </si>
  <si>
    <t>22.22. Realización de terapia electroconvulsiva con anestesia relajante- TECAR, cuando aplique.</t>
  </si>
  <si>
    <t>23. Cumple con los criterios que le sean aplicables de todos los servicios</t>
  </si>
  <si>
    <t>HSM_HCR</t>
  </si>
  <si>
    <t>HSM_INT</t>
  </si>
  <si>
    <t>Complejidad mediana y alta</t>
  </si>
  <si>
    <t>25.1. Servicio farmacéutico.</t>
  </si>
  <si>
    <t>26.1. Servicio de laboratorio clínico.</t>
  </si>
  <si>
    <t>26.2. Servicio de transporte asistencial</t>
  </si>
  <si>
    <t>26.3. Servicios de apoyo (alimentación, lavandería y vigilancia).</t>
  </si>
  <si>
    <t>Servicio Hospitalización Parcial</t>
  </si>
  <si>
    <t>HSP_TH</t>
  </si>
  <si>
    <t>Para el tratamiento en salud mental y consumo de sustancias psicoactivas</t>
  </si>
  <si>
    <t>1. Cuenta con:</t>
  </si>
  <si>
    <t>2.1. Profesional de la medicina especialista en psiquiatría o psiquiatría infantil con permanencia mínimo tres (3) días por semana en los horarios definidos en los procedimientos documentados en el estándar de procesos prioritarios</t>
  </si>
  <si>
    <t>2.2. Profesional de la psicología</t>
  </si>
  <si>
    <t>2.3. Profesional de terapia ocupacional.</t>
  </si>
  <si>
    <t>2.4 Profesional de trabajo Social</t>
  </si>
  <si>
    <t>3. El talento humano en salud cuenta con constancia de asistencia en las acciones de formación continua para la atención y el tratamiento del consumidor de sustancias psicoactivas, adicciones y en salud mental.</t>
  </si>
  <si>
    <t>6. 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</si>
  <si>
    <t>7. El profesional de psicología puede realizar la disponibilidad en la categoría telexperticia sincrónica o asincrónica entre profesionales de la salud, de acuerdo con lo definido por el prestador de servicios de salud en el estándar de procesos prioritarios.</t>
  </si>
  <si>
    <t>Complejidad mediana
Para la atención de pacientes  con otras patologías:</t>
  </si>
  <si>
    <t>8. Cumple con los criterios que le sean aplicables de todos los servicios y adicionalmente, cuenta con:</t>
  </si>
  <si>
    <t>8.1. Profesional de la medicina.</t>
  </si>
  <si>
    <t>8.2. Profesional de la enfermería.</t>
  </si>
  <si>
    <t>8.3. Auxiliar de enfermerla.</t>
  </si>
  <si>
    <t>9. Disponibilidad de profesional de la medicina especialista de acuerdo con la oferta.</t>
  </si>
  <si>
    <t>11. El profesional de salud puede hacer uso de la categoría telexperticia sincrónica o asincrónica entre profesionales de la salud de acuerdo con lo definido por el prestador de servicios de salud en el estándar de procesos prioritarios.</t>
  </si>
  <si>
    <t>12. El profesional de la medicina especialista puede realizar la disponibilidad en la categoría de telexperticia sincrónica o asincrónica entre profesionales de la salud, de acuerdo con lo definido por el prestador de servicios de salud en el estándar de procesos prioritarios.</t>
  </si>
  <si>
    <t>HSP_INF</t>
  </si>
  <si>
    <t>13. Cumple con los criterios que le sean aplicables de todos los servicios, y adicionalmente:</t>
  </si>
  <si>
    <t>14. Cuando el prestador oferte atención a niños, niñas y adolescentes, la infraestructura será independiente de los mayores de 18 años.</t>
  </si>
  <si>
    <t>15. La infraestructura para la atención en salud mental será independiente de la infraestructura para la atención al consumidor de sustancias psicoactivas.</t>
  </si>
  <si>
    <t>16. Cuenta con:</t>
  </si>
  <si>
    <t>16.1. Puesto de enfermería.</t>
  </si>
  <si>
    <t>16.2. Cubículo.</t>
  </si>
  <si>
    <t>16.3. Unidad sanitaria.</t>
  </si>
  <si>
    <t>16.4. Ambiente para terapia de grupo.</t>
  </si>
  <si>
    <t>17. Disponibilidad de:</t>
  </si>
  <si>
    <t>17.1. Consultorio que podrá utilizarse para la realización de la terapia individual.</t>
  </si>
  <si>
    <t>17.2. Área para actividades de aprovechamiento y ocupación del tiempo libre y recreación.</t>
  </si>
  <si>
    <t>17.3. Ambiente para actividades y talleres de terapia ocupacional.</t>
  </si>
  <si>
    <t>Para la atención de pacientes con otras patologías.</t>
  </si>
  <si>
    <t>19. Cumple con los criterios que le sean aplicables de todos los servicios, y adicionalmente:</t>
  </si>
  <si>
    <t>20. Cuando el prestador oferte atención a niños, niñas y adolescentes, la infraestructura será independiente de los mayores de 18 años.</t>
  </si>
  <si>
    <t>21. Cuenta con:</t>
  </si>
  <si>
    <t>21.1. Puesto de enfermería.</t>
  </si>
  <si>
    <t>21.2. Cubículo.</t>
  </si>
  <si>
    <t>21.3. Unidad sanitaria.</t>
  </si>
  <si>
    <t>HSP_DO</t>
  </si>
  <si>
    <t>23.1. Camilla fija o sillas reclinables o sillas, según las actividades a realizar.</t>
  </si>
  <si>
    <t>23.2. Muebles con seguridad para el almacenamiento de las pertenencias de los usuarios.</t>
  </si>
  <si>
    <t>23.3. Carro de paro.</t>
  </si>
  <si>
    <t>23.4. Elementos para sujeción física</t>
  </si>
  <si>
    <t>HSP_MD</t>
  </si>
  <si>
    <t>23.5. Dotación de equipos biomédicos acorde con las modalidades de terapia ocupacional ofertadas.</t>
  </si>
  <si>
    <t>23.6. Elementos necesarios para la utilización de tiempo libre, así como para actividades vocacionales y ocupacionales.</t>
  </si>
  <si>
    <t>HSP_PP</t>
  </si>
  <si>
    <t>23.7. Elementos necesarios para la realización de actividades lúdicas y educativas a niños, niñas y adolescentes, si brinda atención a esta población.</t>
  </si>
  <si>
    <t>23.8. Dotación adicional que se requiera para la realización de los procedimientos documentados en el estándar de procesos prioritarios.</t>
  </si>
  <si>
    <t>Para la atención de pacientes con otras patologías</t>
  </si>
  <si>
    <t>25. Cumple con los criterios que le sean aplicables de todos los servicios, adicionalmente:</t>
  </si>
  <si>
    <t>25.1. Camilla o sillas reclinables o sillas, según las actividades a realizar.</t>
  </si>
  <si>
    <t>25.2. Muebles con seguridad para el almacenamiento de las pertenencias de los usuarios.</t>
  </si>
  <si>
    <t>Modalidades intramural y telemedicina – prestador remisor</t>
  </si>
  <si>
    <t>27.1. Pruebas POCT - rápidas para la detección de sustancias psicoactivas, VIH, hepatitis virales, y sífilis.</t>
  </si>
  <si>
    <t>27.2. Flumazenil, cuando se utilicen medicamentos como benzodiacepinas.</t>
  </si>
  <si>
    <t>27.3. Medicamentos antagonistas opioides e hipnosedantes, cuando se utilicen medicamentos para terapia de mantenimiento con opioides e hipnosedantes.</t>
  </si>
  <si>
    <t>29. Cumple con los criterios que le sean aplicables de todos los servicios</t>
  </si>
  <si>
    <t>Para la atención y tratamiento en salud mental y consumo de sustancias psicoactivas</t>
  </si>
  <si>
    <t>31. Cumple con los criterios que le sean aplicables de todos los servicios y adicionalmente cuenta con la siguiente información documentada:</t>
  </si>
  <si>
    <t>31.1. Manejo de las principales causas de internación</t>
  </si>
  <si>
    <t>31.2. Criterios de ingreso y egreso del servicio.</t>
  </si>
  <si>
    <t>31.3. Evolución diaria de los pacientes por parte de algún profesional de los definidos en el estándar de talento humano.</t>
  </si>
  <si>
    <t>31.4. Entrega de pacientes.</t>
  </si>
  <si>
    <t>31.5. Solicitud de interconsultas.</t>
  </si>
  <si>
    <t>31.6. Plan de cuidados de enfermería</t>
  </si>
  <si>
    <t>31.7. Administración de Medicamentos.</t>
  </si>
  <si>
    <t>31.8. Sujeción de pacientes, cuando aplique</t>
  </si>
  <si>
    <t>31.9. Venopunción, cuando aplique</t>
  </si>
  <si>
    <t>31.10. Toma de muestras de laboratorio clínico, cuando aplique</t>
  </si>
  <si>
    <t>31.11. Cateterismo vesical, cuando aplique</t>
  </si>
  <si>
    <t>31.12. Valoración y seguimiento por nutrición que incluya minuta de alimentos, cuando se suministre alimentación.</t>
  </si>
  <si>
    <t>31.13. Política institucional basada en el respeto por los derechos y la dignidad humana, priorizando la autonomía personal y el libre desarrollo de la personalidad.</t>
  </si>
  <si>
    <t>31.14. Tamizaje del riesgo asociado al consumo de sustancias psicoactivas e intervención motivacional breve por curso de vida y a mujeres embarazadas cuando aplique.</t>
  </si>
  <si>
    <t>31.15. Evaluación multidimensional del consumo de sustancias psicoactivas que incluya:</t>
  </si>
  <si>
    <t>31.15.1. Detección de intoxicación/abstinencia.</t>
  </si>
  <si>
    <t>31.15.2. Condiciones biomédicas que entre otras contemple como mínimo VIH/SIDA, hepatitis viral, sífilis, tuberculosis y usuarios de drogas inyectadas.</t>
  </si>
  <si>
    <t>31.15.3. Condiciones emocionales, cognitivas, comportamentales, y trastornos concurrentes, comorbilidad o patología dual.</t>
  </si>
  <si>
    <t>31.15.4. Disposición para el cambio de comportamiento.</t>
  </si>
  <si>
    <t>31.15.5. Análisis de problemas potenciales del uso continuado y recaídas.</t>
  </si>
  <si>
    <t>31.15.6. Ambiente o condiciones de recuperación posteriores al tratamiento.</t>
  </si>
  <si>
    <t>31.16. Planes de tratamiento y seguimiento.</t>
  </si>
  <si>
    <t>31.17. Horarios de la permanencia del profesional de la medicina especialista en psiquiatría o psiquiatría infantil.</t>
  </si>
  <si>
    <t>31.18. Tratamiento del consumo de sustancias durante el embarazo cuando se requiera.</t>
  </si>
  <si>
    <t>31.19. Adaptación de las atenciones de acuerdo a las características poblacionales y el enfoque diferencial.</t>
  </si>
  <si>
    <t>31.20. Manejo de las principales causas de internación para el tratamiento en salud mental y consumo de sustancias psicoactivas, según oferta</t>
  </si>
  <si>
    <t>31.21. Manejo de urgencias que incluya:</t>
  </si>
  <si>
    <t>31.21.1. Intoxicación aguda y síndrome de abstinencia a sustancias psicoactivas, según oferta.</t>
  </si>
  <si>
    <t>31.21.2. Agitación psicomotora, conducta suicida y agresión a terceros.</t>
  </si>
  <si>
    <t>31.21.3. Agudización de síntomas psiquiátricos e intervención en crisis</t>
  </si>
  <si>
    <t>31.22. Valoración inicial y seguimiento por equipo multidisciplinario definido en el estándar de talento humano, que incluya:</t>
  </si>
  <si>
    <t>31.22.1. Seguimiento, periodicidad de valoraciones por el psiquiatra según plan de tratamiento.</t>
  </si>
  <si>
    <t>31.23. Control de ingreso de sustancias psicoactivas y el manejo de las mismas, según oferta.</t>
  </si>
  <si>
    <t>31.24. Realización de pruebas POCT - rápidas para la detección de sustancias psicoactivas, VIH, hepatitis virales y sífilis.</t>
  </si>
  <si>
    <t>33. Cumple con los criterios que le sean aplicables de todos los servicios y adicionalmente cuenta con la siguiente información documentada:</t>
  </si>
  <si>
    <t>33.1. Manejo de las principales causas de internación</t>
  </si>
  <si>
    <t>33.2. Criterios de ingreso y egreso del servicio.</t>
  </si>
  <si>
    <t>33.3. Evolución diaria de los pacientes por parte de algún profesional de los definidos en el estándar de talento humano.</t>
  </si>
  <si>
    <t>33.4. Entrega de pacientes.</t>
  </si>
  <si>
    <t>33.5. Solicitud de interconsultas.</t>
  </si>
  <si>
    <t>33.6. Plan de cuidados de enfermería</t>
  </si>
  <si>
    <t>33.7. Administración de Medicamentos.</t>
  </si>
  <si>
    <t>33.8. Sujeción de pacientes, cuando aplique</t>
  </si>
  <si>
    <t>33.9. Venopunción cuando aplique</t>
  </si>
  <si>
    <t>33.10. Toma de muestras de laboratorio clínico, cuando aplique</t>
  </si>
  <si>
    <t>33.11. Cateterismo vesical, cuando aplique</t>
  </si>
  <si>
    <t>33.12. Valoración y seguimiento por nutrición que incluya minuta de alimentos, cuando se suministre alimentación.</t>
  </si>
  <si>
    <t>Modalidad telemedicina Prestador de referencia</t>
  </si>
  <si>
    <t>HSP_HC</t>
  </si>
  <si>
    <t>Para la atención y tratamiento en salud mental y consumo de sustancias psicoactivas y para la atención de pacientes con otras patologías</t>
  </si>
  <si>
    <t>HSP_INT</t>
  </si>
  <si>
    <t>Para la atención y tratamiento en salud mental y consumo de sustancias</t>
  </si>
  <si>
    <t>36. Cumple con los criterios que le sean aplicables de todos los servicios y adicionalmente cuenta con:</t>
  </si>
  <si>
    <t>36.1. Servicio farmacéutico.</t>
  </si>
  <si>
    <t>37. Disponibilidad de:</t>
  </si>
  <si>
    <t>37.1. Servicio de laboratorio clínico.</t>
  </si>
  <si>
    <t>37.2. Servicio de transporte asistencial.</t>
  </si>
  <si>
    <t>37.3. Servicios de apoyo (lavandería, vigilancia, y alimentación cuando se suministre).</t>
  </si>
  <si>
    <t>38. Cumple con los criterios que le sean aplicables de todos los servicios y adicionalmente cuenta con servicio farmacéutico.</t>
  </si>
  <si>
    <t>39. Disponibilidad de servicios de apoyo (lavandería, vigilancia y alimentación cuando se suministre).</t>
  </si>
  <si>
    <t>Modalidad telemedicina - prestador remisor – prestador de referencia</t>
  </si>
  <si>
    <t>40. No aplica.</t>
  </si>
  <si>
    <t>CBCSP_TH</t>
  </si>
  <si>
    <t>1. Cumple los criterios definidos para todos los servicios y adicionalmente,</t>
  </si>
  <si>
    <t>2. En horario diurno cuenta con:</t>
  </si>
  <si>
    <t>2.1. Profesional de la enfermería</t>
  </si>
  <si>
    <t>2.2. Profesional de psicología.</t>
  </si>
  <si>
    <t>2.3. Profesional de trabajo social.</t>
  </si>
  <si>
    <t>2.4. Profesional de terapia ocupacional.</t>
  </si>
  <si>
    <t>3.1 Profesional de la medicina con permanencia mínima de tres (3) días a la semana, en los horarios definidos en los procedimientos documentados en el estándar de procesos prioritarios</t>
  </si>
  <si>
    <t>3.2. Profesional de la medicina especialista en psiquiatría.</t>
  </si>
  <si>
    <t>3.3. Profesional de nutrición y dietética.</t>
  </si>
  <si>
    <t>4. En horario nocturno</t>
  </si>
  <si>
    <t>4.1. Cuenta con auxiliar de enfermería.</t>
  </si>
  <si>
    <t>4.2. Disponibilidad de profesional de la medicina.</t>
  </si>
  <si>
    <t>5. Todo el talento humano en salud cuenta con constancia de asistencia en las acciones de formación continua para la atención y el tratamiento del consumidor de sustancias psicoactivas y salud mental.</t>
  </si>
  <si>
    <t>6. Los profesionales de la medicina y de la enfermería cuentan con constancia de asistencia en las acciones de formación continua de soporte vital avanzado.</t>
  </si>
  <si>
    <t>7. Los profesionales de salud diferentes al profesional de la medicina y de la enfermería cuentan con constancia de asistencia en las acciones de formación continua de soporte vital básico.</t>
  </si>
  <si>
    <t>9. El profesional de salud puede hacer uso de la categoría telexperticia sincrónica o asincrónica entre profesionales de la salud de acuerdo con lo definido por el prestador de servicios de salud en el estándar de procesos prioritarios.</t>
  </si>
  <si>
    <t>10. 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</si>
  <si>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11. 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</si>
  <si>
    <t>CBCSP_INF</t>
  </si>
  <si>
    <t>13. Cuando se oferte atención para niños, niñas, y adolescentes, la infraestructura será independiente de la de adultos.</t>
  </si>
  <si>
    <t>14. Separación física de dormitorios y baños por sexo.</t>
  </si>
  <si>
    <t>15. Cuenta con:</t>
  </si>
  <si>
    <t>15.1. Consultorio.</t>
  </si>
  <si>
    <t>15.2. Dormitorios individuales o múltiples, por ambiente se pueden ubicar no más de 8 camas o 4 camarotes (con dos camas cada camarote).</t>
  </si>
  <si>
    <t>15.2.1. La habitación individual debe tener un área mínima de 16 m2.</t>
  </si>
  <si>
    <t>15.2.2. La habitación múltiple debe tener área libre mínima de 7 m2 por cama.</t>
  </si>
  <si>
    <t>15.3. Baños o lavamanos, sanitarios y duchas individuales o separadas por barrera física fija, discriminados por sexo y para menores de edad, según la oferta.</t>
  </si>
  <si>
    <t>15.4. Ambiente para uso múltiple que permita albergar a todos los usuarios participantes en el desarrollo de las terapias e intervenciones individuales, grupales y familiares.</t>
  </si>
  <si>
    <t>15.5. Área para la realización de terapia individual que garantice condiciones de privacidad, que puede ser el mismo consultorio.</t>
  </si>
  <si>
    <t>15.6. Área para comedores.</t>
  </si>
  <si>
    <t>16. Disponibilidad de:</t>
  </si>
  <si>
    <t>16.1. Área para actividades de aprovechamiento y ocupación del tiempo libre.</t>
  </si>
  <si>
    <t>16.2. Área para recreación.</t>
  </si>
  <si>
    <t>CBCSP_DOT</t>
  </si>
  <si>
    <t>18. Cumple con los criterios que le sean aplicables de todos los servicios y adicionalmente:</t>
  </si>
  <si>
    <t>19.1. Dotación de los consultorios según oferta.</t>
  </si>
  <si>
    <t>19.2. Los elementos necesarios para la utilización de tiempo libre, así como para actividades vocacionales y ocupacionales de acuerdo con el tipo de terapia o plan de estructuración del tiempo de los usuarios.</t>
  </si>
  <si>
    <t>19.3. Elementos necesarios para la realización de actividades lúdicas y educativas a niños, niñas y adolescentes, si brinda atención a esta población.</t>
  </si>
  <si>
    <t>19.4. Muebles de comedor en número suficiente, de acuerdo con la organización de los horarios para la alimentación.</t>
  </si>
  <si>
    <t>19.5. Cama con su dotación, por cada uno de los usuarios.</t>
  </si>
  <si>
    <t>19.6. Clóset o armarios o casilleros u otros similares, provistos de mecanismos de seguridad que le permita al usuario guardar sus pertenencias.</t>
  </si>
  <si>
    <t>19.7. Elementos de separación entre camas.</t>
  </si>
  <si>
    <t>19.8. Elementos para sujeción física.</t>
  </si>
  <si>
    <t>19.9. Carro de paro cuando se administren medicamentos hipnóticos o sedantes por vía parenteral.</t>
  </si>
  <si>
    <t>CBCSP - MD</t>
  </si>
  <si>
    <t>CBCSP  - MD</t>
  </si>
  <si>
    <t>21. Cuando se manejen medicamentos, cumple con los criterios que le sean aplicables de todos los servicios y adicionalmente cuenta con:</t>
  </si>
  <si>
    <t>21.1. Pruebas POCT - rápidas para la detección de sustancias psicoactivas, VIH, hepatitis virales, y sífilis.</t>
  </si>
  <si>
    <t>21.2. Flumazenil, cuando se utilicen medicamentos como benzodiacepinas.</t>
  </si>
  <si>
    <t>21.3. Medicamentos antagonistas opioides e hipnosedantes, cuando se utilicen medicamentos para terapia de mantenimiento con opioides e hipnosedantes.</t>
  </si>
  <si>
    <t>CBC SPP_PP</t>
  </si>
  <si>
    <t>23.1. Política institucional basada en el respeto por los derechos y la dignidad humana, priorizando la autonomía personal y el libre desarrollo de la personalidad.</t>
  </si>
  <si>
    <t>23.2. Tamizaje e intervención motivacional breve por curso de vida y a mujeres embarazadas cuando aplique.</t>
  </si>
  <si>
    <t>23.3. Evaluación multidimensional que incluya:</t>
  </si>
  <si>
    <t>23.3.1. Detección de intoxicación/abstinencia.</t>
  </si>
  <si>
    <t>23.3.2. Condiciones médicas que entre otras contemple como mínimo VIH/SIDA, hepatitis viral, sífilis, tuberculosis y usuarios de drogas inyectadas.</t>
  </si>
  <si>
    <t>23.3.3. Condiciones emocionales, cognitivas, comportamentales, y trastornos concurrentes, comorbilidad o patología dual.</t>
  </si>
  <si>
    <t>23.3.4. Disposición para el cambio de comportamiento.</t>
  </si>
  <si>
    <t>23.3.5. Análisis de problemas potenciales del uso continuado y recaídas.</t>
  </si>
  <si>
    <t>23.3.6. Ambiente o condiciones de recuperación posteriores al tratamiento.</t>
  </si>
  <si>
    <t>23.4. Plan de tratamiento y seguimiento.</t>
  </si>
  <si>
    <t>23.5. Tratamiento del consumo de sustancias durante el embarazo cuando aplique.</t>
  </si>
  <si>
    <t>23.6. Horarios de la permanencia del profesional de la medicina especialista en psiquiatría o psiquiatría infantil</t>
  </si>
  <si>
    <t>23.7. Adaptación de las atenciones de acuerdo con las características de las poblaciones a atender y de los contextos territoriales.</t>
  </si>
  <si>
    <t>23.8. Criterios de ingreso y egreso del servicio.</t>
  </si>
  <si>
    <t>23.9. Manejo de las principales causas de internación para el tratamiento en consumo de sustancias psicoactivas.</t>
  </si>
  <si>
    <t>23.10. Entrega de turno.</t>
  </si>
  <si>
    <t>23.11. Manejo de urgencias que incluya:</t>
  </si>
  <si>
    <t>23.11.1. Intoxicación aguda y síndrome de abstinencia a sustancias psicoactivas.</t>
  </si>
  <si>
    <t>23.11.2. Agitación psicomotora, conducta suicida y agresión a terceros.</t>
  </si>
  <si>
    <t>23.11.3. Agudización de síntomas psiquiátricos e intervención en crisis</t>
  </si>
  <si>
    <t>23.11.4. Valoración inicial y seguimiento por equipo multidisciplinario definido en el estándar de talento humano, que incluya seguimiento y periodicidad de las valoraciones por el psiquiatra mínimo una vez cada quince días.</t>
  </si>
  <si>
    <t>23.11.5. Reanimación cardio cerebro pulmonar</t>
  </si>
  <si>
    <t>23.12. Valoración y seguimiento por nutrición que incluya minuta de alimentos.</t>
  </si>
  <si>
    <t>23.13. Control de ingreso de sustancias psicoactivas y el manejo de las mismas.</t>
  </si>
  <si>
    <t>23.14. Realización de pruebas POCT - rápidas para la detección de sustancias psicoactivas, VIH, hepatitis virales y sífilis.</t>
  </si>
  <si>
    <t>23.15. Administración de medicamentos, titulación, mantenimiento y retiro de los mismos cuando se realice.</t>
  </si>
  <si>
    <t>Grupo Quirúrgico</t>
  </si>
  <si>
    <t>23.16. Atención de usuarios con trastornos por consumo de alcohol, benzodiacepinas y opioides, que incluya manejo de síndrome de abstinencia.</t>
  </si>
  <si>
    <t xml:space="preserve">Servicio cirugia
Descripción del servicio:
Servicio destinado a la realización de procedimientos e intervenciones quirúrgicas, que requieren total asepsia. Los procedimientos e intervenciones pueden requerir o no internación para el manejo post operatorio.
Cuando se realicen procedimientos de trasplante de órganos y tejidos, los autorizados son:
Órganos: Riñón, hígado, corazón, páncreas, pulmón, intestino, multivisceral y los demás que et Ministerio de Salud y Protección Social autorice.
Tejidos: Tejidos oculares, osteomuscular, cardiovascular, piel y componentes de la piel y los demás que el Ministerio de Salud y Protección Social autorice.
Estructura del servicio:
Complejidades:  Mediana y alta
Modalidades de prestación:        
Intramural
Extramural, Jornada de salud y Unidad movil - No aplica para transplantes 
Telemedicina - Categoria: Telexperticia sincrónica o asincrónica entre 2 profesionales </t>
  </si>
  <si>
    <t>CBCSP_HCR</t>
  </si>
  <si>
    <t>CX_TH</t>
  </si>
  <si>
    <t>Modalidades intramural y telemedicina- prestador remisor – prestador referencia</t>
  </si>
  <si>
    <t xml:space="preserve">Complejidad Mediana y Alta </t>
  </si>
  <si>
    <t>25.        Cumple con los criterios que le sean aplicables de todos los servicios.</t>
  </si>
  <si>
    <t xml:space="preserve">Modalidades Intramural, extramural jornada de salud, unidad móvil y telemedicina - prestador remisor </t>
  </si>
  <si>
    <t>CBCSP_INT</t>
  </si>
  <si>
    <r>
      <t xml:space="preserve">1. Cumple con los criterios  que le sea aplicables a todos los servicios y adicionalmente </t>
    </r>
    <r>
      <rPr>
        <b/>
        <sz val="11"/>
        <rFont val="Calibri"/>
      </rPr>
      <t>cuenta con:</t>
    </r>
  </si>
  <si>
    <t>26.        Cumple con tos criterios que le sean aplicables de todos los servicios y adicionalmente
disponibilidad  de:</t>
  </si>
  <si>
    <t>1.1. Auxiliar en enfermería.</t>
  </si>
  <si>
    <t>1.2. Profesional en Instrumentación quirúrgica para cada uno de los procedimientos que lo requieran.</t>
  </si>
  <si>
    <t>26.2. Servicio farmacéutico, cuando se administren medicamentos.</t>
  </si>
  <si>
    <t>2.1 Profesional de la medicina o de la odontología especialista según la oferta del prestador de servicios de salud con permanencia durante los procedimientos quirúrgicos y de conformidad con lo documentado en el estándar de procesos prioritarios.</t>
  </si>
  <si>
    <t>26.3. Servicio de transporte asistencial</t>
  </si>
  <si>
    <t>2.2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</si>
  <si>
    <t>26.4. Servicios de apoyo (alimentación, lavandería y vigilancia)</t>
  </si>
  <si>
    <t>2.3 Si oferta cirugía oncológica, profesional de la medicina especialista en cirugía oncológica o especialista que demuestre haber adquirido en su formación académica  conocimientos en el manejo quirúrgico de las patologías oncológicas.</t>
  </si>
  <si>
    <t>Modalidad y telemedicina- prestador remisor – prestador referencia</t>
  </si>
  <si>
    <t>2.4 En zonas especiales de dispersión geográfica, los profesionales de la medicina pueden practicar procedimientos quirúrgicos en casos de urgencia y en casos no remisibles, debido a la condición clínica del paciente o por limitaciones de acceso geográfico.</t>
  </si>
  <si>
    <t>3.Si ofrece trasplante de tejidos adicional a lo anterior, disponibilidad con permanencia de profesionales de la medicina especialistas quirúrgicos durante los procedimientos quirúrgicos y de conformidad con lo definido en el estándar de procesos prioritarios, así:</t>
  </si>
  <si>
    <t>3.1 Para el trasplante de tejido ocular: profesional de la medicina especialista en oftalmología.</t>
  </si>
  <si>
    <t>3.2 Para el trasplante osteomuscular: Profesional de la medicina especialista en cirugía que demuestre haber adquirido en su formación académica conocimientos en el manejo quirúrgico del trasplante osteomuscular. según la oferta del servicio.</t>
  </si>
  <si>
    <t>3.3 Para el trasplante cardiovascular: profesional de la medicina especialista en cirugía cardiovascular.</t>
  </si>
  <si>
    <t>3.4 Para trasplante de piel y componentes de la piel: profesional de la medicina especialista en cirugía que demuestre haber adquirido en su formación académica conocimientos en el manejo quirúrgico del trasplante de piel y componentes de la piel.</t>
  </si>
  <si>
    <t>4 Si ofrece trasplante de órganos cumple con los criterios definidos para el servicio de cirugía en mediana complejidad y adicionalmente, cuenta con:</t>
  </si>
  <si>
    <t>4.1 Coordinador operativo de trasplantes.</t>
  </si>
  <si>
    <t>4.2 Profesional de la medicina o profesional de la enfermería para el apoyo de la coordinación, en caso de que la Institución Prestadora de Servicios de Salud realice más de un tipo de trasplante.</t>
  </si>
  <si>
    <t>4.3 El talento humano que realiza actividades de coordinación operativa de trasplante cuenta con constancia de asistencia en las acciones de formación continua en la gestión operativa de la donación.</t>
  </si>
  <si>
    <t>4.4 Los profesionales en medicina con especialidad quirúrgica para el servicio de trasplante de órganos cuentan con constancia de asistencia en las acciones de formación continua para el control del paciente pre y trasplantado en el servicio específico.</t>
  </si>
  <si>
    <t>4.5 Si oferta programa de trasplante de órganos a pacientes pediátricos, cuenta con constancia de asistencia en las acciones de formación continua para el control del paciente pediátrico pre y trasplantado en el servicio específico.</t>
  </si>
  <si>
    <t>4.6 Disponibilidad de:</t>
  </si>
  <si>
    <t>4.6.1 Por cada tipo de trasplante disponibilidad de profesional de la medicina con especialidad según la oferta, asi:</t>
  </si>
  <si>
    <t>4.6.1.1 Trasplante de hígado, intestino y multivisceral: Profesional de la medicina especialista en hepatología o en gastroenterología.</t>
  </si>
  <si>
    <t>4.6.1.2 Trasplante de riñón y páncreas: Profesional de la medicina especialista en nefrología.</t>
  </si>
  <si>
    <t>4.6.1.3 Trasplante de corazón: Profesional de la med¡cina especialista en cardiología.</t>
  </si>
  <si>
    <t>4.6.1.4 Trasplante de pulmón: Profesional de la medicina especialista en neumología.</t>
  </si>
  <si>
    <t>4.6.2 Profesionales de la medicina con especialidad quirúrgica, con permanencia durante los procedimientos quirúrgicos, así:</t>
  </si>
  <si>
    <t>4.6.2.1 Trasplante  de  hígado,  intestino  y  multivisceral,  Profesional  de  !a  medicina especialista en cirugía general, con especialidad en cirugía de trasplantes o en cirugía de trasplantes de órganos abdominales.</t>
  </si>
  <si>
    <t>4.6.2.2 Trasplante de riñón y páncreas: Profesional de la medicina especialista en cirugía general o en urología, con especialidad en cirugía de trasplantes o en cirugía de trasplantes de órganos abdominales.</t>
  </si>
  <si>
    <t>4.6.2.3 Trasplante de corazón y pulmón: Profesional de la medicina especialista en cirugía cardiovascular o profesional de la medicina especialista en cirugía de tórax.</t>
  </si>
  <si>
    <t>4.6.2.4 Para trasplante de hígado, profesional de  la medicina especialista en anestesiología que cuenta con constancia de asistencia en las acciones de formación continua en anestesia y mantenimiento de\ paciente trasplantado.</t>
  </si>
  <si>
    <t>4.6.2.5 Para trasplante de corazón, profesional de la medicina especialista en anestesiología que cuenta con constancia de asistencia en las acciones de formación continua en anestesia y mantenimiento del paciente trasplantado</t>
  </si>
  <si>
    <t>4.7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</si>
  <si>
    <t>Sala de recuperación</t>
  </si>
  <si>
    <t>5.1. Profesional de la Enfermería.</t>
  </si>
  <si>
    <t>5.2. Auxiliar de Enfermería.</t>
  </si>
  <si>
    <t xml:space="preserve">6. Disponibilidad con permanencia de acuerdo con lo definido en el estándar de procesos prioritarios del profesional de medicina responsable del acto quirúrgico </t>
  </si>
  <si>
    <t>7.El profesional de salud puede hacer uso de la categoría telexperticia sincrónica entre profesionales de la salud de acuerdo con lo definido por el prestador de servicios de salud en el estándar de procesos prioritarios.</t>
  </si>
  <si>
    <t>CX_INF</t>
  </si>
  <si>
    <t xml:space="preserve">Complejidad mediana y alta </t>
  </si>
  <si>
    <t>8.1 Área para recepción y entrega de pacientes.</t>
  </si>
  <si>
    <t xml:space="preserve">8.2 Área para transferencia de camillas </t>
  </si>
  <si>
    <t>8.3 Vestidor para el talento humano que funciona como filtro, con unidad sanitaria y área para casilleros</t>
  </si>
  <si>
    <t>8.4 Ambiente para la recepción y almacenamiento de material estéril cuando no se cuenta con central de esterilización anexa.</t>
  </si>
  <si>
    <t>8.5 Área o ambiente para inactivación y prelavado de instrumental cuando no se cuenta con central de esterilización anexa.</t>
  </si>
  <si>
    <t>8.6 Lavamanos quirúrgico en cantidad igual al número de salas de cirugía más uno, ubicado antes del ingreso a cada sala de cirugía.</t>
  </si>
  <si>
    <t>8.7 Área o ambiente de ropa limpia.</t>
  </si>
  <si>
    <t xml:space="preserve">8.8 Ambiente de ropa sucia </t>
  </si>
  <si>
    <t>9. Sala de Cirugía (20 m2 ) que cuenta con:</t>
  </si>
  <si>
    <t>9.1 Salida de oxigeno medicinal.</t>
  </si>
  <si>
    <t xml:space="preserve">9.2 Salide de aire medicinal </t>
  </si>
  <si>
    <t>9.3 Sistema de vacío.</t>
  </si>
  <si>
    <t>9.4 Alarma de gases medicinales por fuera de la sala de cirugía.</t>
  </si>
  <si>
    <t>9.5 Sistema de extracción de gases anestésicos residuales de la máquina hacia el exterior, cuando se requiera o según la tecnología utilizada.</t>
  </si>
  <si>
    <t>9.6 Piso con conductividad eléctrica.</t>
  </si>
  <si>
    <t>9.7 La puerta de la sala de cirugía permite la visualización entre el interior y el exterior o cuenta con visor y su ancho permite el paso de las camillas.</t>
  </si>
  <si>
    <t>9.8 Si existen ventanas, estas deben tener cierre hermético.</t>
  </si>
  <si>
    <t>10. Sala de recuperación localizada junto a las salas de cirugía y comunicada con el área de recepción y entrega de pacientes que cuenta con:</t>
  </si>
  <si>
    <t>10.1 Area para dos camillas por cada sala de cirugía.</t>
  </si>
  <si>
    <t>10.2 Puesto de enfermería.</t>
  </si>
  <si>
    <t xml:space="preserve">10.3 Lavamanos </t>
  </si>
  <si>
    <t>10.4 Salida de oxígeno medicinal por camilla.</t>
  </si>
  <si>
    <t>10.5 Sistema de vacío por camilla.</t>
  </si>
  <si>
    <t xml:space="preserve">11. Disponibilidad de: </t>
  </si>
  <si>
    <t xml:space="preserve">11.1 Sala de espera </t>
  </si>
  <si>
    <t xml:space="preserve">11.2 Unidades sanitarias discriminadas por sexo </t>
  </si>
  <si>
    <t>Si realiza exclusivamente procedimientos de cirugía ambulatoria</t>
  </si>
  <si>
    <t>12. Cumple con los criterios anteriormente definidos y adicionalmente cuenta con:</t>
  </si>
  <si>
    <t>12.1 Vestidor para pacientes que funciona como filtro, con unidad sanitaria y área para casilleros.</t>
  </si>
  <si>
    <t>12.2 Ambiente para preparación de pacientes.</t>
  </si>
  <si>
    <t>13. Para cirugía ambulatoria donde no se aplica anestesia general, no se exigirá sistema de extracción de gases anestésicos.</t>
  </si>
  <si>
    <t>14. El prestador donde se realicen los procedimientos quirúrgicos en esta modalidad cuenta con la habilitación del servicio quirúrgico.</t>
  </si>
  <si>
    <t>15. La  unidad  móvil  cumple  con  los  criterios  definidos  para  et  estándar  de  infraestructura  de  la modalidad intramural del servicio de cirugía.</t>
  </si>
  <si>
    <t>16. Cumple con los criterios que le sean aplicables de todos tos servicios.</t>
  </si>
  <si>
    <t>CX_DOT</t>
  </si>
  <si>
    <t>Modalidades intramural, extramural jornada de salud, unidad móvil y telemedicina - prestador remisor</t>
  </si>
  <si>
    <t>17. Cump!e con los criterios que le sean aplicables de todos los servicios y adicionalmente, cada sala de cirugía cuenta con:</t>
  </si>
  <si>
    <t>17.1 Mesa para cirugía eléctrica, neumática o hidráulica, acorde con el tipo de cirugías a realizar.</t>
  </si>
  <si>
    <t>17.2 Mesa para instrumental quirúrgico.</t>
  </si>
  <si>
    <t>17.3 Monitor de signos vitales con accesorios adultos o pediátricos que cuente mínimo con:</t>
  </si>
  <si>
    <t>17.3.1 Trazado  electrocardiográfico</t>
  </si>
  <si>
    <t>17.3.2 Presión no invasiva</t>
  </si>
  <si>
    <t>Grupo de atención inmediata</t>
  </si>
  <si>
    <t>17.3.3 Saturación de oxígeno</t>
  </si>
  <si>
    <t>Servicio Urgencias</t>
  </si>
  <si>
    <t>17.3.4 Capnografía</t>
  </si>
  <si>
    <t xml:space="preserve">17.3.5 Temperatura </t>
  </si>
  <si>
    <t>17.4 Máquina de anestesia, cuando el procedimiento la requiera, la cual cuenta con·</t>
  </si>
  <si>
    <t>URG_TH</t>
  </si>
  <si>
    <t>17.4.1 Alarma audible y visible de desconex!ón, volumen y presión.</t>
  </si>
  <si>
    <t>17.4.2 Seguro de mezcla hipóxica.</t>
  </si>
  <si>
    <t>17.4.3 Monitorización de oxígeno medicinal administrado.</t>
  </si>
  <si>
    <t>Modalidades Intramural, telemedicina - prestador remisor.</t>
  </si>
  <si>
    <t>17.4.4 Monitorización de presión en la vía aérea.</t>
  </si>
  <si>
    <t>17.4.5 Ventilador</t>
  </si>
  <si>
    <t>17.4.6 Si la máquina de anestesia no incluye sistema de extracción de gases anestésicos, deberá contar con salida de extracción de gases anestésicos.</t>
  </si>
  <si>
    <r>
      <t xml:space="preserve">1.1. Profesional de la medicina que </t>
    </r>
    <r>
      <rPr>
        <b/>
        <sz val="11"/>
        <rFont val="Calibri"/>
      </rPr>
      <t>cuenta con</t>
    </r>
    <r>
      <rPr>
        <sz val="11"/>
        <color rgb="FF000000"/>
        <rFont val="Calibri"/>
      </rPr>
      <t xml:space="preserve"> constancia de asistencia en las acciones de formación continua en soporte vital avanzado.</t>
    </r>
  </si>
  <si>
    <t>17.5 Lámpara quirúrgica.</t>
  </si>
  <si>
    <r>
      <t>1.2. Auxiliar de enfermería que</t>
    </r>
    <r>
      <rPr>
        <b/>
        <sz val="11"/>
        <rFont val="Calibri"/>
      </rPr>
      <t xml:space="preserve"> cuenta con</t>
    </r>
    <r>
      <rPr>
        <sz val="11"/>
        <color rgb="FF000000"/>
        <rFont val="Calibri"/>
      </rPr>
      <t xml:space="preserve"> constancia de asistencia en las acciones de formación continua en soporte vital básico.</t>
    </r>
  </si>
  <si>
    <t>17.6 Laringoscopio con hojas rectas y curvas adulto o pediátrica, según la oferta.</t>
  </si>
  <si>
    <t>2. En zonas dispersas, de dispersión geográfica, disponibilidad de:</t>
  </si>
  <si>
    <t>17.7 Electrobisturi.</t>
  </si>
  <si>
    <t>2.1. Profesional de la medicinal que cuenta con constancia de asistencia en las acciones de formación continua en soporte vital avanzado.</t>
  </si>
  <si>
    <t>18. Equipo mínimo para manejo de la vía aérea que cuenta con:</t>
  </si>
  <si>
    <t>18.1 Laringoscopio con hojas curvas y rectas de diferentes tamaños, según oferta.</t>
  </si>
  <si>
    <r>
      <t xml:space="preserve">2.2. Auxiliar de enfermería que </t>
    </r>
    <r>
      <rPr>
        <b/>
        <sz val="11"/>
        <rFont val="Calibri"/>
      </rPr>
      <t>cuenta con</t>
    </r>
    <r>
      <rPr>
        <sz val="11"/>
        <color rgb="FF000000"/>
        <rFont val="Calibri"/>
      </rPr>
      <t xml:space="preserve"> constancia de asistencia en las acciones de formación continua en soporte vital básico.</t>
    </r>
  </si>
  <si>
    <t>18.2 Tubos endotraqueales de diferentes calibres.</t>
  </si>
  <si>
    <t>18.3 Máscaras laríngeas.</t>
  </si>
  <si>
    <t>18.4 Equipo de cricotiroidotomía  percutánea.</t>
  </si>
  <si>
    <t>4. El profesional de la medicina puede hacer uso de la categoria telexperticia sincronica o asincrónicaentre profesionales de la salud de acuerdo por el prestador de servicios de salud en el estándar de procesos prioritarios.</t>
  </si>
  <si>
    <t>19. Disponibilidad en el servicio de:</t>
  </si>
  <si>
    <t>Complejidad media</t>
  </si>
  <si>
    <t>19.1 Carro de paro adicional al de la sala de recuperación.</t>
  </si>
  <si>
    <t>19.2 Camilla con barandas, ruedas y freno.</t>
  </si>
  <si>
    <t>19.3 Bomba de infusión.</t>
  </si>
  <si>
    <t>19.4 Instrumental necesario de acuerdo con el tipo de procedimientos que se realizan en el
servicio.</t>
  </si>
  <si>
    <t xml:space="preserve">5.1. Profesional de la medicina o profesional de la medicina especialista en medicina de urgencias o medicina familiar. </t>
  </si>
  <si>
    <t>19.5 Equipo de gases arteriales.</t>
  </si>
  <si>
    <t>5.2.Profesional de la enfermería..</t>
  </si>
  <si>
    <t>19.6 Analizador  de gases anestésicos  inspirados  y expirados,  para cirugía cardiovascular,
neurocirugía y en cirugías en las que se empleen técnicas anestésicas con flujos bajos.</t>
  </si>
  <si>
    <t>19.7 Estimulador de nervio periférico.</t>
  </si>
  <si>
    <r>
      <t>5.3. Auxiliar de enfermería que</t>
    </r>
    <r>
      <rPr>
        <b/>
        <sz val="11"/>
        <rFont val="Calibri"/>
      </rPr>
      <t xml:space="preserve"> cuenta con</t>
    </r>
    <r>
      <rPr>
        <sz val="11"/>
        <color rgb="FF000000"/>
        <rFont val="Calibri"/>
      </rPr>
      <t xml:space="preserve"> constancia de asistencia en las acciones de formación continua en soporte vital básico.</t>
    </r>
  </si>
  <si>
    <t>19.8 Estilete de intubación con tubo endotraqueal o sistema de iluminación que permita el acceso a la vía aérea.</t>
  </si>
  <si>
    <t>6.1. Profesional de la medicina especialistas necesarios para la atención de las diversas patologías conforme con la información documentada en el estándar de procesos prioritarios.</t>
  </si>
  <si>
    <t>19.9 Monitor de presión invasiva cuando la especialidad lo requiera.</t>
  </si>
  <si>
    <t>6.2. Profesional de terapia respiratoria o fisioterapeuta.</t>
  </si>
  <si>
    <t>19.10 Equipo de intubación retrógrada o sistema que permita el acceso a la vía aérea difícil.</t>
  </si>
  <si>
    <t>7. Los profesionales de la salud cuentan con constancia de asistencia en las acciones de formación continua en soporte vital avanzado, con excepción del profesional de la medicina especialista en medicina de urgencias</t>
  </si>
  <si>
    <t>19.11 Sistema de infusión rápida de líquidos</t>
  </si>
  <si>
    <t>19.12 Sistema de calentamiento de líquidos y sangre.</t>
  </si>
  <si>
    <t>19.13 Disponibilidad de:</t>
  </si>
  <si>
    <t>9. El profesional de salud puede hacer uso de la categoria telexperticia sincrónica o asincrónica entre profesionales de la salud de acuerdo con lo definido por el prestador de servicios de salud en el estaándar  de procesos prioritarios.</t>
  </si>
  <si>
    <t>19.13.1 Equipo de rayos X portátil.</t>
  </si>
  <si>
    <t>10. Los profesionale de la medicina especialistas pueden realizar la disponibilidad en la categoria telexperticia sincrónica entre profesionales de la salud ce acuerdo con lo deinido por el prestador de servicios de salud en el estandar de procesos prioritrios.</t>
  </si>
  <si>
    <t>19.13.2 Electrocardiógrafo</t>
  </si>
  <si>
    <t>Complejidad Alta</t>
  </si>
  <si>
    <t>20. Sala de recuperación que cuenta con:</t>
  </si>
  <si>
    <t>20.1 Camilla con barandas, ruedas y freno.</t>
  </si>
  <si>
    <t>11. Cuenta con:</t>
  </si>
  <si>
    <t>20.2 Carro de paro.</t>
  </si>
  <si>
    <t>11.1. Profesiona de la medicina o profesional de la medicina especialista en medicinade urgencias o medicina familiar.</t>
  </si>
  <si>
    <t>20.3 Bomba de infusión</t>
  </si>
  <si>
    <t>11.2.Profesional de la enfermería.</t>
  </si>
  <si>
    <t>20.4 Monitor de signos vitales con accesorios adultos o pediátricos que cuenta como mínimo con:</t>
  </si>
  <si>
    <t>11.3. Auxiliar de enfermería que cuenta con constancia de asistencia en las acciones de formacioncontinua en soporte vital basico.</t>
  </si>
  <si>
    <t>20.4.1 Trazado  electrocardiográfico.</t>
  </si>
  <si>
    <t>11.4. Profesionales de la medicina especialistas necesarios para la atencion de las diversas patologias conforme a la informacion documentada en el estándar de procesos prioritarios.</t>
  </si>
  <si>
    <t>20.4.2 Presión no invasiva.</t>
  </si>
  <si>
    <t xml:space="preserve">12. Disponibilidad de </t>
  </si>
  <si>
    <t>20.4.3 Saturación de oxígeno.</t>
  </si>
  <si>
    <t>Profesional de terapia respiratoria o fisioterapeuta.</t>
  </si>
  <si>
    <t>20.4.4 Temperatura.</t>
  </si>
  <si>
    <t>13. Los profesionales de la salud cuentan con constancia de asistencia en las acciones de formación continua en soporte vital avanzado, con excepción del profesional de la medicina especialista en medicina de urgencias</t>
  </si>
  <si>
    <t>21. Cuando se realicen procedimientos quirúrgicos que no requieran la dotación anteriormente definida, cuenta con la dotación necesaria y específica para realizar los procedimientos documentados en el estándar de procesos prioritarios.</t>
  </si>
  <si>
    <t>22. Cuando se realicen procedimientos de trasplante de tejidos autólogos que requieran un periodo de almacenamiento temporal, cuenta con equipo que garantice la vitalidad del tejido en condiciones controladas de temperatura y humedad.</t>
  </si>
  <si>
    <t>14. El profesional de la salud puede hacer uso de la categoría telexperticia sincrónica o asincrónica entre profesionales de la salud de acuerdo con lo definido por el prestador de servicios de salud en el estándar de procesos prioritarios.</t>
  </si>
  <si>
    <t>Si realiza exclusivamente procedimientos de cirugía ambulatoria:</t>
  </si>
  <si>
    <t>URG_INF</t>
  </si>
  <si>
    <t>23 Cuando se realicen procedimientos de cirugía ambulatoria que no requieran la dotación anteriormente definida, cuenta con:</t>
  </si>
  <si>
    <t>23.1 La dotación necesaria y específica  para realizar los procedimientos documentados en el estándar de procesos prioritarios.</t>
  </si>
  <si>
    <t>15. Cumple con los criterios que le sean aplicables de todos los servicios y adicionalmente,</t>
  </si>
  <si>
    <t>23.2 Carro de paro cuando lo requiera, de acuerdo con la información documentada en e! estándar de procesos prioritarios</t>
  </si>
  <si>
    <t>16. El servicio de urgencias cuenta con:</t>
  </si>
  <si>
    <t>16.1. Acceso directo desde el exterior de la edificación, localizado en el mismo piso o nivel donde funciona el servicio.</t>
  </si>
  <si>
    <t>24. Cumple con tos criterios que le sean aplicables de todos los servicios.</t>
  </si>
  <si>
    <t>16.2. Ambientes y áreas definidas para la prestación del servicio, ubicadas en el mismo piso o nivel.</t>
  </si>
  <si>
    <t>CX_MD</t>
  </si>
  <si>
    <t xml:space="preserve">Complejidad Mediana </t>
  </si>
  <si>
    <t>16.3. Circulación al interior del servicio que permite el flujo y desplazamiento expedito del personal y pacientes, facilitando los procesos de atención inmediata, oportunidad en la atención y las relaciones funcionales e interdependencia con los otros servicios.</t>
  </si>
  <si>
    <t>25.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</si>
  <si>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17. 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</si>
  <si>
    <t>26. Cumple con los criterios que le sean aplicables de todos los servicios y adicionalmente para trasplante de tejidos, cuenta con:</t>
  </si>
  <si>
    <t>26.1 Certificado vigente de buenas prácticas de bancos de tejidos expedido por la autoridad competente, cuando los tejidos provengan de un banco de tejidos</t>
  </si>
  <si>
    <t>26.2 Autorización para ingreso al país de acuerdo con la normatividad vigente, cuando los tejidos provengan de bancos de tejidos del exterior.</t>
  </si>
  <si>
    <t>18.1. Sala de espera</t>
  </si>
  <si>
    <t>26.3 Registros de temperatura y preservación cuando se realice almacenamiento temporal de tejidos provenientes de bancos de tejidos según especificaciones del banco que lo provee.</t>
  </si>
  <si>
    <t>27. Disponibilidad de:</t>
  </si>
  <si>
    <t>18.2. Unidades sanitarias discriminadas por sexo. De las cuales mínimo una (1) unidad sanitaria discriminada por sexo, es apta para personas con movilidad reducida.</t>
  </si>
  <si>
    <t>Oxígeno medicinal portátil en caso de traslado de pacientes.</t>
  </si>
  <si>
    <t>28.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</si>
  <si>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18.3. Área para estacionamiento de camillas y sillas de ruedas.</t>
  </si>
  <si>
    <t>18.4. Ambiente para descontaminación de pacientes, con ducha teléfono y sistema de drenaje.</t>
  </si>
  <si>
    <t>18.5. Consultorios con lavamanos., Al menos uno de los consultorios cuenta con unidad sanitaria el cual no requiere lavamanos adicional.</t>
  </si>
  <si>
    <t>CX_PP</t>
  </si>
  <si>
    <t>18.6. Ambiente o área de Triage.</t>
  </si>
  <si>
    <t>18.7. Estación de enfermería.</t>
  </si>
  <si>
    <t>30. Cumple con los criterios que le sean aplicables de todos los servicios y adicionalmente, cuenta con la siguiente información documentada  para:</t>
  </si>
  <si>
    <t>30.1 Entrega de turno de enfermería y medicina.</t>
  </si>
  <si>
    <t>18.8. Sala de procedimientos (8m2)</t>
  </si>
  <si>
    <t>30.2 Plan de cuidados de enfermería</t>
  </si>
  <si>
    <t>18.9. Ambiente para atención de la Enfermedad Respiratoria Aguda, cuando se requiera.</t>
  </si>
  <si>
    <t>30.3 Control de líquidos.</t>
  </si>
  <si>
    <t>18.10. Ambiente para inmovilización, cuando se requiera.</t>
  </si>
  <si>
    <t>30.4 Administración de medicamentos</t>
  </si>
  <si>
    <t>30.5 Sujeción de pacientes</t>
  </si>
  <si>
    <t>18.11. Ambiente para rehidratación oral, cuando se requiera.</t>
  </si>
  <si>
    <t>30.6 Toma de muestras de laboratorio clínico</t>
  </si>
  <si>
    <t>18.12. Ambiente para realización de pruebas POCT cuando se requiera.</t>
  </si>
  <si>
    <t>30.7 Cateterismo vesical</t>
  </si>
  <si>
    <t>18.13. Ambiente de aislamiento.</t>
  </si>
  <si>
    <t>30.8 Evaluación y registro pre anestésico</t>
  </si>
  <si>
    <t>30.9 Preparación del paciente para el acto quirúrgico.</t>
  </si>
  <si>
    <t>18.14. Sala de reanimación (12 m2) que cuenta con:</t>
  </si>
  <si>
    <t>30.10 Manejo de complicaciones postquirúrgicas.</t>
  </si>
  <si>
    <t>18.14.1. Mesón de trabajo con poceta.</t>
  </si>
  <si>
    <t>30.11 Condiciones para el transporte del paciente</t>
  </si>
  <si>
    <t>18.14.2. Lavamanos.</t>
  </si>
  <si>
    <t>30.12 Controles  postquirúrgicos.</t>
  </si>
  <si>
    <t>18.15. Sala de observación adultos (6 m2 por camilla) independiente por sexo, que cuenta con:</t>
  </si>
  <si>
    <t>30.13 Formulación de sangre y componentes sanguíneos cuando se realice.</t>
  </si>
  <si>
    <t>30.14 Manejo de transfusiones y sus complicaciones cuando se realice.</t>
  </si>
  <si>
    <t>18.15.1. Estación de enfermería que puede compartirse con la sala de observación pediátrica.</t>
  </si>
  <si>
    <t>31. Si ofrece trasplante de órganos cuenta con la siguiente información documentada:</t>
  </si>
  <si>
    <t>18.15.2. Baño discriminado por sexo con ducha teléfono.</t>
  </si>
  <si>
    <t>31.1 Valoración o estudio pre-trasplante, trasplante, seguimiento postrasplante. de acuerdo con el trasplante ofertado.</t>
  </si>
  <si>
    <t>31.2 Actividades de la gestión operativa de la donación que se llevan a cabo por e! equipo de coordinación operativa de trasplantes  y la Institución Prestadora de Servicio de Salud generadora.</t>
  </si>
  <si>
    <t>18.15.3. Barrera física móvil o fija entre camillas.</t>
  </si>
  <si>
    <t>32. Si realiza  procedimientos  de trasplante  de tejidos  autólogos  que  impliquen almacenamiento temporal, cuenta con la siguiente información documentada:</t>
  </si>
  <si>
    <t>32.1 Condiciones controladas para garantizar la viabilidad, calidad y seguridad del tejido.</t>
  </si>
  <si>
    <t>18.15.4. Sistema de llamado de enfermería por camilla de observación y en los baños</t>
  </si>
  <si>
    <t>32.2 Mecanismos para garantizar la trazabilidad mediante la identificación del tejido, el donante, el receptor, el banco de tejido a través de un sistema de etiquetado</t>
  </si>
  <si>
    <t>18.16. Sala de observación pediátrica (6 m2 por camilla), que cuenta con:</t>
  </si>
  <si>
    <t>33. Cumple con los criterios  definidos  para las complejidades  mediana y alta cuando aplique y
adicionalmente cuenta con la siguiente información documentada:</t>
  </si>
  <si>
    <t>18.16.1. Estación de enfermería que (puede compartirse con la sala de observación adultos</t>
  </si>
  <si>
    <t>34. Identificación y gestión del riesgo que incluya:</t>
  </si>
  <si>
    <t>34.1 Identificación del riesgo anestésico.</t>
  </si>
  <si>
    <t>18.16.2. Baño con ducha teléfono y área acondicionada para bañar y vestir los lactantes.</t>
  </si>
  <si>
    <t>34.2 Valoración de posibles contraindicaciones.</t>
  </si>
  <si>
    <t>18.16.3. Barrera física móvil o fija entre camillas</t>
  </si>
  <si>
    <t>34.3 Definición de criterios de inclusión del paciente para cirugía ambulatoria que contenga entre otros, los aspectos psicosociales, la duración, la extensión, el manejo del dolor, entre otros aspectos.</t>
  </si>
  <si>
    <t>34.4 Entrega de Información al paciente sobre preparación y recomendaciones postoperatorias.</t>
  </si>
  <si>
    <t>18.16.4. Sistema de llamado de enfermería por camilla de observación y en los baños</t>
  </si>
  <si>
    <t>18.17. Ambiente de transición cuando se requiera conforme a la información documentada en el estándar de procesos prioritarios, que cuenta con:</t>
  </si>
  <si>
    <t>34.5 Actividades de seguimiento postquirúrgico.</t>
  </si>
  <si>
    <t>CX_HC</t>
  </si>
  <si>
    <t>18.17.1. Puesto de enfermería</t>
  </si>
  <si>
    <t>18.17.2. Unidad sanitaria discriminada por sexo.</t>
  </si>
  <si>
    <t>18.18. Área señalizada y exclusiva para el acceso y parqueo de ambulancias a la entrada del servicio.</t>
  </si>
  <si>
    <t>36. Cumple con los criterios que le sean aplicables de todos los servicios y adicionalmente:</t>
  </si>
  <si>
    <t>37. Si ofrece trasplante de órganos cuenta con:</t>
  </si>
  <si>
    <t>37.1  Resumen de la historia clínica del donante.</t>
  </si>
  <si>
    <t>19.	Cumple con los criterios que le sean aplicables de todos los servicios.</t>
  </si>
  <si>
    <t>37.2 . Resultados de las pruebas serológicas e inmunológicas consignadas en la historia clínica del paciente trasplantado.</t>
  </si>
  <si>
    <t>37.3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</si>
  <si>
    <t>20. Cumple con los criterios definidos para el servicio de urgencias de baja complejidad.</t>
  </si>
  <si>
    <t>37.4 En el caso de donante vivo, consentimiento informado expreso, mediante declaración juramentada ante notario público, con un término mínimo de 24 horas, entre la firma del documento y la extracción del órgano del donante.</t>
  </si>
  <si>
    <t>38. Si ofrece trasplante de tejidos cuenta con:</t>
  </si>
  <si>
    <t>38.1 Registro en la historia clínica del receptor del tejido trasplantado de la información del tejido suministrado por un banco de tejido.</t>
  </si>
  <si>
    <t>URG_DOT</t>
  </si>
  <si>
    <t>Complejidad Baja</t>
  </si>
  <si>
    <t>38.2 Certificado de necesidad terapéutica, expedido por el Instituto Nacional de Salud - INS y autorización expedida por el Invima, para el ingreso de tejidos que provienen de un banco de tejidos del exterior.</t>
  </si>
  <si>
    <t>38.3 Soporte de entrega del tejido al prestador de servicios de salud por parte del banco de tejidos, que incluye la información de identificación del tejido que garantice su trazabilidad.</t>
  </si>
  <si>
    <t>38.4  Registros del receptor del tejido trasplantado para su trazabilidad después del trasplante.</t>
  </si>
  <si>
    <t>22.1. Instrumental gineco-obstétrico</t>
  </si>
  <si>
    <t>38.5 La historia clínica del receptor trasplantado cuenta con el registro del talento humano en salud que participa en todos los procedimientos.</t>
  </si>
  <si>
    <t>22.2. Equipo de atención de partos.</t>
  </si>
  <si>
    <t xml:space="preserve">Modalidades telemedicina - prestador de referencia </t>
  </si>
  <si>
    <t>22.3. Elementos para sujeción física para pacientes adultos y pediátricos.</t>
  </si>
  <si>
    <t>22.4. Equipo de toracostomía.</t>
  </si>
  <si>
    <t>CX_INT</t>
  </si>
  <si>
    <t>22.5. Carro de paro para paciente adulto y pediátrico.</t>
  </si>
  <si>
    <t xml:space="preserve">Modalidades intramural, extramural jornada de salud y unidad móvil. </t>
  </si>
  <si>
    <t>22.6. Monitor de signos vitales con accesorios adultos o pediátricos que cuenta como mínimo con:</t>
  </si>
  <si>
    <t>40. Cuenta con:</t>
  </si>
  <si>
    <t>22.6.1. Trazado electrocardiográfico</t>
  </si>
  <si>
    <t>40.1 Servicio de hospitalización.</t>
  </si>
  <si>
    <t>22.6.2. Presión no invasiva</t>
  </si>
  <si>
    <t>40.2 Servicio farmacéutico.</t>
  </si>
  <si>
    <t>22.6.3. Saturación de oxígeno</t>
  </si>
  <si>
    <t>40.3 Servicio de imágenes diagnósticas.</t>
  </si>
  <si>
    <t>40.4 Servicio de laboratorio clínico.</t>
  </si>
  <si>
    <t>22.6.4. Temperatura</t>
  </si>
  <si>
    <t>41. Disponibilidad de:</t>
  </si>
  <si>
    <t>22.6.5. Batería</t>
  </si>
  <si>
    <t>41.1 Servicio de patología.</t>
  </si>
  <si>
    <t>22.7. Oxímetro, cuando no se encuentre incluido en el monitor de signos vitales.</t>
  </si>
  <si>
    <t>41.2 Servicio de gestión pre transfusional.</t>
  </si>
  <si>
    <t>22.8. Bomba de infusión.</t>
  </si>
  <si>
    <t>41.3 Servicio de transporte asistencial de mediana complejidad.</t>
  </si>
  <si>
    <t>22.9. Electrocardiógrafo de 12 derivaciones</t>
  </si>
  <si>
    <t xml:space="preserve">Complejidad Alta </t>
  </si>
  <si>
    <t>22.10. Nebulizador</t>
  </si>
  <si>
    <t>Modalidades intramural, extramural jornada de salud y unidad móvil</t>
  </si>
  <si>
    <t>22.11. Oxígeno medicinal y succión. Puede ser suministrado mediante salida de oxígeno medicinal y sistema de vacío o mediante oxígeno medicinal portátil y aspirador.</t>
  </si>
  <si>
    <t>42. Adicional a lo definido para la mediana complejidad, cuenta con:</t>
  </si>
  <si>
    <t>23. Consultorio de urgencias, que cuenta con:</t>
  </si>
  <si>
    <t>42.1 Servicio de cuidado Intensivo, según oferta.</t>
  </si>
  <si>
    <t>23.1. Camilla con estribos, cuando se requiera.</t>
  </si>
  <si>
    <t>47.2. Servicio de gestión pre-transfusional.</t>
  </si>
  <si>
    <t>23.2. Tensiómetro adulto y pediátrico.</t>
  </si>
  <si>
    <t>23.3. Fonendoscopio adulto y pediátrico.</t>
  </si>
  <si>
    <t>47.3. Servicio de patología, cuando se oferte cirugía  con alcance oncológica</t>
  </si>
  <si>
    <t>23.4. Termómetro.</t>
  </si>
  <si>
    <t>Sí realiza exclusivamente procedimientos de cirugía ambulatoria</t>
  </si>
  <si>
    <t>23.5. Báscula grado médico.</t>
  </si>
  <si>
    <t>23.6. Báscula para bebé cuando se requiera.</t>
  </si>
  <si>
    <t>43. Disponibilidad de:</t>
  </si>
  <si>
    <t>23.7. Cinta métrica.</t>
  </si>
  <si>
    <t>43.1 Servicio de hospitalización.</t>
  </si>
  <si>
    <t>23.8. Martillo de reflejos.</t>
  </si>
  <si>
    <t>43.2 Servicio de imágenes diagnósticas, cuando se requiera según lo documentado  por el prestador en el estándar de procesos prioritarios.</t>
  </si>
  <si>
    <t>23.9. Equipo de órganos de los sentidos.</t>
  </si>
  <si>
    <t>43.3 Servicio de gestión pre transfusional.</t>
  </si>
  <si>
    <t>24. Sala de procedimientos, que cuenta con:</t>
  </si>
  <si>
    <t>43.4 Servicio de transporte asistencial</t>
  </si>
  <si>
    <t>24.1. Camilla con barandas, ruedas y freno.</t>
  </si>
  <si>
    <t>43.5 Servicio de laboratorio clínico.</t>
  </si>
  <si>
    <t>24.2. Lámpara o fuente de iluminación móvil o fija</t>
  </si>
  <si>
    <t>43.6 Servicio de patología.</t>
  </si>
  <si>
    <t>43.7 Servicio farmacéutico.</t>
  </si>
  <si>
    <t>24.3. Equipo de pequeña cirugía.</t>
  </si>
  <si>
    <t>24.4. Dotación requerida conforme con lo documentado en el estándar de procesos prioritarios.</t>
  </si>
  <si>
    <t>44. No Aplica.</t>
  </si>
  <si>
    <t>24.5. Oxígeno medicinal que puede ser suministrado mediante salida de oxígeno medicinal o mediante oxígeno medicinal portátil.</t>
  </si>
  <si>
    <t>24.6. Succión. Puede ser suministrado mediante sistema de vacío o mediante aspirador</t>
  </si>
  <si>
    <t>25. Sala de reanimación que cuenta con:</t>
  </si>
  <si>
    <t>25.1. Oxígeno medicinal que puede ser suministrado mediante salida de oxígeno medicinal o mediante oxígeno medicinal portátil.</t>
  </si>
  <si>
    <t>25.2. Succión. Puede ser suministrado mediante sistema de vacío o mediante aspirador.</t>
  </si>
  <si>
    <t>26. Sala de observación, que cuenta con:</t>
  </si>
  <si>
    <t>26.1. Camilla con barandas, ruedas y freno.</t>
  </si>
  <si>
    <t>26.2. Dotación requerida conforme con lo documentado en el estándar de procesos prioritarios.</t>
  </si>
  <si>
    <t>26.3. Oxígeno medicinal que puede ser suministrado mediante salida de oxígeno medicinal o mediante oxígeno medicinal portátil por camilla.</t>
  </si>
  <si>
    <t>26.4. Succión. Puede ser suministrado mediante sistema de vacío o mediante aspirador.</t>
  </si>
  <si>
    <t>27. Ambiente de transición que cuenta con:</t>
  </si>
  <si>
    <t>27.1. Silla reclinable escualizable.</t>
  </si>
  <si>
    <t>28. Sala de reanimacion que cuenta con:</t>
  </si>
  <si>
    <t>28.1. Camilla rodante con freno y con baranda.</t>
  </si>
  <si>
    <t>28.2. Mesa auxiliar rodante.</t>
  </si>
  <si>
    <t>28.3. Aspirador para cada camilla.</t>
  </si>
  <si>
    <r>
      <t>28.4. Monitor de signos vitales con accesorios adultos o pediátricos que</t>
    </r>
    <r>
      <rPr>
        <b/>
        <sz val="11"/>
        <rFont val="Calibri"/>
      </rPr>
      <t xml:space="preserve"> cuenta como mínimo con:</t>
    </r>
  </si>
  <si>
    <t>28.4.1. Trazado electrocardiográfico</t>
  </si>
  <si>
    <t>28.4.2. Presión no invasiva</t>
  </si>
  <si>
    <t>28.4.3. Saturación de oxígeno</t>
  </si>
  <si>
    <t>28.4.4. Temperatura</t>
  </si>
  <si>
    <t>28.5. Marcapasos externo no invasivo con batería. Puede estar incluido en el desfibrilador</t>
  </si>
  <si>
    <t>28.6. Lámpara o fuente de iluminación móvil o fija</t>
  </si>
  <si>
    <t>28.7. Carro de paro</t>
  </si>
  <si>
    <t>29.Cuando la sala de observación o el ambiente de transición del servicio de urgencias se preste en más de un piso o nivel en la misma edificación, cuenta con la dotación definida para estos ambientes en los numerales 25 y 26 del servicio de urgencias de baja complejidad.</t>
  </si>
  <si>
    <t>30. La sala de reanimación adicional a la ubicada en el piso o nivel de acceso directo desde el exterior de la edificación, cuenta con la dotación definida para este ambiente en el numeral 27 del servicio de urgencias de baja complejidad.</t>
  </si>
  <si>
    <t>Complejidad media y alta</t>
  </si>
  <si>
    <t>31. Cumple con los criterios que le sean aplicables de todos los servicios.</t>
  </si>
  <si>
    <t>URG_MD</t>
  </si>
  <si>
    <t>32. Cumple con los criterios definidos en baja complejidad y adicionalmente, cuenta con equipo de punción lumbar.</t>
  </si>
  <si>
    <t>33. Cumple con los criterios que le sean aplicables de todos los servicios.</t>
  </si>
  <si>
    <t>34. Cumple con los criterios que le sean aplicables de todos los servicios y adicionalmente cuenta con:</t>
  </si>
  <si>
    <t>34.1. Kit para recolección de evidencia forense y kit de profilaxis post exposición para VIH, ITS y anticoncepción de emergencia en víctimas de violencia sexual, según lo definido en la resolución 459 de 2012 o la norma que la modifique, adicione o sustituya.</t>
  </si>
  <si>
    <t>34.2. Oxígeno medicinal.</t>
  </si>
  <si>
    <t>URG_PP</t>
  </si>
  <si>
    <t>36. Cumple con los criterios definidos en todos los servicios y adicionalmente cuenta con la siguiente información documentada:</t>
  </si>
  <si>
    <t>36.1. Ronda médica de evolución diaria de pacientes.</t>
  </si>
  <si>
    <t>36.2. Solicitud de interconsultas.</t>
  </si>
  <si>
    <t>36.3. Entrega de turno por parte de enfermería y de medicina.</t>
  </si>
  <si>
    <t>36.4. Control de líquidos.</t>
  </si>
  <si>
    <t>36.5. Plan de cuidados de enfermería.</t>
  </si>
  <si>
    <t>36.6. Administración de medicamentos.</t>
  </si>
  <si>
    <t>36.7. Sujeción de pacientes.</t>
  </si>
  <si>
    <t>36.8. Toma de muestras de laboratorio clínico.</t>
  </si>
  <si>
    <t>36.9. Cateterismo vesical.</t>
  </si>
  <si>
    <t>36.10. Preparación para la toma de imágenes diagnósticas.</t>
  </si>
  <si>
    <t>36.11. Información a familiares o responsables sobre el estado de salud del paciente</t>
  </si>
  <si>
    <t>36.12. Atención médica inicial y definición de conducta, de las principales patologías que el servicio atiende.</t>
  </si>
  <si>
    <t>36.13. Selección y clasificación de pacientes - TRIAGE.</t>
  </si>
  <si>
    <t>36.14. Planeación para la prestación del servicio cuando aumente la demanda, que incluya la definición de estrategias para la descongestión y la mejora en los tiempos de respuesta al usuario.</t>
  </si>
  <si>
    <t>36.15. Criterios clínicos para la ubicación y atención de pacientes en el ambiente de transición.</t>
  </si>
  <si>
    <t>36.16. Criterios clínicos para referir y recibir a un usuario a servicios de consulta externa, hospitalización u otros servicios de cualquier complejidad.</t>
  </si>
  <si>
    <t>36.17. Identificación de pacientes que por su condición clínica pueden ser tratados en su domicilio.</t>
  </si>
  <si>
    <t>36.18. Identificación de pacientes que por su condición clínica pueden ser derivados a servicios de consulta externa que cuenten con la estrategia de consulta prioritaria.</t>
  </si>
  <si>
    <t>36.19. Manejo de urgencias que incluya:</t>
  </si>
  <si>
    <t>36.19.1. Intoxicación aguda y síndrome de abstinencia a sustancias psicoactivas, según oferta.</t>
  </si>
  <si>
    <t>36.19.2. Agitación psicomotora, conducta suicida y agresión a terceros.</t>
  </si>
  <si>
    <t>36.19.3. Agudización de síntomas psiquiátricos e intervención en crisis</t>
  </si>
  <si>
    <t>36.20. Plan Hospitalario para emergencias.</t>
  </si>
  <si>
    <t>36.21. Información al paciente sobre recomendaciones al egreso, criterios de reingreso, controles y posibles complicaciones.</t>
  </si>
  <si>
    <t>36.22. Declaración de muerte encefálica, acorde con la complejidad del servicio.</t>
  </si>
  <si>
    <t>36.23. Atención en salud a víctimas de violencia sexual según normatividad vigente.</t>
  </si>
  <si>
    <t>36.24. Aislamiento de pacientes que por su condición clínica lo requieran.</t>
  </si>
  <si>
    <t>36.25. Documento que orienta la atención en salud de pacientes con problemas y trastornos en salud mental o consumo de sustancias psicoactivas.</t>
  </si>
  <si>
    <t>36.26. Si ofrece la estrategia de sala de rehidratación oral o la estrategia de sala ERA, cuenta con información documentada sobre el manejo de pacientes que requieran rehidratación oral y/o pacientes con enfermedad respiratoria alta y baja, que incluye:</t>
  </si>
  <si>
    <t>36.26.1. Criterios documentados sobre las condiciones de los pacientes que pueden ser manejados en el servicio.</t>
  </si>
  <si>
    <t>36.26.2. Seguimiento del estado clínico.</t>
  </si>
  <si>
    <t>36.26.3. Criterios de tiempos máximos de manejo de pacientes con rehidratación oral y de pacientes con enfermedad respiratoria alta y baja, así como de su remisión al servicio de hospitalización.</t>
  </si>
  <si>
    <t>36.26.4. Información al paciente sobre recomendaciones al egreso, criterios que impliquen reingreso al servicio, controles y posibles complicaciones.</t>
  </si>
  <si>
    <t>37. Cuando la sala de observación o el ambiente de transición del servicio de urgencias se preste en más de un piso o nivel en la misma edificación, cuenta con documento que indique el traslado de pacientes entre los diferentes pisos o niveles.</t>
  </si>
  <si>
    <t>38. Cumple con los criterios que le sean aplicables de todos los servicios.</t>
  </si>
  <si>
    <t>URG_HCR</t>
  </si>
  <si>
    <t>Modalidades intramural y telemedicina: prestador remisor - prestador referencia</t>
  </si>
  <si>
    <t>URG_INT</t>
  </si>
  <si>
    <t>40. Cumple con los criterios definidos en todos los servicios y adicionalmente,</t>
  </si>
  <si>
    <t>41.1. Servicio de imágenes diagnósticas, a excepción de las zonas especiales de dispersión geográfica, donde no se exigirá.</t>
  </si>
  <si>
    <t>41.2. Servicio de laboratorio clínico</t>
  </si>
  <si>
    <t>41.3. Servicio de hospitalización</t>
  </si>
  <si>
    <t>41.4. Servicio farmacéutico</t>
  </si>
  <si>
    <t>41.5. Servicio de transporte asistencial</t>
  </si>
  <si>
    <t>41.6. Servicios de apoyo (alimentación, lavandería, vigilancia)</t>
  </si>
  <si>
    <t>Modalidad telemedicina- prestador remisor - prestador referencia</t>
  </si>
  <si>
    <t>42. No aplica</t>
  </si>
  <si>
    <t>43. Cumple con los criterios definidos en todos los servicios y adicionalmente, cuenta con:</t>
  </si>
  <si>
    <t>43.1. Servicio de imágenes diagnósticas</t>
  </si>
  <si>
    <t>43.2. Servicio de laboratorio clínico</t>
  </si>
  <si>
    <t>43.3. Servicio de hospitalización</t>
  </si>
  <si>
    <t>43.4. Servicio de cirugía</t>
  </si>
  <si>
    <t>43.5. Servicio farmacéutico</t>
  </si>
  <si>
    <t>44. Disponibilidad de:</t>
  </si>
  <si>
    <t>44.1. Servicio de transporte asistencial</t>
  </si>
  <si>
    <t>44.2. Servicios de apoyo (alimentación, lavandería, vigilancia).</t>
  </si>
  <si>
    <t>Modalidad telemedicina- prestador remisor -prestador referencia</t>
  </si>
  <si>
    <t>45. No aplica</t>
  </si>
  <si>
    <t>46. Cumple con los criterios definidos en todos los servicios y adicionalmente, cuenta con:</t>
  </si>
  <si>
    <t>46.1. Servicio de hospitalización</t>
  </si>
  <si>
    <t>46.2. Servicio de cirugía</t>
  </si>
  <si>
    <t>46.3. Servicio de cuidado intensivo adulto o pediátrico o neonatal, según oferta.</t>
  </si>
  <si>
    <t>46.4. Servicio farmacéutico</t>
  </si>
  <si>
    <t>46.5. Servicio de imágenes diagnósticas</t>
  </si>
  <si>
    <t>46.6. Servicio de laboratorio clínico</t>
  </si>
  <si>
    <t>46.7. Servicio de gestión pre transfusional</t>
  </si>
  <si>
    <t>47. Disponibilidad de:</t>
  </si>
  <si>
    <t>47.1. Servicio de transporte asistencial</t>
  </si>
  <si>
    <t>47.2. Servicios de apoyo (alimentación, lavandería, vigilancia).</t>
  </si>
  <si>
    <t>Modalidad telemedicina- prestador remisor- prestador referencia</t>
  </si>
  <si>
    <t>48. No aplica</t>
  </si>
  <si>
    <t>11.6.2 Servicio de transporte asistencial</t>
  </si>
  <si>
    <r>
      <rPr>
        <b/>
        <sz val="11"/>
        <rFont val="Calibri"/>
      </rPr>
      <t xml:space="preserve">Descripciòn del servicio: </t>
    </r>
    <r>
      <rPr>
        <sz val="11"/>
        <color rgb="FF000000"/>
        <rFont val="Calibri"/>
      </rPr>
      <t xml:space="preserve">Es el servicio de salud donde se realiza el traslado y se brinda atenciòn oportuna y permanente al paciente en ambulancias terrestres, mariítimas, fluviales y aéreas
</t>
    </r>
    <r>
      <rPr>
        <b/>
        <sz val="11"/>
        <rFont val="Calibri"/>
      </rPr>
      <t>Estructura del servicio:</t>
    </r>
    <r>
      <rPr>
        <sz val="11"/>
        <color rgb="FF000000"/>
        <rFont val="Calibri"/>
      </rPr>
      <t xml:space="preserve">
Complejidad Baja: Transporte terrestre, maritimo y fluvial
Complejidad Mediana: Transporte terrestre, maritimo, fluvial y aéreo
</t>
    </r>
    <r>
      <rPr>
        <b/>
        <sz val="11"/>
        <rFont val="Calibri"/>
      </rPr>
      <t>Modalidades de prestación:</t>
    </r>
    <r>
      <rPr>
        <sz val="11"/>
        <color rgb="FF000000"/>
        <rFont val="Calibri"/>
      </rPr>
      <t xml:space="preserve">
Extramural
Telemedicina - categoría:
Telexperticia sincrónico - prestador remisor y prestador de referencia
Entre dos profesionales
Entre personal no profesional de salud y profesional de salud</t>
    </r>
  </si>
  <si>
    <t>TR__AS_TH</t>
  </si>
  <si>
    <t>Modalidades extramural y telemedicina - prestador remisor</t>
  </si>
  <si>
    <t>Para ambulancias terrestres:</t>
  </si>
  <si>
    <t>1.1. Tecnólogo en atención prehospitalaria o técnico profesional en atención prehospitalaria o auxiliar en enfermería,  en cualquier caso, cuenta con constancia de asistencia en las acciones de formación continua en soporte vital básico.</t>
  </si>
  <si>
    <t>1.2. Conductor que cuenta con licencia para la conducción del respectivo vehículo, expedida por la autoridad competente  y adicionalmente cuenta con constancia de asistencia en las acciones de formación continua en primeros auxilios o de primer respondiente.</t>
  </si>
  <si>
    <t>Para ambulancias fluviales y marítimas:</t>
  </si>
  <si>
    <t>2. Cumple con los criterios que le sean aplicables de todos los servicios y adicionalmente cuenta con:</t>
  </si>
  <si>
    <t>2.1. Tecnólogo en atención prehospitalaria o técnico profesional en atención prehospitalaria o auxiliar en enfermería, en cualquier caso, cuenta con constancia de asistencia en las acciones de formación continua en soporte vital básico.</t>
  </si>
  <si>
    <t>2.2. Para embarcaciones menores (cuya capacidad de transporte no excede las 25 toneladas) cuenta con:</t>
  </si>
  <si>
    <t>2.2.1. Motorista y tripulante (que puede ser ayudante fluvial), que cuentan con permiso expedido por la autoridad competente  y adicionalmente cuentan con constancia de asistencia en las acciones de formación continua en primeros auxilios o de primer respondiente.</t>
  </si>
  <si>
    <t>2.2.2.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</si>
  <si>
    <t>Para ambulancias terrestres, fluviales y marítimas</t>
  </si>
  <si>
    <t>3.1. Coordinador responsable de la totalidad de las ambulancias con las que cuente el servicio, que puede ser profesional de la medicina o profesional de la enfermería.</t>
  </si>
  <si>
    <t>4. La ambulancia cuenta con la siguiente tripulación:</t>
  </si>
  <si>
    <t>4.1. Profesional de la medicina.</t>
  </si>
  <si>
    <t>4.2. Profesional de la enfermería o tecnólogo en atención prehospitalaria o técnico profesional en atención prehospitalaria o auxiliar de enfermería.</t>
  </si>
  <si>
    <t>4.3. Conductor que cuenta con licencia para la conducción del respectivo vehículo expedida por la autoridad competente y adicionalmente cuenta con constancia de asistencia en las acciones de formación continua en primeros auxilios o de primer respondiente.</t>
  </si>
  <si>
    <t>4.4. El personal profesional de la salud cuenta con constancia de asistencia en las acciones de formación continua en soporte vital avanzado.</t>
  </si>
  <si>
    <t>4.5. El personal técnico o auxiliar cuenta con constancia de asistencia en las acciones de formación continua en soporte vital básico.</t>
  </si>
  <si>
    <t>Para ambulancias fluviales y marítimas</t>
  </si>
  <si>
    <t>5. 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</si>
  <si>
    <t>6. 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</si>
  <si>
    <t>Para ambulancias aéreas</t>
  </si>
  <si>
    <t>7.1. Profesional de la medicina.</t>
  </si>
  <si>
    <t>7.2. Profesional de la enfermería o tecnólogo (a) en atención prehospitalaria o técnico (a) profesional en atención prehospitalaria.</t>
  </si>
  <si>
    <t>7.3. Tripulación de vuelo que cuenta con licencia y certificado médico expedido por la unidad administrativa especial de aeronáutica civil – UAEAC.</t>
  </si>
  <si>
    <t>7.4. El personal profesional de la salud cuenta con constancia de asistencia en las acciones de formación continua en soporte vital avanzado.</t>
  </si>
  <si>
    <t>7.5. El personal técnico o auxiliar cuenta con constancia de asistencia en las acciones de formación continua en soporte vital básico.</t>
  </si>
  <si>
    <t>7.6.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</si>
  <si>
    <t>9. El profesional de la salud puede hacer uso de la categoría telexperticia sincrónica entre profesionales de la salud, de acuerdo con lo definido por el prestador de servicios de salud en el estándar de procesos prioritarios.</t>
  </si>
  <si>
    <t>10. El personal de salud no profesional puede hacer uso de la categoría telexperticia sincrónica con profesionales de la salud de acuerdo con lo definido por el prestador de servicios de salud en el estándar de procesos prioritarios.</t>
  </si>
  <si>
    <t>TR_AS_INF</t>
  </si>
  <si>
    <t>11. Las ambulancias terrestres, fluviales, y marítimas, además de los requisitos exigidos por el sector salud, deben cumplir con los que para este tipo de servicios determinen las autoridades de tránsito terrestre, fluvial y marítimo.</t>
  </si>
  <si>
    <t>12. Cumple con los criterios que le sean aplicables de todos los servicios y adicionalmente cuenta con:</t>
  </si>
  <si>
    <t>12.1. Sede donde se manejen los procesos administrativos que cuenta con:</t>
  </si>
  <si>
    <t>12.1.1.Ambiente para el manejo de medicamentos y dispositivos médicos e insumos.</t>
  </si>
  <si>
    <t>12.1.2. Área o ambiente para el almacenamiento de equipos biomédicos.</t>
  </si>
  <si>
    <t>12.1.3. Área o ambiente para realizar procesos de limpieza y desinfección, que cuenta con mesón de trabajo con poceta</t>
  </si>
  <si>
    <t>12.1.4. Sistema eléctrico que permita la conexión de los equipos biomédicos.</t>
  </si>
  <si>
    <t>12.1.5. Ambiente para el archivo de las historias clínicos y registros.</t>
  </si>
  <si>
    <t>12.2.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</si>
  <si>
    <t>Para ambulancias terrestres</t>
  </si>
  <si>
    <t>Carrocería del vehículo</t>
  </si>
  <si>
    <t>13. La carrocería del vehículo cuenta con:</t>
  </si>
  <si>
    <t>13.1. Dos compartimentos, uno para el conductor y otro para el paciente con comunicación visual y auditiva entre sí.</t>
  </si>
  <si>
    <t>13.2.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</si>
  <si>
    <t>13.3. En el compartimiento del paciente, el vehículo cuenta con ventanas con vidrio de seguridad, visibilidad únicamente de adentro hacia fuera y dispositivo de martillo o de otro tipo, para fracturarlas, en caso de necesidad.</t>
  </si>
  <si>
    <t>13.4. Las dimensiones interiores del compartimiento del paciente para ambulancias 4x4, 4x2 y tipo van son mínimo de 2.20m de longitud, 1.50m de ancho y 1.35 de alto.</t>
  </si>
  <si>
    <t>13.5.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</si>
  <si>
    <t>13.6. En los costados y en la parte posterior de la ambulancia, lleva el nombre o logotipo del prestador de servicios de salud a la cual pertenece, también lleva la sigla TAB o TAM y el nombre del municipio sede del prestador de servicios de salud.</t>
  </si>
  <si>
    <t>13.7.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</si>
  <si>
    <t>13.8.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</si>
  <si>
    <t>Servicio de atención prehospitalaria</t>
  </si>
  <si>
    <t xml:space="preserve">14. El vehículo cuenta con: </t>
  </si>
  <si>
    <t>S_AT_PH_TH</t>
  </si>
  <si>
    <t>14.1. Dispositivo de señalización óptica (barra de luces) en la parte delantera y por encima del vidrio parabrisas que puede ser de tipo rotatorio, intermitente o estroboscópico, visible como mínimo a 180º y de fácil observación con la luz del día.</t>
  </si>
  <si>
    <t>Modalidades extramural y tefemedicina - prestador remisor</t>
  </si>
  <si>
    <t>14.2. Dispositivo de señalización óptica, que puede ser de tipo rotatorio, intermitente o estroboscópico, visible como mínimo a 180º y de fácil observación a la luz del día, que se encuentra ubicado en la parte posterior de la carrocería del vehículo.</t>
  </si>
  <si>
    <t>1.1 Tecnólogo en atención prehospitalaria o técnico profesional en atención prehospitalaria o profesional de la medicina.</t>
  </si>
  <si>
    <t>14.3. Dos luces de delimitación: laterales, blancas fijas, distribuidas simétricamente en cada costado del vehículo.</t>
  </si>
  <si>
    <t>1.2 El talento humano en salud cuenta con constancia de asistencia en las acciones de formación continua en soporte vital avanzado</t>
  </si>
  <si>
    <t>14.4. Dos luces de delimitación: laterales rojas intermitentes, distribuidas simétricamente en cada costado del vehículo.</t>
  </si>
  <si>
    <t>2. Cumple con los criterios que te sean aplicables de todos los servicios.</t>
  </si>
  <si>
    <t>Interior del vehículo</t>
  </si>
  <si>
    <t>3. El profesional de la salud puede hacer uso de la categoría telexperticia sincrónica entre profesionales de la salud, de acuerdo con lo definido por el prestador de servicios de salud en el estándar de procesos prioritarios</t>
  </si>
  <si>
    <t>4. El personal de salud no profesional puede hacer uso de la categoría telexperticia sincrónica con profesionales de la salud de acuerdo con lo definido por el prestador de servicios de salud en e! estándar de procesos prioritarios.</t>
  </si>
  <si>
    <t>15.1. Revestimientos interiores del compartimiento del paciente sin elementos afilados o cortantes, de material lavable, con acabados no rugosos y resistentes al deterioro por agentes desinfectantes.</t>
  </si>
  <si>
    <t>S_AT_PH_INF</t>
  </si>
  <si>
    <t>Complejidad  baja</t>
  </si>
  <si>
    <t>15.2. Piso antideslizante, su unión con las paredes es hermética y se encuentra adherido al vehículo.</t>
  </si>
  <si>
    <t>5. Cumple con los criterios que le sean aplicables de todos los servicios y adicionalmente, cuenta con:</t>
  </si>
  <si>
    <t>15.3. Silla del acompañante y silla del personal auxiliador, de material lavable que cuenta con cinturones de seguridad y protección para la cabeza y la espalda.</t>
  </si>
  <si>
    <t>5.1. Sede donde se manejen los procesos administrativos del servicio, que cuenta con:</t>
  </si>
  <si>
    <t>15.4. Cinturones de seguridad adicionales para sostener una camilla adicional.</t>
  </si>
  <si>
    <t>5.1.1 Ambiente para el almacenamiento de medicamentos y dispositivos médicos e insumos</t>
  </si>
  <si>
    <t>5.1.2.Ambiente o área para e! almacenamiento de equipos biomédicos</t>
  </si>
  <si>
    <t>5.1.3.Sistema eléctrico que permita la conexión de los equipos biomédicos</t>
  </si>
  <si>
    <t>15.5. Leyenda de “este es un espacio libre de humo de tabaco” u otro similar” y “use el cinturón de seguridad”, ubicada en el compartimiento del paciente.</t>
  </si>
  <si>
    <t>5.1.4.Ambiente para el archivo de las historias clínicos y  registros</t>
  </si>
  <si>
    <t>6. Disponibilidad de Ambiente o área para llevar a cabo el proceso de aseo, limpieza y desinfección de los vehículos</t>
  </si>
  <si>
    <t>15.6. Gabinetes del compartimiento del paciente que son livianos, de material resistente, lisos, lavables, sin bordes agudos o filos cortantes y cuentan con puertas de material transparente, resistente, con anclajes seguros para evitar su apertura.</t>
  </si>
  <si>
    <t>15.7. Los gabinetes llevan el nombre correspondiente y colores de identificación para guardar los elementos de acuerdo con su especialidad, así: azul: sistema respiratorio; rojo: sistema circulatorio; amarillo: pediátrico; verde: quirúrgico y accesorios.</t>
  </si>
  <si>
    <t>7. Cuenta con medio de transporte para el traslado de personal asistencial no destinado al transporte de pacientes que cumple con los requisitos de movilización exigidos por las autoridades de tránsito.</t>
  </si>
  <si>
    <t>8. Adicionalmente el medio de transporte no destinado al transporte de pacientes cuenta con:</t>
  </si>
  <si>
    <t>15.8. Entrepaños de los gabinetes que cuentan con borde ligeramente elevado para evitar que los medicamentos y equipos biomédicos se caigan cuando el vehículo está en movimiento.</t>
  </si>
  <si>
    <t>8.1 Sistema de georreferenciación y comunicación que permita el monitoreo y contacto con la secretaría de salud departamental o distrital, o la entidad que tenga a cargo dichas competencias a través del CRUE.</t>
  </si>
  <si>
    <t>8.2. Sistema de alerta visual y sonora.</t>
  </si>
  <si>
    <t>8.3. Identificación institucional.</t>
  </si>
  <si>
    <t>15.9. Los gases del tubo de escape no ingresan al interior de la ambulancia.</t>
  </si>
  <si>
    <t>8.4. Chaleco reflectivo para el talento humano</t>
  </si>
  <si>
    <t>15.10. Cuenta con iluminación interior para toda el área de manejo del paciente.</t>
  </si>
  <si>
    <t>S_AT_PH_DOT</t>
  </si>
  <si>
    <t>15.11. Lámpara desmontable que permita su utilización a distancia del vehículo.</t>
  </si>
  <si>
    <t>10. El medio de transporte para el traslado de personal asistencial, no destinado al transporte de pacientes cuentan con·</t>
  </si>
  <si>
    <t>10.1. Desfibrilador externo automático, incluyendo electrodos adhesivos para adultos y pediátricos, con fecha de vencimiento vigente.</t>
  </si>
  <si>
    <t>15.12. Barra pasamanos en el compartimiento del paciente, fijada al techo y resistente para sostener al personal asistencial cuando el vehículo esté en movimiento.</t>
  </si>
  <si>
    <t>10.2. Resucitador pulmonar  manual.</t>
  </si>
  <si>
    <t>10.3. Succión. Mediante aspirador</t>
  </si>
  <si>
    <t>15.13. Compartimiento aislado para los cilindros de oxígeno medicinal con manómetros visibles y regulables desde el interior del compartimiento del paciente</t>
  </si>
  <si>
    <t>10.4. Monitor de signos vitales con accesorios que cuenta como mínimo con:</t>
  </si>
  <si>
    <t>10.4.1. Trazado electrocardiográfico si no está incorporado en el desfibrilador</t>
  </si>
  <si>
    <t>Sistema sonoro y de comunicaciones</t>
  </si>
  <si>
    <t>10.4.2. Presión no invasiva.</t>
  </si>
  <si>
    <t>10.4.3. Saturación de oxígeno que puede estar integrado en el monitor o externo</t>
  </si>
  <si>
    <t>10.5. Batería</t>
  </si>
  <si>
    <t>16.1. Sirena como sistema principal de alerta.</t>
  </si>
  <si>
    <t>10.6. Laringoscopio con hojas rectas y curvas, cuando el talento humano del servicio se preste con profesional de la medicina.</t>
  </si>
  <si>
    <t>16.2. Sistema de telecomunicaciones de doble vía, asignado exclusivamente a la ambulancia, que le permita establecer contacto con su central, base o red de coordinación.</t>
  </si>
  <si>
    <t>10.7. Maletín básico para manejo de trauma que cuenta con</t>
  </si>
  <si>
    <t>10.7.1. Gasas</t>
  </si>
  <si>
    <t>16.3. Sistema de georreferenciación y comunicación que permita el monitoreo y contacto con la entidad territorial en salud a través del CRUE.</t>
  </si>
  <si>
    <t>10.7.2. Compresas</t>
  </si>
  <si>
    <t>Otras condiciones generales de seguridad del vehículo</t>
  </si>
  <si>
    <t>10.7.3. Vendas de gasa</t>
  </si>
  <si>
    <t>17. Cuenta con:</t>
  </si>
  <si>
    <t>10.7.4. Vendas de tela</t>
  </si>
  <si>
    <t>17.1. Extintor para fuegos ABC, con capacidad mínima de carga de 2.26 kg. Para cada uno de los compartimentos de la ambulancia (conductor y paciente).</t>
  </si>
  <si>
    <t>10.7.5. Vendas elásticas de varios tamaños</t>
  </si>
  <si>
    <t>10.7.6. Dos torniquetes para el control de hemorragias</t>
  </si>
  <si>
    <t>17.2. Chalecos reflectivos para la tripulación.</t>
  </si>
  <si>
    <t>10.7.7. Inmovilizador cervical adulto y pediátrico (multi-talla)</t>
  </si>
  <si>
    <t>Para ambulancias marítimas y fluviales</t>
  </si>
  <si>
    <t>10.7.8. Dos mantas térmicas o aluminizadas</t>
  </si>
  <si>
    <t>Condiciones generales de la embarcación</t>
  </si>
  <si>
    <t>10.7.9. Férulas rígidas o maleables para la sujeción de extremidades.</t>
  </si>
  <si>
    <t>18. Cuenta con:</t>
  </si>
  <si>
    <t>10.8. Maletín para examen físico, que cuenta con los siguientes equipos biomédicos:</t>
  </si>
  <si>
    <t>18.1. El diseño y la construcción de la embarcación cumple con la normatividad vigente a la fecha de la construcción, expedidas por las autoridades competentes.</t>
  </si>
  <si>
    <t>10.8.1. Fonendoscopios (adulto y pediátrico)</t>
  </si>
  <si>
    <t>18.2.Compartimiento para el paciente que tiene como mínimo las siguientes dimensiones: largo útil 2.20 metros, ancho útil 2.20 metros, altura interna útil 2.0 metros. (sobre estas medidas se autorizan variaciones máximas del 15 %).</t>
  </si>
  <si>
    <t>10.8.2. Tensiómetros (adulto y pediátrico)</t>
  </si>
  <si>
    <t>18.3. Soportes y elementos metálicos de los equipos biomédicos no representan riesgo de accidente.</t>
  </si>
  <si>
    <t>10.8.3. Termómetro clínico</t>
  </si>
  <si>
    <t>18.4. Banco para soportar una camilla principal, construida en material resistente y fijado en la cubierta del vehículo.</t>
  </si>
  <si>
    <t>10.8.4. Equipo de órganos de los sentidos con baterías de repuesto</t>
  </si>
  <si>
    <t>18.5. El piso no debe poseer elementos afilados o cortantes y está fabricado en material lavable, que evite la acumulación del mugre y contaminantes, resistente a los agentes desinfectantes habituales, antideslizante, con las uniones del piso con las paredes herméticamente selladas.</t>
  </si>
  <si>
    <t>10.8.5. Glucómetro</t>
  </si>
  <si>
    <t>18.6. La embarcación está fabricada en materiales resistentes al medio acuático.</t>
  </si>
  <si>
    <t>18.7. La cubierta inferior del compartimiento del paciente está fabricada en material antideslizante, sin elementos afilados o cortantes, de material lavable, con acabados redondeados, superficies pulidas y resistentes a agentes desinfectantes.</t>
  </si>
  <si>
    <t>10.8.6. Lámpara portátil (linterna)</t>
  </si>
  <si>
    <t>18.8. La disposición de los soportes y elementos metálicos para equipos de asistencia, deben quedar de tal forma que no produzcan daño a los ocupantes del vehículo.</t>
  </si>
  <si>
    <t>10.8.7. Tijeras corta todo</t>
  </si>
  <si>
    <t>18.9. Techo-cubierta de material rígido o plegable, liviano, para proteger y cubrir los compartimientos del paciente, piloto y acompañantes.</t>
  </si>
  <si>
    <t>10.8.8. Guantes desechables y estériles</t>
  </si>
  <si>
    <t>18.10. El techo-cubierta debe servir en su parte exterior de soporte a los dispositivos de alerta, luces y exploradoras y en su parte interior para la fijación de los rieles para ubicación de líquidos parenterales y equipos biomédicos.</t>
  </si>
  <si>
    <t>10.8.9. Mascarillas o tapabocas desechables</t>
  </si>
  <si>
    <t>10.8.10. Gafas de bioprotección</t>
  </si>
  <si>
    <t>10.8.11. Baja lenguas</t>
  </si>
  <si>
    <t>10.8.12. Oxímetro</t>
  </si>
  <si>
    <t>19.1. Extintor para fuegos ABC, con capacidad mínima de carga de 2.26 kilogramos para la ambulancia.</t>
  </si>
  <si>
    <t>19.2. Chalecos salvavidas para cada uno de los ocupantes.</t>
  </si>
  <si>
    <t>S_AT_PH_MD</t>
  </si>
  <si>
    <t>Área del paciente</t>
  </si>
  <si>
    <t>20. Cuenta con:</t>
  </si>
  <si>
    <t>12.1. Maletín con medicamentos, equipos biomédicos y dispositivos médicos, definidos con base en la información documentada en el estándar de procesos prioritarios.</t>
  </si>
  <si>
    <t>20.1. Asientos tanto para los acompañantes como para el motorista auxiliar con su respectivo espaldar.</t>
  </si>
  <si>
    <t>20.2. Leyenda de “este es un espacio libre de humo de tabaco” u otro similar” y “use chaleco salvavidas”.</t>
  </si>
  <si>
    <t>S_AT_PH_PP</t>
  </si>
  <si>
    <t>20.3. Compartimientos livianos, de material resistente, lisos, lavables, sin bordes agudos o filos cortantes, con puertas resistentes, abatibles o deslizantes, con anclajes seguros para evitar su apertura.</t>
  </si>
  <si>
    <t>20.4. Los gabinetes llevan el nombre correspondiente y colores de identificación para guardar los elementos, de acuerdo con su especialidad, así: azul: sistema respiratorio; rojo: sistema circulatorio; amarillo: pediátrico; verde: quirúrgico y accesorios.</t>
  </si>
  <si>
    <t>14. Cumple con los criterios que le sean aplicables de todos los servicios y adicionalmente cuenta con la siguiente información documentada:</t>
  </si>
  <si>
    <t>20.5. El paciente está ubicado de tal manera que los gases de los motores no le afecten</t>
  </si>
  <si>
    <t>14.1. Manejo de urgencias prehospitalarias.</t>
  </si>
  <si>
    <t>Luces y otros elementos del vehículo</t>
  </si>
  <si>
    <t>14.2. Atención en salud de pacientes con problemas y trastornos en salud mental o consumo de sustancias psicoactivas.</t>
  </si>
  <si>
    <t>14.3. Medicamentos, equipos biomédicos y dispositivos médicos en los procedimientos que se realicen.</t>
  </si>
  <si>
    <t>Modalidad de telemedicina prestador de referencia</t>
  </si>
  <si>
    <t>21.1. Iluminación interior para toda el área de manejo del paciente.</t>
  </si>
  <si>
    <t>21.2. Brújula y luces de navegación.</t>
  </si>
  <si>
    <t>S_AT_PH_HCR</t>
  </si>
  <si>
    <t>21.3. Dispositivo de señalización óptica (barra de luces) que puede ser de tipo rotatorio, intermitente o estroboscópico, de fácil observación con la luz del día, ubicado sobre el techo-cubierta.</t>
  </si>
  <si>
    <t>Modalidades extramural y telemedicina -  prestador remisor</t>
  </si>
  <si>
    <t>21.4. Compartimiento aislado para los cilindros de oxígeno medicinal con manómetros visibles y regulables desde el interior del compartimiento del paciente.</t>
  </si>
  <si>
    <t>Sistema de comunicaciones</t>
  </si>
  <si>
    <t>16. de todos los servicios y adicionalmente cuenta con:</t>
  </si>
  <si>
    <t>16.1. Tarjetas de clasificación de multitud de lesionados.</t>
  </si>
  <si>
    <t>22. Cumple con los criterios definidos en materia de comunicaciones para ambulancia terrestre y adicionalmente cuenta con:</t>
  </si>
  <si>
    <t>16.2. Registro con el nombre de los pacientes atendidos que cuenta con la siguiente información:</t>
  </si>
  <si>
    <t>22.1. Sistema de perifoneo externo como mecanismo de alerta o de información.</t>
  </si>
  <si>
    <t>16.2.1. Fecha.</t>
  </si>
  <si>
    <t>22.2. Sistema de georreferenciación y comunicación que permita el monitoreo y contacto con la secretaría de salud departamental o distrital, o la entidad que tenga a cargo dichas competencias. a través del CRUE.</t>
  </si>
  <si>
    <t>16.2.2. Hora.</t>
  </si>
  <si>
    <t>16.2.3. Origen.</t>
  </si>
  <si>
    <t>16.2.4. Tipo de servicio.</t>
  </si>
  <si>
    <t>16.2.5. Nombre del personal que atiende el servicio.</t>
  </si>
  <si>
    <t>23. Las ambulancias terrestres, fluviales, marítimas y aéreas, además de los requisitos exigidos por el sector salud, deben cumplir con los que para este tipo de servicios determinen las autoridades de tránsito terrestre, fluvial, marítimo y aéreo.</t>
  </si>
  <si>
    <t>16.2.6. Evolución y manejo del paciente.</t>
  </si>
  <si>
    <t>16.2.7. Nombre institución receptora.</t>
  </si>
  <si>
    <t>24. Adicional a lo definido para la complejidad baja, la carrocería del vehículo cuenta con:</t>
  </si>
  <si>
    <t>24.1. Sistema eléctrico que cuenta con las siguientes especificaciones:</t>
  </si>
  <si>
    <t>24.1.1. Sistema generador de energía eléctrica a partir del motor, tipo alternador, con potencia suficiente o varios de ellos, para lograr que todos los equipos biomédicos funcionen de manera simultánea.</t>
  </si>
  <si>
    <t>24.1.2. Mínimo dos baterías con una capacidad mínima total de 150 amperios.</t>
  </si>
  <si>
    <t>24.1.3. mínimo dos tomacorrientes tipo “encendedor de cigarrillo” identificados en el compartimiento del paciente.</t>
  </si>
  <si>
    <t>S_AT_PH_INT</t>
  </si>
  <si>
    <t>Modalidades extramural y telemedicina - prestador remisor- prestador de referencia</t>
  </si>
  <si>
    <t>24.1.4. Convertidor de 12 voltios corriente continua a 120 voltios +/-15% de corriente alterna, con mínimo dos tomacorrientes identificados en el compartimiento del paciente.</t>
  </si>
  <si>
    <t>18. No aplica.</t>
  </si>
  <si>
    <t>24.1.5. Un tomacorriente en el exterior de la carrocería debidamente protegido.</t>
  </si>
  <si>
    <t>24.1.6. Cable conductor con polo a tierra y recubierto con caucho de mínimo 30 metros de longitud, con los extremos adaptados para alimentación eléctrica.</t>
  </si>
  <si>
    <t>24.1.7. En los costados y en la parte posterior de la ambulancia, debe llevar el nombre o logotipo de la entidad a la cual pertenece, la sigla TAM y el nombre del municipio sede del prestador de servicios de salud.</t>
  </si>
  <si>
    <t>Para ambulancias aéreas:</t>
  </si>
  <si>
    <t>25. 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</si>
  <si>
    <t>26. La aeronave cuenta con los siguientes documentos vigentes emitidos por la UAEAC:</t>
  </si>
  <si>
    <t>26.1. Certificado de aeronavegabilidad</t>
  </si>
  <si>
    <t>26.2. Certificado de matrícula</t>
  </si>
  <si>
    <t>26.3. Forma RAC 337 con la cual se autoriza la alteración de la aeronave como ambulancia aérea</t>
  </si>
  <si>
    <t>Condiciones generales para cualquier tipo de aeronave</t>
  </si>
  <si>
    <t>27. La aeronave cuenta con:</t>
  </si>
  <si>
    <t>27.1. Puerta de acceso que permita maniobrar el ingreso y salida de la camilla, sin necesidad de flexionar al paciente.</t>
  </si>
  <si>
    <t>27.2. Cabina del paciente que permite maniobras de reanimación.</t>
  </si>
  <si>
    <t>27.3. Sillas para los tripulantes y los acompañantes que cuentan con cinturones de seguridad.</t>
  </si>
  <si>
    <t>27.4. Iluminación interior para toda el área de manejo del paciente aún con los motores apagados.</t>
  </si>
  <si>
    <t>27.5. Leyenda de “este es un espacio libre de humo de tabaco” u otro similar” y “use el cinturón de seguridad” en el compartimiento del paciente</t>
  </si>
  <si>
    <t>27.6. Señalización de la salida o salidas de emergencia.</t>
  </si>
  <si>
    <t>27.7. Sistema de oxígeno medicinal, diferente al del paciente.</t>
  </si>
  <si>
    <t>27.8. El sistema de oxígeno medicinal está asegurado con arnés a la estructura de la aeronave o está en el interior de la camilla; con sistema de conexión rápida y con manómetro visible y regulable.</t>
  </si>
  <si>
    <t>27.9. Las paredes y materiales del interior de la aeronave son lavables.</t>
  </si>
  <si>
    <t>Sistema eléctrico</t>
  </si>
  <si>
    <t>28. La aeronave cuenta con:</t>
  </si>
  <si>
    <t>28.1. Fuente propia de energía</t>
  </si>
  <si>
    <t>28.2. Inversor o sistemas de alimentación de los equipos para su funcionamiento regular durante el traslado del paciente y para facilitar el uso permanente de los equipos a bordo manteniendo siempre la disponibilidad de sus baterías.</t>
  </si>
  <si>
    <t>28.3. Lámpara que permita su utilización a distancia de la aeronave.</t>
  </si>
  <si>
    <t>29. Para ambulancias aéreas:</t>
  </si>
  <si>
    <t>29.1. Sistema de telecomunicaciones de doble vía que le permita establecer contacto con su central, base o torre de control.</t>
  </si>
  <si>
    <t>29.2. La base principal y las bases auxiliares cuenta con sistema de comunicación que permita el contacto con la entidad territorial de salud a través del CRUE.</t>
  </si>
  <si>
    <t>TR_AS_DOT</t>
  </si>
  <si>
    <t>Para las ambulancias terrestres, fluviales y marítimas</t>
  </si>
  <si>
    <t>31. Cumplen con los criterios definidos para todos los servicios y adicionalmente, cuentan con:</t>
  </si>
  <si>
    <t>31.1. Desfibrilador externo automático, incluyendo electrodos adhesivos para adultos y pediátricos, con fecha de vencimiento vigente.</t>
  </si>
  <si>
    <t>31.2. Fonendoscopio adulto y pediátrico</t>
  </si>
  <si>
    <t>31.3. Tensiómetro adulto y pediátrico</t>
  </si>
  <si>
    <t>31.4. Equipo eléctrico de aspiración de urgencia con todos sus accesorios (manguera de succión y sondas de aspiración de varios tamaños).</t>
  </si>
  <si>
    <t>31.5. Aspirador nasal manual.</t>
  </si>
  <si>
    <t>31.6. Glucómetro</t>
  </si>
  <si>
    <t>31.7. Torniquetes para el control de hemorragias.</t>
  </si>
  <si>
    <t>31.8. Camilla principal con sistema de anclaje y cinturones de seguridad o correas para asegurar el paciente.</t>
  </si>
  <si>
    <t>31.9. Camilla secundaria para inmovilización espinal y correas para asegurar el paciente.</t>
  </si>
  <si>
    <t>31.10. Tabla espinal corta o chaleco de extracción vehicular.</t>
  </si>
  <si>
    <t>31.11. Atril portasuero de dos ganchos.</t>
  </si>
  <si>
    <t>S_Aparto_TH</t>
  </si>
  <si>
    <t>31.12. Silla de ruedas portátil, liviana y plegable, con una capacidad de carga de mínimo 120 kg. Deberá tener mínimo dos cinturones de sujeción para el paciente y para su transporte al interior de la ambulancia.</t>
  </si>
  <si>
    <t>Modalidades intramural y telemedicina - prestador  remisor</t>
  </si>
  <si>
    <t>31.13. Pinzas de Magill.</t>
  </si>
  <si>
    <t>31.14. Tijeras de material o cortatodo.</t>
  </si>
  <si>
    <t>31.15. Riñonera.</t>
  </si>
  <si>
    <t>2.1. Profesional de la medicina general.</t>
  </si>
  <si>
    <t>31.16.Pato para mujeres.</t>
  </si>
  <si>
    <t>2.2. Profesional de la enfermería.</t>
  </si>
  <si>
    <t>Complejidades mediana  y alta</t>
  </si>
  <si>
    <t>31.17. Pato para hombres.</t>
  </si>
  <si>
    <t>3. Cumple con los criterios que le sean aplicables de todos los servicios y adicionalmente, cuenta con:</t>
  </si>
  <si>
    <t>31.18. Lámpara de mano (linterna) con baterías de repuesto.</t>
  </si>
  <si>
    <t>3.1. Profesional de la medicina especialista en ginecobstetricia</t>
  </si>
  <si>
    <t>3.2. Profesional de la enfermería.</t>
  </si>
  <si>
    <t>3.3. Auxiliar de enfermería.</t>
  </si>
  <si>
    <t>31.19. Manta térmica aluminizada.</t>
  </si>
  <si>
    <t>4.1. Profesional de la medicina especialista en pediatría.</t>
  </si>
  <si>
    <t>31.20. Oxígeno medicinal con capacidad total de almacenamiento de mínimo tres (3) metros cúbicos permanentes disponibles.</t>
  </si>
  <si>
    <t>4.2. Profesional de la medicina especialista en anestesiología.</t>
  </si>
  <si>
    <t>4.3. Profesional de psicología.</t>
  </si>
  <si>
    <t>31.21. Oxígeno medicinal portátil de mínimo 0.5 metros cúbicos para permitir el desplazamiento de las camillas manteniendo el suministro de oxígeno medicinal al paciente.</t>
  </si>
  <si>
    <t>5.1. Profesional de nutrición y dietética.</t>
  </si>
  <si>
    <t>5.2. Profesional de fisioterapia o terapia respiratoria.</t>
  </si>
  <si>
    <t>31.22. Conjunto para inmovilización que cuenta con inmovilizadores cervicales graduables, adulto (2) y pediátrico (2), inmovilizadores laterales de cabeza, inmovilizadores para extremidades superiores e inferiores.</t>
  </si>
  <si>
    <t>5.3. Profesional de trabajo social.</t>
  </si>
  <si>
    <t>Compleiidades baja, mediana y alta</t>
  </si>
  <si>
    <t>Modalidad telemedicina - prestador referencia</t>
  </si>
  <si>
    <t>31.23. Resucitador pulmonar manual.</t>
  </si>
  <si>
    <t>7. El profesional de salud puede hacer uso de la categoría telexperticia sincrónica o asincrónica entre profesionales de la salud de acuerdo con lo definido por el prestador de servicios de salud en el estándar de procesos prioritarios.</t>
  </si>
  <si>
    <t>31.24. Los equipos biomédicos deben contar con sistema de fijación específico al vehículo sin detrimento de su operación.</t>
  </si>
  <si>
    <t>8. El personal de salud no profesional puede hacer uso de la categoría telexperticia sincrónica o asincrónica con profesionales de la salud de acuerdo con lo definido por el prestador de servicios de salud en el estándar de procesos prioritarios.</t>
  </si>
  <si>
    <t>S_Aparto_INF</t>
  </si>
  <si>
    <t>31.25. Monitor de signos vitales con accesorios adultos y pediátricos que cuenta como mínimo con:</t>
  </si>
  <si>
    <t>31.25.1. Trazado electrocardiográfico si no está incorporado en el desfibrilador</t>
  </si>
  <si>
    <t>9.1. Sala de visitas</t>
  </si>
  <si>
    <t>9.2. Área para la recepción y entrega de pacientes.</t>
  </si>
  <si>
    <t>31.25.1. Presión no invasica</t>
  </si>
  <si>
    <t>9.3. Vestidor para pacientes que funciona como filtro.</t>
  </si>
  <si>
    <t>9.4. Vestidor para el talento humano que funciona como filtro y área para casilleros.</t>
  </si>
  <si>
    <t>31.25.3. Saturación de oxígeno que puede estar integrado en el monitor o externo</t>
  </si>
  <si>
    <t>9.5. Estación de enfermería.</t>
  </si>
  <si>
    <t>10. Disponibilidad en el servicio de unidad sanitaria.</t>
  </si>
  <si>
    <t>11. Ambiente de trabajo de parto que cuenta con:</t>
  </si>
  <si>
    <t>11.1. Área para dos camillas por cada mesa de parto.</t>
  </si>
  <si>
    <t>11.2. Sistema de vacío.</t>
  </si>
  <si>
    <t>Barrera física móvil o fija entre camillas, que permite fácil limpieza y desinfección y la privacidad del paciente, cuando exista más de una camilla.</t>
  </si>
  <si>
    <t>12. Sala de partos (16 m2) que cuenta con:</t>
  </si>
  <si>
    <t>Para las ambulancias terrestres, fluviales y marítimas:</t>
  </si>
  <si>
    <t>12.1. Área de atención al recién nacido o ambiente de adaptación.</t>
  </si>
  <si>
    <t>12.2. Sistema de vacío.</t>
  </si>
  <si>
    <t>32. Cumple con los criterios definidos para la baja complejidad y adicionalmente cuenta con:</t>
  </si>
  <si>
    <t>12.3. Lavamanos quirúrgico en cantidad igual al número de sala de partos, ubicado antes del ingreso a cada sala de partos.</t>
  </si>
  <si>
    <t>12.4. La puerta de la sala permite la visualización entre el interior y el exterior o cuenta con visor y su ancho permite el paso de las camillas.</t>
  </si>
  <si>
    <t>13. Cuando la sala de partos funcione en la zona de quirófanos del servicio de cirugía, sólo se puede compartir con éste, el vestidor de personal.</t>
  </si>
  <si>
    <t>32.1. Desfibrilador bifásico con capacidad de realizar cardioversión sincrónica y marcapasos transcutáneo, baterías mínimas para 4 horas con paletas (adulto y pediátrico). No requiere el desfibrilador definido en baja complejidad.</t>
  </si>
  <si>
    <t>14. Los procedimientos quirúrgicos de obstetricia se deben realizar en el servicio de cirugía.</t>
  </si>
  <si>
    <t>15. Ambiente de recuperación que cuenta con:</t>
  </si>
  <si>
    <t>32.2. Ventilador para traslado, de acuerdo con la edad del paciente (adulto y pediátrico) que cuenta con las siguientes especificaciones:</t>
  </si>
  <si>
    <t>15.1. Puesto de enfermería.</t>
  </si>
  <si>
    <t>15.2. Área para dos camillas por cada mesa de parto</t>
  </si>
  <si>
    <t>32.2.1. Dos modos de volumen y modos de presión</t>
  </si>
  <si>
    <t>16. Cuando se oferte la estrategia TPR (trabajo de parto, parto y recuperación en el mismo ambiente), Cumple con los criterios que le sean aplicables de todos los servicios y cuenta con:</t>
  </si>
  <si>
    <t>16.1. Habitación individual de TPR con dimensión mínima de 16 m2, que cuenta con:</t>
  </si>
  <si>
    <t>16.1.1. Baño, guardarropa y sistema de llamado.</t>
  </si>
  <si>
    <t>32.2.2. Batería mínimo para 4 horas.</t>
  </si>
  <si>
    <t>16.1.2. Mesón de trabajo</t>
  </si>
  <si>
    <t>16.1.3. Poceta, cuando la requiera, según los procedimientos que documente.</t>
  </si>
  <si>
    <t>32.2.3. Fracción inspirada de oxígeno -fio2.</t>
  </si>
  <si>
    <t>16.1.4. Área de atención al recién nacido.</t>
  </si>
  <si>
    <t>16.1.5. Lavamanos con dispositivo de manos libres adicional dentro de la habitación.</t>
  </si>
  <si>
    <t>32.2.4. Indicación de volumen corriente y minuto</t>
  </si>
  <si>
    <t>16.2. Disponibilidad en el servicio de:</t>
  </si>
  <si>
    <t>32.2.5. Indicación de presión máxima y plateu</t>
  </si>
  <si>
    <t>16.2.1. Sala de visitas.</t>
  </si>
  <si>
    <t>16.2.2. Unidades sanitarias discriminadas por sexo.</t>
  </si>
  <si>
    <t>16.2.3. Estación de enfermería.</t>
  </si>
  <si>
    <t>Complejidades  mediana y alta</t>
  </si>
  <si>
    <t>32.2.6. Presión positiva al final de la espiración - PEEP, frecuencia respiratoria máxima de la máquina y del paciente (respiración espontánea)</t>
  </si>
  <si>
    <t>17. Cumple con los criterios definidos para el servicio de atención del parto de baja complejidad y adicionalmente cuenta con consultorio con unidad sanitaria</t>
  </si>
  <si>
    <t>32.2.7. Alarmas auditivas y visuales de presión, volumen, apnea, presión de aire, oxígeno medicinal y batería baja.</t>
  </si>
  <si>
    <t>Modalidad de telemedicína - prestador de referencia</t>
  </si>
  <si>
    <t>18.	Cumple con los criterios que le sean aplicables de todos los servicios.</t>
  </si>
  <si>
    <t>32.2.8. Sistema de conexión rápida al oxígeno medicinal y al aire medicinal, la conexión al aire medicinal podrá ser reemplazado por turbina integrada al equipo.</t>
  </si>
  <si>
    <t>S_Aparto_DOT</t>
  </si>
  <si>
    <t>Modalidades lntramural, telemedicina - prestador remisor</t>
  </si>
  <si>
    <t>32.2.9. Modos de control, asistido/control y presión positiva continua en la vía aérea - CPAP.</t>
  </si>
  <si>
    <t>19. Cumple con los criterios que le sean aplicables de todos los servicios y adicionalmente:</t>
  </si>
  <si>
    <t>19.1. El ambiente de trabajo de parto cuenta con:</t>
  </si>
  <si>
    <t>19.1.1. Cama hospitalaria para atención de partos.</t>
  </si>
  <si>
    <t>32.3. Equipo de órganos de los sentidos, con baterías de repuesto.</t>
  </si>
  <si>
    <t>19.1.2. Monitor fetal.</t>
  </si>
  <si>
    <t>19.1.3. Oxígeno medicinal que puede ser suministrado mediante salida de oxígeno medicinal o mediante oxígeno medicinal portátil por camilla</t>
  </si>
  <si>
    <t>32.4. Dos bombas de infusión o una con dos canales, con batería mínimo para 4 horas.</t>
  </si>
  <si>
    <t>19.2. La sala de partos cuenta con:</t>
  </si>
  <si>
    <t>19.2.1. Lámpara pielítica o cielítica.</t>
  </si>
  <si>
    <t>19.2.2. Mesa para atención de partos.</t>
  </si>
  <si>
    <t>32.5. Medidor de pico flujo.</t>
  </si>
  <si>
    <t>19.2.3. Equipo para atención de partos.</t>
  </si>
  <si>
    <t>19.2.4. Equipo de episiotomía y episiorrafia.</t>
  </si>
  <si>
    <t>32.6. Laringoscopio con hojas rectas y curvas neonatales, pediátricas y adulto.</t>
  </si>
  <si>
    <t>19.2.5. Aspirador o sistema de succión.</t>
  </si>
  <si>
    <t>19.2.6. Oxígeno medicinal que puede ser suministrado mediante salida de oxígeno medicinal o mediante oxígeno medicinal portátil por camilla</t>
  </si>
  <si>
    <t>19.3. El área de adaptación del recién nacido cuenta con:</t>
  </si>
  <si>
    <t>33. Para traslado neonatal, cumple con lo anterior y adicionalmente cuenta con:</t>
  </si>
  <si>
    <t>19.3.1. Incubadora abierta o lámpara de calor radiante.</t>
  </si>
  <si>
    <t>19.3.2. Báscula para bebé.</t>
  </si>
  <si>
    <t>33.1. Incubadora pediátrica portátil.</t>
  </si>
  <si>
    <t>19.3.3. Infantometro.</t>
  </si>
  <si>
    <t>19.3.4. Cinta métrica.</t>
  </si>
  <si>
    <t>19.3.5. Oxímetro con sensor neonatal.</t>
  </si>
  <si>
    <t>33.2. Adicional a lo exigido para el ventilador mecánico de transporte adulto / pediátrico, el ventilador neonatal cuenta con control de flujo y tiempo inspiratorio.</t>
  </si>
  <si>
    <t>19.3.6. Fonendoscopio pediátrico.</t>
  </si>
  <si>
    <t>19.3.7. Laringoscopio con hoja neonatal.</t>
  </si>
  <si>
    <t>19.4. La sala de recuperación cuenta con:</t>
  </si>
  <si>
    <t>19.4.1. Camilla con barandas, ruedas y freno.</t>
  </si>
  <si>
    <t>34. Adicional a lo establecido para transporte terrestre, marítimo y fluvial en mediana complejidad, cuenta con:</t>
  </si>
  <si>
    <t>19.4.2. Disponibilidad de cunas.</t>
  </si>
  <si>
    <t>19.4.3. Oxígeno medicinal que puede ser suministrado mediante salida de oxígeno medicinal o mediante oxígeno medicinal portátil por camilla</t>
  </si>
  <si>
    <t>19.4.4. Succión. Puede ser suministrado mediante sistema de vacío o mediante aspirador.</t>
  </si>
  <si>
    <t>34.1. La capacidad de almacenamiento del sistema de oxígeno medicinal permite su suministro al paciente durante el trayecto desde el origen al destino, contemplando además contingencias por espera y cierre de aeropuertos.</t>
  </si>
  <si>
    <t>19.5. Para todo el servicio disponibilidad de:</t>
  </si>
  <si>
    <t>34.2. Camilla del paciente que cuenta con cinturones de seguridad y está debidamente asegurada a la estructura de la aeronave.</t>
  </si>
  <si>
    <t>19.5.1. Carro de paro</t>
  </si>
  <si>
    <t>19.5.2. Bomba de infusión.</t>
  </si>
  <si>
    <t>34.3.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</si>
  <si>
    <t>19.5.3. Glucómetro.</t>
  </si>
  <si>
    <t>19.5.4. Incubadora de transporte.</t>
  </si>
  <si>
    <t>34.4. Los equipos biomédicos cuentan con:</t>
  </si>
  <si>
    <t>19.5.5. Silla de ruedas.</t>
  </si>
  <si>
    <t>34.4.1. Certificados EMI: interferencia electromagnética.</t>
  </si>
  <si>
    <t>19.5.6. Oxígeno medicinal que puede ser suministrado mediante salida de oxígeno medicinal o mediante oxígeno medicinal portátil por camilla.</t>
  </si>
  <si>
    <t>20. Cuando se oferte la estrategia TPR (trabajo de parto, parto y recuperación en el mismo ambiente), cuenta con:</t>
  </si>
  <si>
    <t>20.1. Cama hospitalaria para atención de partos.</t>
  </si>
  <si>
    <t>34.4.2. Certificado de prueba de interferencia de radio frecuencia (RFI).</t>
  </si>
  <si>
    <t>20.2. Lámpara pielítica o cielítica.</t>
  </si>
  <si>
    <t>20.3. Equipo para atención de partos.</t>
  </si>
  <si>
    <t>20.4. Equipo de episiotomía y episiorrafia</t>
  </si>
  <si>
    <t>20.5. Incubadora abierta o lámpara de calor radiante.</t>
  </si>
  <si>
    <t>20.6. Succión. Puede ser suministrado mediante sistema de vacío o mediante aspirador</t>
  </si>
  <si>
    <t>20.7. Oxígeno medicinal que puede ser suministrado mediante salida de oxígeno medicinal o mediante oxígeno medicinal portátil por camilla</t>
  </si>
  <si>
    <t>20.8. Disponibilidad en el servicio de:</t>
  </si>
  <si>
    <t>20.8.1. Bomba de infusión.</t>
  </si>
  <si>
    <t>20.8.2. Báscula para bebé.</t>
  </si>
  <si>
    <t>20.8.3. Infantómetro.</t>
  </si>
  <si>
    <t>TR_AS_MED</t>
  </si>
  <si>
    <t>20.8.4. Cinta métrica.</t>
  </si>
  <si>
    <t>20.8.5. Oxímetro con sensor neonatal.</t>
  </si>
  <si>
    <t>20.8.6. Fonendoscopio.</t>
  </si>
  <si>
    <t>20.8.7. Camilla con barandas, ruedas y freno.</t>
  </si>
  <si>
    <t>20.8.8. Carro de paro</t>
  </si>
  <si>
    <t>Modalidades lntramural, tefemedicina - prestador remisor</t>
  </si>
  <si>
    <t>21. Cumple con los criterios definidos en el servicio de atención del parto de baja complejidad y adicionalmente cuenta con:</t>
  </si>
  <si>
    <t>21.1. El ambiente de trabajo de parto:</t>
  </si>
  <si>
    <t>36. Cumple con los criterios que le sean aplicables de todos los servicios y adicionalmente el prestador define los medicamentos, dispositivos médicos e insumos requeridos de acuerdo con lo documentado en el estándar de procesos prioritarios.</t>
  </si>
  <si>
    <t>21.1.1. Equipo para amniocentesis</t>
  </si>
  <si>
    <t>21.1.2. Doppler fetal.</t>
  </si>
  <si>
    <t>21.2. En la sala de partos:</t>
  </si>
  <si>
    <t>37. Cuenta con:</t>
  </si>
  <si>
    <t>21.2.1. Incubadora pediátrica portátil, convencional o abierta.</t>
  </si>
  <si>
    <t>21.2.2. Ecógrafo.</t>
  </si>
  <si>
    <t>37.1. Oxígeno medicinal</t>
  </si>
  <si>
    <t>21.3. Disponibilidad en el servicio de:</t>
  </si>
  <si>
    <t>21.3.1. Máquina de anestesia.</t>
  </si>
  <si>
    <t>21.3.2. Monitor de signos vitales.</t>
  </si>
  <si>
    <t>37.2. Aditamento supraglótico de varias tallas adulto y pediátrico.</t>
  </si>
  <si>
    <t>21.3.3. Electrobisturí.</t>
  </si>
  <si>
    <t>21.3.4. Reanimador pulmonar neonatal manual con accesorios para control del límite de presión y manómetro.</t>
  </si>
  <si>
    <t>21.3.5. Oxígeno medicinal que puede ser suministrado mediante salida de oxígeno medicinal o mediante oxígeno medicinal portátil por camilla</t>
  </si>
  <si>
    <t>Complejidad  alta</t>
  </si>
  <si>
    <t>38.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</si>
  <si>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22. Cumple con los criterios definidos en mediana complejidad y adicionalmente, cuenta con la siguiente dotación para el consultorio para examen:</t>
  </si>
  <si>
    <t>22.1. Camilla con estribos</t>
  </si>
  <si>
    <t>22.2. Tensiómetro.</t>
  </si>
  <si>
    <t>39. Cumple con los criterios definidos para ambulancias terrestres, fluviales y marítimas en la baja complejidad y adicionalmente cuenta con:</t>
  </si>
  <si>
    <t>22.3. Fonendoscopio.</t>
  </si>
  <si>
    <t>22.4. Espéculos vaginales desechables o que se demuestre la esterilización</t>
  </si>
  <si>
    <t>39.1. Los medicamentos, dispositivos médicos e insumos definidos por el prestador de servicios de salud de acuerdo con la morbilidad, riesgos de complicaciones más frecuentes y lo documentado para el procedimiento de reanimación cardio cerebro pulmonar.</t>
  </si>
  <si>
    <t>Modalidad de tefemedicina - prestador de referencia</t>
  </si>
  <si>
    <t>S_Aparto_MD</t>
  </si>
  <si>
    <t>Modalidades intramural, telemedicina    prestador remisor</t>
  </si>
  <si>
    <t>40. Adicional a lo establecido para transporte terrestre, marítimo y fluvial en media complejidad:</t>
  </si>
  <si>
    <t>24. Cumple con los criterios que le sean aplicables de todos los servicios y adicionalmente cuenta con:</t>
  </si>
  <si>
    <t>40.1.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</si>
  <si>
    <t>24.1. Catéteres para vena umbilical.</t>
  </si>
  <si>
    <t>24.2. Oxígeno medicinal.</t>
  </si>
  <si>
    <t>40.2.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</si>
  <si>
    <t>24.3. Kit de emergencias obstétricas o código rojo.</t>
  </si>
  <si>
    <t>25. Cuando se oferte la estrategia TPR (trabajo de parto, parto y recuperación en el mismo ambiente), cuenta con:</t>
  </si>
  <si>
    <t>TR_AS_PP</t>
  </si>
  <si>
    <t>25.1. Catéteres para vena umbilical.</t>
  </si>
  <si>
    <t>25.2. Oxígeno medicinal</t>
  </si>
  <si>
    <t>Modalidad de telemedicina – prestador de referencia</t>
  </si>
  <si>
    <t>Para las ambulancias terrestres, fluviales, marítimas y aéreas:</t>
  </si>
  <si>
    <t>S_Aparto_PP</t>
  </si>
  <si>
    <t>41. Cumple con los criterios que le sean aplicables de todos los servicios y adicionalmente cuenta con la siguiente información documentada:</t>
  </si>
  <si>
    <t>27. Cumple con los criterios que le sean aplicables de todos los servicios y adicionalmente cuenta con la siguiente información documentada:</t>
  </si>
  <si>
    <t>27.1. Atención del parto.</t>
  </si>
  <si>
    <t>41.1. Manejo de urgencias</t>
  </si>
  <si>
    <t>27.2. Indicaciones y técnica de la episiotomía y episiorrafia.</t>
  </si>
  <si>
    <t>27.3. Manejo de complicaciones intraparto e instrumentación.</t>
  </si>
  <si>
    <t>27.4. Atención al recién nacido que incluya:</t>
  </si>
  <si>
    <t>41.2. Remisión que incluya traslado de niños y personas en abandono o sin acompañante.</t>
  </si>
  <si>
    <t>27.4.1. Profilaxis ocular y umbilical.</t>
  </si>
  <si>
    <t>27.4.2. Adaptación.</t>
  </si>
  <si>
    <t>27.4.3. Reanimación del recién nacido.</t>
  </si>
  <si>
    <t>41.3. Atención en salud de pacientes con problemas y trastornos en salud mental o consumo de sustancias psicoactivas.</t>
  </si>
  <si>
    <t>27.4.4. Criterios de remisión</t>
  </si>
  <si>
    <t>27.4.5. Vacunación.</t>
  </si>
  <si>
    <t>41.4. Rutinas permanentes de mantenimiento preventivo y correctivo del vehículo.</t>
  </si>
  <si>
    <t>27.4.6. Pinzamiento oportuno del cordón.</t>
  </si>
  <si>
    <t>27.4.7. Tamizaje neonatal</t>
  </si>
  <si>
    <t>41.5. Aseo, limpieza y desinfección de la ambulancia, que incluya las rutinas para su realización.</t>
  </si>
  <si>
    <t>27.4.8. Preparación de fórmulas artificiales, priorizando la lactancia materna exclusiva.</t>
  </si>
  <si>
    <t>41.6. Medicamentos, dispositivos médicos e insumos en los procedimientos que se realicen.</t>
  </si>
  <si>
    <t>27.4.9. Protocolo de manejo del prematuro en programa canguro con base en los lineamientos del Ministerio de Salud y Protección Social.</t>
  </si>
  <si>
    <t>27.5. Información sobre métodos de planificación familiar.</t>
  </si>
  <si>
    <t>42. Cumple con los criterios que le sean aplicables de todos los servicios.</t>
  </si>
  <si>
    <t>28. Cumple con los criterios definidos en la baja complejidad y adicionalmente cuenta con la siguiente información documentada:</t>
  </si>
  <si>
    <t>28.1. Manejo de hemorragia post-parto y post-cesárea y de complicaciones intraparto.</t>
  </si>
  <si>
    <t>TR_AS_HC</t>
  </si>
  <si>
    <t>28.2. Criterios clínicos para el ingreso al servicio de cuidados intensivos neonatales y de adultos.</t>
  </si>
  <si>
    <t>Modalidad de telemedicina- prestador de referencia</t>
  </si>
  <si>
    <t>43. Cumple con los criterios que le sean aplicables de todos los servicios y adicionalmente cuenta con:</t>
  </si>
  <si>
    <t>S_Aparto_HCR</t>
  </si>
  <si>
    <t>43.1. Registro con el nombre de los pacientes atendidos o trasladados con la siguiente información:</t>
  </si>
  <si>
    <t>30. Cumple con los criterios que le sean aplicables de todos los servicios y adicionalmente cuenta con partograma para toda materna en trabajo de parto.</t>
  </si>
  <si>
    <t>43.1.1. Nombre de los pacientes atendidos o trasladados.</t>
  </si>
  <si>
    <t>Modalidad de telemeclicina - prestador referencia</t>
  </si>
  <si>
    <t>43.1.2. Nombre del acompanante o responsable</t>
  </si>
  <si>
    <t>S_Aparto_INT</t>
  </si>
  <si>
    <t>43.1.3. Fecha</t>
  </si>
  <si>
    <t>32. Cumple con los criterios que le sean aplicables de todos los servicios y adicionalmente disponibilidad de:</t>
  </si>
  <si>
    <t>32.1. Servicio de laboratorio clínico.</t>
  </si>
  <si>
    <t>43.1.4. Hora</t>
  </si>
  <si>
    <t>32.2. Servicio de imágenes diagnósticas.</t>
  </si>
  <si>
    <t>32.3. Servicio de transporte asistencial.</t>
  </si>
  <si>
    <t>43.1.5. Origen</t>
  </si>
  <si>
    <t>32.4. Servicio farmacéutico.</t>
  </si>
  <si>
    <t>43.1.6. Destino del servicio</t>
  </si>
  <si>
    <t>32.5. Servicio de vacunación.</t>
  </si>
  <si>
    <t>32.6. Servicios de apoyo (alimentación, lavandería y vigilancia)</t>
  </si>
  <si>
    <t>43.1.7. Tipo de servicio</t>
  </si>
  <si>
    <t>43.1.8. Nombre del personal que atiende el servicio</t>
  </si>
  <si>
    <t>33. Cumple con los criterios que le sean aplicables de todos los servicios y adicionalmente cuenta con:</t>
  </si>
  <si>
    <t>43.1.9. Evolución y procedimientos durante el traslado o atención de los pacientes en el programa o servicio.</t>
  </si>
  <si>
    <t>33.1. Servicio de cirugía.</t>
  </si>
  <si>
    <t>33.2. Servicio de laboratorio clínico.</t>
  </si>
  <si>
    <t>33.3. Servicio de imágenes diagnósticas.</t>
  </si>
  <si>
    <t>44. Cumple con los criterios que le sean aplicables de todos los servicios</t>
  </si>
  <si>
    <t>33.4. Servicio farmacéutico.</t>
  </si>
  <si>
    <t>TR_AS_INT</t>
  </si>
  <si>
    <t>33.5. Servicio de gestión pre transfusional.</t>
  </si>
  <si>
    <t>34. Disponibilidad de:</t>
  </si>
  <si>
    <t>34.1. Servicio de vacunación</t>
  </si>
  <si>
    <t>34.2. Servicio de transporte asistencial.</t>
  </si>
  <si>
    <t>45. No Aplica</t>
  </si>
  <si>
    <t>34.3. Servicios de apoyo (alimentación, lavandería y vigilancia).</t>
  </si>
  <si>
    <t>Complejidades alta</t>
  </si>
  <si>
    <t>35. Cumple con los criterios definidos para la atención de parto de mediana complejidad y adicionalmente cuenta con:</t>
  </si>
  <si>
    <t>35.1. Servicio de cuidado intensivo neonatal.</t>
  </si>
  <si>
    <t>35.2. Servicio de cuidado intensivo adultos.</t>
  </si>
  <si>
    <t>36.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</si>
</sst>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Calibri"/>
    </font>
    <font>
      <sz val="12"/>
      <color theme="1"/>
      <name val="Arial"/>
    </font>
    <font>
      <sz val="11"/>
      <color rgb="FF000000"/>
      <name val="Arial"/>
    </font>
    <font>
      <b/>
      <sz val="12"/>
      <color theme="1"/>
      <name val="Arial"/>
    </font>
    <font>
      <sz val="11"/>
      <color theme="1"/>
      <name val="Arial"/>
    </font>
    <font>
      <b/>
      <sz val="11"/>
      <color rgb="FF000000"/>
      <name val="Arial"/>
    </font>
    <font>
      <u/>
      <sz val="12"/>
      <color rgb="FF0000FF"/>
      <name val="Arial"/>
    </font>
    <font>
      <sz val="11"/>
      <name val="Calibri"/>
    </font>
    <font>
      <b/>
      <sz val="12"/>
      <color rgb="FF000000"/>
      <name val="Arial"/>
    </font>
    <font>
      <b/>
      <sz val="11"/>
      <color rgb="FF000000"/>
      <name val="Calibri"/>
    </font>
    <font>
      <sz val="11"/>
      <color theme="1"/>
      <name val="Calibri"/>
    </font>
    <font>
      <sz val="11"/>
      <color theme="1"/>
      <name val="Arial"/>
    </font>
    <font>
      <sz val="11"/>
      <color rgb="FF000000"/>
      <name val="Roboto"/>
    </font>
    <font>
      <b/>
      <sz val="11"/>
      <color theme="1"/>
      <name val="Arial"/>
    </font>
    <font>
      <sz val="11"/>
      <color rgb="FF000000"/>
      <name val="Arial"/>
    </font>
    <font>
      <b/>
      <sz val="11"/>
      <color rgb="FF000000"/>
      <name val="Arial"/>
    </font>
    <font>
      <b/>
      <sz val="11"/>
      <color rgb="FF000000"/>
      <name val="Roboto"/>
    </font>
    <font>
      <b/>
      <i/>
      <sz val="11"/>
      <color rgb="FF000000"/>
      <name val="Arial"/>
    </font>
    <font>
      <b/>
      <sz val="11"/>
      <color theme="1"/>
      <name val="Calibri"/>
    </font>
    <font>
      <b/>
      <sz val="11"/>
      <name val="Calibri"/>
    </font>
    <font>
      <i/>
      <sz val="11"/>
      <name val="Calibri"/>
    </font>
    <font>
      <u/>
      <sz val="11"/>
      <color theme="10"/>
      <name val="Calibri"/>
    </font>
  </fonts>
  <fills count="24">
    <fill>
      <patternFill patternType="none"/>
    </fill>
    <fill>
      <patternFill patternType="gray125"/>
    </fill>
    <fill>
      <patternFill patternType="solid">
        <fgColor rgb="FFD9E2F3"/>
        <bgColor rgb="FFD9E2F3"/>
      </patternFill>
    </fill>
    <fill>
      <patternFill patternType="solid">
        <fgColor rgb="FFFFE598"/>
        <bgColor rgb="FFFFE598"/>
      </patternFill>
    </fill>
    <fill>
      <patternFill patternType="solid">
        <fgColor rgb="FFB6D7A8"/>
        <bgColor rgb="FFB6D7A8"/>
      </patternFill>
    </fill>
    <fill>
      <patternFill patternType="solid">
        <fgColor rgb="FFCCCCCC"/>
        <bgColor rgb="FFCCCCCC"/>
      </patternFill>
    </fill>
    <fill>
      <patternFill patternType="solid">
        <fgColor rgb="FFB7B7B7"/>
        <bgColor rgb="FFB7B7B7"/>
      </patternFill>
    </fill>
    <fill>
      <patternFill patternType="solid">
        <fgColor rgb="FF8496B0"/>
        <bgColor rgb="FF8496B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theme="0"/>
        <bgColor theme="0"/>
      </patternFill>
    </fill>
    <fill>
      <patternFill patternType="solid">
        <fgColor rgb="FFF1C232"/>
        <bgColor rgb="FFF1C232"/>
      </patternFill>
    </fill>
    <fill>
      <patternFill patternType="solid">
        <fgColor rgb="FFFFD966"/>
        <bgColor rgb="FFFFD966"/>
      </patternFill>
    </fill>
    <fill>
      <patternFill patternType="solid">
        <fgColor rgb="FFFDFDFD"/>
        <bgColor rgb="FFFDFDFD"/>
      </patternFill>
    </fill>
    <fill>
      <patternFill patternType="solid">
        <fgColor rgb="FF93C47D"/>
        <bgColor rgb="FF93C47D"/>
      </patternFill>
    </fill>
    <fill>
      <patternFill patternType="solid">
        <fgColor rgb="FF999999"/>
        <bgColor rgb="FF999999"/>
      </patternFill>
    </fill>
    <fill>
      <patternFill patternType="solid">
        <fgColor theme="9" tint="0.39997558519241921"/>
        <bgColor rgb="FF00FF00"/>
      </patternFill>
    </fill>
    <fill>
      <patternFill patternType="solid">
        <fgColor theme="9" tint="0.39997558519241921"/>
        <bgColor indexed="64"/>
      </patternFill>
    </fill>
    <fill>
      <patternFill patternType="solid">
        <fgColor rgb="FFFFFF00"/>
        <bgColor rgb="FFFFFFFF"/>
      </patternFill>
    </fill>
    <fill>
      <patternFill patternType="solid">
        <fgColor theme="4" tint="0.39997558519241921"/>
        <bgColor rgb="FFFFFFFF"/>
      </patternFill>
    </fill>
    <fill>
      <patternFill patternType="solid">
        <fgColor rgb="FFFFFF00"/>
        <bgColor indexed="64"/>
      </patternFill>
    </fill>
    <fill>
      <patternFill patternType="solid">
        <fgColor rgb="FFFFFF00"/>
        <bgColor rgb="FFCCCCCC"/>
      </patternFill>
    </fill>
    <fill>
      <patternFill patternType="solid">
        <fgColor rgb="FFFFFF00"/>
        <bgColor rgb="FFD9E2F3"/>
      </patternFill>
    </fill>
  </fills>
  <borders count="27">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A5A5A5"/>
      </left>
      <right style="thin">
        <color rgb="FFA5A5A5"/>
      </right>
      <top style="thin">
        <color rgb="FFA5A5A5"/>
      </top>
      <bottom style="thin">
        <color rgb="FFA5A5A5"/>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A5A5A5"/>
      </left>
      <right style="thin">
        <color rgb="FFA5A5A5"/>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style="thin">
        <color rgb="FFA5A5A5"/>
      </top>
      <bottom style="thin">
        <color rgb="FF000000"/>
      </bottom>
      <diagonal/>
    </border>
    <border>
      <left style="thin">
        <color rgb="FFB7B7B7"/>
      </left>
      <right style="thin">
        <color rgb="FFB7B7B7"/>
      </right>
      <top style="thin">
        <color rgb="FFB7B7B7"/>
      </top>
      <bottom style="thin">
        <color rgb="FFB7B7B7"/>
      </bottom>
      <diagonal/>
    </border>
    <border>
      <left style="thin">
        <color rgb="FFA5A5A5"/>
      </left>
      <right style="thin">
        <color rgb="FFA5A5A5"/>
      </right>
      <top/>
      <bottom style="thin">
        <color rgb="FFA5A5A5"/>
      </bottom>
      <diagonal/>
    </border>
    <border>
      <left style="thin">
        <color rgb="FFA5A5A5"/>
      </left>
      <right style="thin">
        <color rgb="FFA5A5A5"/>
      </right>
      <top/>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right style="thin">
        <color rgb="FFA5A5A5"/>
      </right>
      <top style="thin">
        <color rgb="FFA5A5A5"/>
      </top>
      <bottom/>
      <diagonal/>
    </border>
    <border>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diagonal/>
    </border>
    <border>
      <left style="thin">
        <color rgb="FFB7B7B7"/>
      </left>
      <right style="thin">
        <color rgb="FFB7B7B7"/>
      </right>
      <top style="thin">
        <color rgb="FFB7B7B7"/>
      </top>
      <bottom/>
      <diagonal/>
    </border>
    <border>
      <left/>
      <right style="thin">
        <color rgb="FFA5A5A5"/>
      </right>
      <top/>
      <bottom/>
      <diagonal/>
    </border>
    <border>
      <left/>
      <right style="thin">
        <color rgb="FFA5A5A5"/>
      </right>
      <top/>
      <bottom style="thin">
        <color rgb="FFA5A5A5"/>
      </bottom>
      <diagonal/>
    </border>
    <border>
      <left/>
      <right/>
      <top/>
      <bottom/>
      <diagonal/>
    </border>
    <border>
      <left style="thin">
        <color rgb="FFA5A5A5"/>
      </left>
      <right/>
      <top style="thin">
        <color rgb="FFA5A5A5"/>
      </top>
      <bottom/>
      <diagonal/>
    </border>
    <border>
      <left/>
      <right style="thin">
        <color rgb="FFA5A5A5"/>
      </right>
      <top style="thin">
        <color rgb="FFA5A5A5"/>
      </top>
      <bottom/>
      <diagonal/>
    </border>
  </borders>
  <cellStyleXfs count="2">
    <xf numFmtId="0" fontId="0" fillId="0" borderId="0"/>
    <xf numFmtId="0" fontId="21" fillId="0" borderId="0" applyNumberFormat="0" applyFill="0" applyBorder="0" applyAlignment="0" applyProtection="0"/>
  </cellStyleXfs>
  <cellXfs count="289">
    <xf numFmtId="0" fontId="0" fillId="0" borderId="0" xfId="0"/>
    <xf numFmtId="0" fontId="3" fillId="2" borderId="2" xfId="0" applyFont="1" applyFill="1" applyBorder="1" applyAlignment="1">
      <alignment horizontal="center" vertical="center"/>
    </xf>
    <xf numFmtId="0" fontId="2" fillId="0" borderId="0" xfId="0" applyFont="1" applyAlignment="1">
      <alignment horizontal="center" vertical="center"/>
    </xf>
    <xf numFmtId="0" fontId="3" fillId="2" borderId="2" xfId="0" applyFont="1" applyFill="1" applyBorder="1" applyAlignment="1">
      <alignment horizontal="center" vertical="center" wrapText="1"/>
    </xf>
    <xf numFmtId="0" fontId="4" fillId="0" borderId="0" xfId="0" applyFont="1"/>
    <xf numFmtId="0" fontId="5" fillId="3"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left" vertical="center" wrapText="1"/>
    </xf>
    <xf numFmtId="0" fontId="2" fillId="5" borderId="3" xfId="0" applyFont="1" applyFill="1" applyBorder="1" applyAlignment="1">
      <alignment horizontal="center" vertical="center"/>
    </xf>
    <xf numFmtId="0" fontId="5"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2" xfId="0" applyFont="1" applyBorder="1" applyAlignment="1">
      <alignment horizontal="center" vertical="center" wrapText="1"/>
    </xf>
    <xf numFmtId="0" fontId="2" fillId="0" borderId="0" xfId="0" applyFont="1" applyAlignment="1">
      <alignment horizontal="center" vertical="center" wrapText="1"/>
    </xf>
    <xf numFmtId="0" fontId="5" fillId="3" borderId="3"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5" fillId="5" borderId="3" xfId="0" applyFont="1" applyFill="1" applyBorder="1" applyAlignment="1">
      <alignment horizontal="left" vertical="top" wrapText="1"/>
    </xf>
    <xf numFmtId="0" fontId="5" fillId="5"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5" borderId="3" xfId="0" applyFont="1" applyFill="1" applyBorder="1" applyAlignment="1">
      <alignment horizontal="center" vertical="center" wrapText="1"/>
    </xf>
    <xf numFmtId="0" fontId="9" fillId="7" borderId="3" xfId="0" applyFont="1" applyFill="1" applyBorder="1" applyAlignment="1">
      <alignment vertical="center" wrapText="1"/>
    </xf>
    <xf numFmtId="0" fontId="9" fillId="7" borderId="3" xfId="0" applyFont="1" applyFill="1" applyBorder="1" applyAlignment="1">
      <alignment horizontal="center" vertical="center"/>
    </xf>
    <xf numFmtId="0" fontId="0" fillId="8" borderId="3" xfId="0" applyFill="1" applyBorder="1" applyAlignment="1">
      <alignment vertical="center"/>
    </xf>
    <xf numFmtId="3" fontId="0" fillId="0" borderId="3" xfId="0" applyNumberFormat="1" applyBorder="1" applyAlignment="1">
      <alignment horizontal="center" vertical="center"/>
    </xf>
    <xf numFmtId="0" fontId="5" fillId="9" borderId="3" xfId="0" applyFont="1" applyFill="1" applyBorder="1" applyAlignment="1">
      <alignment horizontal="center" vertical="center" wrapText="1"/>
    </xf>
    <xf numFmtId="0" fontId="5" fillId="9" borderId="3" xfId="0" applyFont="1" applyFill="1" applyBorder="1" applyAlignment="1">
      <alignment horizontal="left" vertical="center" wrapText="1"/>
    </xf>
    <xf numFmtId="10" fontId="0" fillId="0" borderId="3" xfId="0" applyNumberFormat="1" applyBorder="1" applyAlignment="1">
      <alignment horizontal="center" vertical="center"/>
    </xf>
    <xf numFmtId="0" fontId="0" fillId="0" borderId="3" xfId="0" applyBorder="1" applyAlignment="1">
      <alignment horizontal="center" vertical="center"/>
    </xf>
    <xf numFmtId="0" fontId="0" fillId="8" borderId="3" xfId="0" applyFill="1" applyBorder="1" applyAlignment="1">
      <alignment vertical="center" wrapText="1"/>
    </xf>
    <xf numFmtId="0" fontId="2" fillId="8" borderId="3" xfId="0" applyFont="1" applyFill="1" applyBorder="1" applyAlignment="1">
      <alignment horizontal="center" vertical="center" wrapText="1"/>
    </xf>
    <xf numFmtId="0" fontId="2" fillId="8" borderId="3" xfId="0" applyFont="1" applyFill="1" applyBorder="1" applyAlignment="1">
      <alignment horizontal="left" vertical="center" wrapText="1"/>
    </xf>
    <xf numFmtId="0" fontId="2" fillId="8" borderId="3" xfId="0" applyFont="1" applyFill="1" applyBorder="1" applyAlignment="1">
      <alignment horizontal="center" vertical="center"/>
    </xf>
    <xf numFmtId="0" fontId="9" fillId="7" borderId="3" xfId="0" applyFont="1" applyFill="1" applyBorder="1" applyAlignment="1">
      <alignment vertical="center"/>
    </xf>
    <xf numFmtId="0" fontId="5" fillId="3" borderId="3" xfId="0" applyFont="1" applyFill="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2" fillId="0" borderId="3" xfId="0" applyFont="1" applyBorder="1" applyAlignment="1">
      <alignment horizontal="left" vertical="top" wrapText="1"/>
    </xf>
    <xf numFmtId="0" fontId="2" fillId="0" borderId="7" xfId="0" applyFont="1" applyBorder="1" applyAlignment="1">
      <alignment horizontal="left" vertical="top" wrapText="1"/>
    </xf>
    <xf numFmtId="0" fontId="5" fillId="6" borderId="3" xfId="0" applyFont="1" applyFill="1" applyBorder="1" applyAlignment="1">
      <alignment horizontal="center" vertical="center" wrapText="1"/>
    </xf>
    <xf numFmtId="0" fontId="2" fillId="0" borderId="0" xfId="0" applyFont="1" applyAlignment="1">
      <alignment horizontal="left" vertical="top" wrapText="1"/>
    </xf>
    <xf numFmtId="0" fontId="2" fillId="8" borderId="3" xfId="0" applyFont="1" applyFill="1" applyBorder="1" applyAlignment="1">
      <alignment horizontal="left" vertical="top" wrapText="1"/>
    </xf>
    <xf numFmtId="0" fontId="2" fillId="8" borderId="9" xfId="0" applyFont="1" applyFill="1" applyBorder="1" applyAlignment="1">
      <alignment horizontal="left" vertical="top" wrapText="1"/>
    </xf>
    <xf numFmtId="0" fontId="2" fillId="8" borderId="9"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5" fillId="8" borderId="3" xfId="0" applyFont="1" applyFill="1" applyBorder="1" applyAlignment="1">
      <alignment horizontal="center" vertical="center"/>
    </xf>
    <xf numFmtId="0" fontId="5" fillId="5" borderId="3" xfId="0" applyFont="1" applyFill="1" applyBorder="1" applyAlignment="1">
      <alignment horizontal="center" vertical="center"/>
    </xf>
    <xf numFmtId="0" fontId="5" fillId="8" borderId="3" xfId="0" applyFont="1" applyFill="1" applyBorder="1" applyAlignment="1">
      <alignment horizontal="left" vertical="center" wrapText="1"/>
    </xf>
    <xf numFmtId="0" fontId="2" fillId="8" borderId="9" xfId="0" applyFont="1" applyFill="1" applyBorder="1" applyAlignment="1">
      <alignment horizontal="center" vertical="center"/>
    </xf>
    <xf numFmtId="0" fontId="2" fillId="5" borderId="3" xfId="0" applyFont="1" applyFill="1" applyBorder="1" applyAlignment="1">
      <alignment horizontal="left" vertical="top" wrapText="1"/>
    </xf>
    <xf numFmtId="0" fontId="5" fillId="8" borderId="3" xfId="0" applyFont="1" applyFill="1" applyBorder="1" applyAlignment="1">
      <alignment horizontal="left" vertical="center"/>
    </xf>
    <xf numFmtId="0" fontId="2" fillId="8" borderId="10" xfId="0" applyFont="1" applyFill="1" applyBorder="1" applyAlignment="1">
      <alignment horizontal="center" vertical="center"/>
    </xf>
    <xf numFmtId="0" fontId="5" fillId="3" borderId="11" xfId="0" applyFont="1" applyFill="1" applyBorder="1" applyAlignment="1">
      <alignment horizontal="center" vertical="center" wrapText="1"/>
    </xf>
    <xf numFmtId="0" fontId="5" fillId="3" borderId="11" xfId="0" applyFont="1" applyFill="1" applyBorder="1" applyAlignment="1">
      <alignment horizontal="left" vertical="center" wrapText="1"/>
    </xf>
    <xf numFmtId="0" fontId="2" fillId="3" borderId="11" xfId="0" applyFont="1" applyFill="1" applyBorder="1" applyAlignment="1">
      <alignment vertical="center" wrapText="1"/>
    </xf>
    <xf numFmtId="0" fontId="2" fillId="3"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2" xfId="0" applyFont="1" applyFill="1" applyBorder="1" applyAlignment="1">
      <alignment horizontal="left" vertical="center" wrapText="1"/>
    </xf>
    <xf numFmtId="0" fontId="2" fillId="8" borderId="7" xfId="0" applyFont="1" applyFill="1" applyBorder="1" applyAlignment="1">
      <alignment horizontal="center" vertical="center"/>
    </xf>
    <xf numFmtId="0" fontId="2" fillId="8" borderId="7" xfId="0" applyFont="1" applyFill="1" applyBorder="1" applyAlignment="1">
      <alignment horizontal="left" vertical="center" wrapText="1"/>
    </xf>
    <xf numFmtId="0" fontId="2" fillId="5" borderId="11" xfId="0" applyFont="1" applyFill="1" applyBorder="1" applyAlignment="1">
      <alignment horizontal="center" vertical="center"/>
    </xf>
    <xf numFmtId="0" fontId="5" fillId="5" borderId="11" xfId="0" applyFont="1" applyFill="1" applyBorder="1" applyAlignment="1">
      <alignment horizontal="left" vertical="center" wrapText="1"/>
    </xf>
    <xf numFmtId="0" fontId="2" fillId="8" borderId="13" xfId="0" applyFont="1" applyFill="1" applyBorder="1" applyAlignment="1">
      <alignment horizontal="center" vertical="center"/>
    </xf>
    <xf numFmtId="0" fontId="2" fillId="8" borderId="12" xfId="0" applyFont="1" applyFill="1" applyBorder="1" applyAlignment="1">
      <alignment horizontal="left" vertical="center" wrapText="1"/>
    </xf>
    <xf numFmtId="0" fontId="2" fillId="5" borderId="7"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3" xfId="0" applyFont="1" applyFill="1" applyBorder="1" applyAlignment="1">
      <alignment horizontal="left" vertical="center" wrapText="1"/>
    </xf>
    <xf numFmtId="0" fontId="5" fillId="3" borderId="0" xfId="0" applyFont="1" applyFill="1" applyAlignment="1">
      <alignment horizontal="center" vertical="center" wrapText="1"/>
    </xf>
    <xf numFmtId="0" fontId="5" fillId="3" borderId="0" xfId="0" applyFont="1" applyFill="1" applyAlignment="1">
      <alignment horizontal="left"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5" fillId="3" borderId="7" xfId="0" applyFont="1" applyFill="1" applyBorder="1" applyAlignment="1">
      <alignment horizontal="center" vertical="center"/>
    </xf>
    <xf numFmtId="0" fontId="5" fillId="3" borderId="7" xfId="0" applyFont="1" applyFill="1" applyBorder="1" applyAlignment="1">
      <alignment horizontal="left" vertical="top"/>
    </xf>
    <xf numFmtId="0" fontId="2" fillId="8" borderId="11" xfId="0" applyFont="1" applyFill="1" applyBorder="1" applyAlignment="1">
      <alignment horizontal="center" vertical="center"/>
    </xf>
    <xf numFmtId="0" fontId="5" fillId="3" borderId="14" xfId="0" applyFont="1" applyFill="1" applyBorder="1" applyAlignment="1">
      <alignment vertical="center"/>
    </xf>
    <xf numFmtId="0" fontId="2" fillId="3" borderId="7" xfId="0" applyFont="1" applyFill="1" applyBorder="1" applyAlignment="1">
      <alignment horizontal="center" vertical="center"/>
    </xf>
    <xf numFmtId="0" fontId="5" fillId="10" borderId="11" xfId="0" applyFont="1" applyFill="1" applyBorder="1" applyAlignment="1">
      <alignment horizontal="left" vertical="center" wrapText="1"/>
    </xf>
    <xf numFmtId="0" fontId="5" fillId="3" borderId="11" xfId="0" applyFont="1" applyFill="1" applyBorder="1" applyAlignment="1">
      <alignment horizontal="center" vertical="center"/>
    </xf>
    <xf numFmtId="0" fontId="5" fillId="3" borderId="11" xfId="0" applyFont="1" applyFill="1" applyBorder="1" applyAlignment="1">
      <alignment horizontal="left" vertical="top"/>
    </xf>
    <xf numFmtId="0" fontId="5" fillId="10" borderId="11" xfId="0" applyFont="1" applyFill="1" applyBorder="1" applyAlignment="1">
      <alignment horizontal="center" vertical="center"/>
    </xf>
    <xf numFmtId="0" fontId="2" fillId="8" borderId="11" xfId="0" applyFont="1" applyFill="1" applyBorder="1" applyAlignment="1">
      <alignment horizontal="left" vertical="center" wrapText="1"/>
    </xf>
    <xf numFmtId="0" fontId="2" fillId="0" borderId="11" xfId="0" applyFont="1" applyBorder="1" applyAlignment="1">
      <alignment horizontal="center" vertical="center"/>
    </xf>
    <xf numFmtId="0" fontId="5" fillId="8" borderId="11" xfId="0" applyFont="1" applyFill="1" applyBorder="1" applyAlignment="1">
      <alignment horizontal="center" vertical="center"/>
    </xf>
    <xf numFmtId="0" fontId="2" fillId="11" borderId="11" xfId="0" applyFont="1" applyFill="1" applyBorder="1" applyAlignment="1">
      <alignment horizontal="left" vertical="top" wrapText="1"/>
    </xf>
    <xf numFmtId="0" fontId="5" fillId="11" borderId="11" xfId="0" applyFont="1" applyFill="1" applyBorder="1" applyAlignment="1">
      <alignment horizontal="left" vertical="top" wrapText="1"/>
    </xf>
    <xf numFmtId="0" fontId="2" fillId="8" borderId="11" xfId="0" applyFont="1" applyFill="1" applyBorder="1" applyAlignment="1">
      <alignment horizontal="left" vertical="top" wrapText="1"/>
    </xf>
    <xf numFmtId="0" fontId="5" fillId="5" borderId="11" xfId="0" applyFont="1" applyFill="1" applyBorder="1" applyAlignment="1">
      <alignment horizontal="center" vertical="center" wrapText="1"/>
    </xf>
    <xf numFmtId="0" fontId="2" fillId="0" borderId="11" xfId="0" applyFont="1" applyBorder="1" applyAlignment="1">
      <alignment horizontal="left" vertical="center" wrapText="1"/>
    </xf>
    <xf numFmtId="0" fontId="2" fillId="0" borderId="11" xfId="0" applyFont="1" applyBorder="1" applyAlignment="1">
      <alignment horizontal="center" vertical="center" wrapText="1"/>
    </xf>
    <xf numFmtId="0" fontId="5" fillId="5" borderId="11" xfId="0" applyFont="1" applyFill="1" applyBorder="1" applyAlignment="1">
      <alignment horizontal="center" vertical="center"/>
    </xf>
    <xf numFmtId="0" fontId="5" fillId="5" borderId="11" xfId="0" applyFont="1" applyFill="1" applyBorder="1" applyAlignment="1">
      <alignment horizontal="left" vertical="top" wrapText="1"/>
    </xf>
    <xf numFmtId="0" fontId="2" fillId="0" borderId="0" xfId="0" applyFont="1" applyAlignment="1">
      <alignment horizontal="left" vertical="top"/>
    </xf>
    <xf numFmtId="0" fontId="5" fillId="3" borderId="3" xfId="0" applyFont="1" applyFill="1" applyBorder="1" applyAlignment="1">
      <alignment horizontal="left" vertical="center"/>
    </xf>
    <xf numFmtId="0" fontId="5" fillId="3" borderId="15" xfId="0" applyFont="1" applyFill="1" applyBorder="1" applyAlignment="1">
      <alignment vertical="center"/>
    </xf>
    <xf numFmtId="0" fontId="5" fillId="3" borderId="15" xfId="0" applyFont="1" applyFill="1" applyBorder="1" applyAlignment="1">
      <alignment horizontal="center" vertical="center"/>
    </xf>
    <xf numFmtId="0" fontId="5" fillId="5" borderId="3" xfId="0" applyFont="1" applyFill="1" applyBorder="1" applyAlignment="1">
      <alignment horizontal="left" vertical="center"/>
    </xf>
    <xf numFmtId="0" fontId="5" fillId="10" borderId="3" xfId="0" applyFont="1" applyFill="1" applyBorder="1" applyAlignment="1">
      <alignment horizontal="center" vertical="center"/>
    </xf>
    <xf numFmtId="0" fontId="2" fillId="8" borderId="16" xfId="0" applyFont="1" applyFill="1" applyBorder="1" applyAlignment="1">
      <alignment horizontal="center" vertical="center" wrapText="1"/>
    </xf>
    <xf numFmtId="0" fontId="5" fillId="3" borderId="3" xfId="0" applyFont="1" applyFill="1" applyBorder="1" applyAlignment="1">
      <alignment horizontal="left" vertical="top"/>
    </xf>
    <xf numFmtId="0" fontId="5" fillId="3" borderId="14" xfId="0" applyFont="1" applyFill="1" applyBorder="1" applyAlignment="1">
      <alignment horizontal="center" vertical="center"/>
    </xf>
    <xf numFmtId="0" fontId="2" fillId="5" borderId="17" xfId="0" applyFont="1" applyFill="1" applyBorder="1" applyAlignment="1">
      <alignment horizontal="center" vertical="center" wrapText="1"/>
    </xf>
    <xf numFmtId="0" fontId="5" fillId="5" borderId="17" xfId="0" applyFont="1" applyFill="1" applyBorder="1" applyAlignment="1">
      <alignment horizontal="left" vertical="center" wrapText="1"/>
    </xf>
    <xf numFmtId="0" fontId="2" fillId="8" borderId="17" xfId="0" applyFont="1" applyFill="1" applyBorder="1" applyAlignment="1">
      <alignment horizontal="center" vertical="center" wrapText="1"/>
    </xf>
    <xf numFmtId="0" fontId="2" fillId="8" borderId="17" xfId="0" applyFont="1" applyFill="1" applyBorder="1" applyAlignment="1">
      <alignment horizontal="left" vertical="center" wrapText="1"/>
    </xf>
    <xf numFmtId="0" fontId="2" fillId="8" borderId="7"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10" borderId="3" xfId="0" applyFont="1" applyFill="1" applyBorder="1" applyAlignment="1">
      <alignment horizontal="left" vertical="center" wrapText="1"/>
    </xf>
    <xf numFmtId="0" fontId="2" fillId="0" borderId="0" xfId="0" applyFont="1" applyAlignment="1">
      <alignment horizontal="left" vertical="center"/>
    </xf>
    <xf numFmtId="0" fontId="5" fillId="3" borderId="0" xfId="0" applyFont="1" applyFill="1" applyAlignment="1">
      <alignment horizontal="left" vertical="top" wrapText="1"/>
    </xf>
    <xf numFmtId="0" fontId="5" fillId="3" borderId="0" xfId="0" applyFont="1" applyFill="1" applyAlignment="1">
      <alignment vertical="center" wrapText="1"/>
    </xf>
    <xf numFmtId="0" fontId="2" fillId="3" borderId="15" xfId="0" applyFont="1" applyFill="1" applyBorder="1" applyAlignment="1">
      <alignment vertical="center" wrapText="1"/>
    </xf>
    <xf numFmtId="0" fontId="5" fillId="3" borderId="7" xfId="0" applyFont="1" applyFill="1" applyBorder="1" applyAlignment="1">
      <alignment horizontal="center" vertical="center" wrapText="1"/>
    </xf>
    <xf numFmtId="0" fontId="5" fillId="5" borderId="18" xfId="0" applyFont="1" applyFill="1" applyBorder="1" applyAlignment="1">
      <alignment horizontal="left" vertical="top" wrapText="1"/>
    </xf>
    <xf numFmtId="0" fontId="5" fillId="0" borderId="0" xfId="0" applyFont="1" applyAlignment="1">
      <alignment horizontal="center" vertical="center" wrapText="1"/>
    </xf>
    <xf numFmtId="0" fontId="2" fillId="0" borderId="17" xfId="0" applyFont="1" applyBorder="1" applyAlignment="1">
      <alignment horizontal="center" vertical="center" wrapText="1"/>
    </xf>
    <xf numFmtId="0" fontId="2" fillId="12" borderId="3" xfId="0" applyFont="1" applyFill="1" applyBorder="1" applyAlignment="1">
      <alignment horizontal="center" vertical="center" wrapText="1"/>
    </xf>
    <xf numFmtId="0" fontId="5" fillId="12" borderId="3" xfId="0" applyFont="1" applyFill="1" applyBorder="1" applyAlignment="1">
      <alignment horizontal="left" vertical="center" wrapText="1"/>
    </xf>
    <xf numFmtId="0" fontId="5" fillId="12" borderId="18" xfId="0" applyFont="1" applyFill="1" applyBorder="1" applyAlignment="1">
      <alignment horizontal="left" vertical="top" wrapText="1"/>
    </xf>
    <xf numFmtId="0" fontId="2" fillId="8" borderId="17" xfId="0" applyFont="1" applyFill="1" applyBorder="1" applyAlignment="1">
      <alignment horizontal="left" vertical="top" wrapText="1"/>
    </xf>
    <xf numFmtId="0" fontId="5" fillId="8" borderId="17" xfId="0" applyFont="1" applyFill="1" applyBorder="1" applyAlignment="1">
      <alignment horizontal="left" vertical="top" wrapText="1"/>
    </xf>
    <xf numFmtId="0" fontId="2" fillId="8" borderId="0" xfId="0" applyFont="1" applyFill="1" applyAlignment="1">
      <alignment horizontal="center" vertical="center" wrapText="1"/>
    </xf>
    <xf numFmtId="0" fontId="2" fillId="13" borderId="3" xfId="0" applyFont="1" applyFill="1" applyBorder="1" applyAlignment="1">
      <alignment horizontal="center" vertical="center" wrapText="1"/>
    </xf>
    <xf numFmtId="0" fontId="5" fillId="13" borderId="3" xfId="0" applyFont="1" applyFill="1" applyBorder="1" applyAlignment="1">
      <alignment horizontal="left" vertical="center" wrapText="1"/>
    </xf>
    <xf numFmtId="0" fontId="5" fillId="13" borderId="18" xfId="0" applyFont="1" applyFill="1" applyBorder="1" applyAlignment="1">
      <alignment horizontal="left" vertical="top" wrapText="1"/>
    </xf>
    <xf numFmtId="0" fontId="2" fillId="14" borderId="17" xfId="0" applyFont="1" applyFill="1" applyBorder="1" applyAlignment="1">
      <alignment horizontal="left" vertical="top" wrapText="1"/>
    </xf>
    <xf numFmtId="0" fontId="5" fillId="14" borderId="18" xfId="0" applyFont="1" applyFill="1" applyBorder="1" applyAlignment="1">
      <alignment horizontal="left" vertical="top" wrapText="1"/>
    </xf>
    <xf numFmtId="0" fontId="11" fillId="0" borderId="0" xfId="0" applyFont="1" applyAlignment="1">
      <alignment vertical="center"/>
    </xf>
    <xf numFmtId="0" fontId="2" fillId="9" borderId="3" xfId="0" applyFont="1" applyFill="1" applyBorder="1" applyAlignment="1">
      <alignment horizontal="center" vertical="center" wrapText="1"/>
    </xf>
    <xf numFmtId="0" fontId="10" fillId="0" borderId="0" xfId="0" applyFont="1" applyAlignment="1">
      <alignment vertical="center" wrapText="1"/>
    </xf>
    <xf numFmtId="0" fontId="5" fillId="3" borderId="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12" fillId="8" borderId="19" xfId="0" applyFont="1" applyFill="1" applyBorder="1" applyAlignment="1">
      <alignment horizontal="center" vertical="center" wrapText="1"/>
    </xf>
    <xf numFmtId="0" fontId="2" fillId="8" borderId="0" xfId="0" applyFont="1" applyFill="1" applyAlignment="1">
      <alignment horizontal="left" vertical="center" wrapText="1"/>
    </xf>
    <xf numFmtId="0" fontId="12" fillId="8" borderId="11" xfId="0" applyFont="1" applyFill="1" applyBorder="1" applyAlignment="1">
      <alignment horizontal="center" vertical="center" wrapText="1"/>
    </xf>
    <xf numFmtId="0" fontId="5" fillId="15" borderId="3" xfId="0" applyFont="1" applyFill="1" applyBorder="1" applyAlignment="1">
      <alignment horizontal="center" vertical="center" wrapText="1"/>
    </xf>
    <xf numFmtId="0" fontId="5" fillId="15" borderId="3" xfId="0" applyFont="1" applyFill="1" applyBorder="1" applyAlignment="1">
      <alignment horizontal="left" vertical="center" wrapText="1"/>
    </xf>
    <xf numFmtId="0" fontId="2" fillId="15" borderId="15" xfId="0" applyFont="1" applyFill="1" applyBorder="1" applyAlignment="1">
      <alignment vertical="center" wrapText="1"/>
    </xf>
    <xf numFmtId="0" fontId="2" fillId="15" borderId="3" xfId="0" applyFont="1" applyFill="1" applyBorder="1" applyAlignment="1">
      <alignment horizontal="center" vertical="center" wrapText="1"/>
    </xf>
    <xf numFmtId="0" fontId="5" fillId="15" borderId="8" xfId="0" applyFont="1" applyFill="1" applyBorder="1" applyAlignment="1">
      <alignment horizontal="center" vertical="center" wrapText="1"/>
    </xf>
    <xf numFmtId="0" fontId="2" fillId="0" borderId="19" xfId="0" applyFont="1" applyBorder="1" applyAlignment="1">
      <alignment horizontal="center" vertical="center" wrapText="1"/>
    </xf>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2" fillId="3" borderId="2" xfId="0" applyFont="1" applyFill="1" applyBorder="1" applyAlignment="1">
      <alignment horizontal="left"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14" fillId="0" borderId="2" xfId="0" applyFont="1" applyBorder="1" applyAlignment="1">
      <alignment vertical="center" wrapText="1"/>
    </xf>
    <xf numFmtId="0" fontId="2" fillId="0" borderId="2" xfId="0" applyFont="1" applyBorder="1" applyAlignment="1">
      <alignment horizontal="center" vertical="center"/>
    </xf>
    <xf numFmtId="0" fontId="2" fillId="8" borderId="2"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8"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15" fillId="5" borderId="2" xfId="0" applyFont="1" applyFill="1" applyBorder="1" applyAlignment="1">
      <alignment vertical="center" wrapText="1"/>
    </xf>
    <xf numFmtId="0" fontId="5" fillId="6" borderId="7" xfId="0" applyFont="1" applyFill="1" applyBorder="1" applyAlignment="1">
      <alignment horizontal="center" vertical="center" wrapText="1"/>
    </xf>
    <xf numFmtId="0" fontId="5" fillId="6" borderId="3" xfId="0" applyFont="1" applyFill="1" applyBorder="1" applyAlignment="1">
      <alignment horizontal="left" vertical="center" wrapText="1"/>
    </xf>
    <xf numFmtId="0" fontId="5" fillId="6" borderId="18" xfId="0" applyFont="1" applyFill="1" applyBorder="1" applyAlignment="1">
      <alignment horizontal="left" vertical="top" wrapText="1"/>
    </xf>
    <xf numFmtId="0" fontId="5" fillId="8" borderId="7" xfId="0" applyFont="1" applyFill="1" applyBorder="1" applyAlignment="1">
      <alignment horizontal="center" vertical="center" wrapText="1"/>
    </xf>
    <xf numFmtId="0" fontId="2" fillId="0" borderId="17" xfId="0" applyFont="1" applyBorder="1" applyAlignment="1">
      <alignment horizontal="center" vertical="center"/>
    </xf>
    <xf numFmtId="0" fontId="2" fillId="8" borderId="0" xfId="0" applyFont="1" applyFill="1" applyAlignment="1">
      <alignment horizontal="left" vertical="center"/>
    </xf>
    <xf numFmtId="0" fontId="2" fillId="3" borderId="8" xfId="0" applyFont="1" applyFill="1" applyBorder="1" applyAlignment="1">
      <alignment vertical="center" wrapText="1"/>
    </xf>
    <xf numFmtId="0" fontId="2" fillId="3" borderId="0" xfId="0" applyFont="1" applyFill="1" applyAlignment="1">
      <alignment horizontal="center" vertical="center"/>
    </xf>
    <xf numFmtId="0" fontId="5" fillId="3" borderId="0" xfId="0" applyFont="1" applyFill="1" applyAlignment="1">
      <alignment vertical="center"/>
    </xf>
    <xf numFmtId="0" fontId="5" fillId="3" borderId="15" xfId="0" applyFont="1" applyFill="1" applyBorder="1" applyAlignment="1">
      <alignment horizontal="center" vertical="center" wrapText="1"/>
    </xf>
    <xf numFmtId="0" fontId="5" fillId="6" borderId="7" xfId="0" applyFont="1" applyFill="1" applyBorder="1" applyAlignment="1">
      <alignment horizontal="center" vertical="center"/>
    </xf>
    <xf numFmtId="0" fontId="2" fillId="8" borderId="1" xfId="0" applyFont="1" applyFill="1" applyBorder="1" applyAlignment="1">
      <alignment horizontal="center" vertical="center"/>
    </xf>
    <xf numFmtId="0" fontId="5"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5" fillId="3" borderId="15" xfId="0" applyFont="1" applyFill="1" applyBorder="1" applyAlignment="1">
      <alignment vertical="center" wrapText="1"/>
    </xf>
    <xf numFmtId="0" fontId="2" fillId="8" borderId="18" xfId="0" applyFont="1" applyFill="1" applyBorder="1" applyAlignment="1">
      <alignment horizontal="left" vertical="top" wrapText="1"/>
    </xf>
    <xf numFmtId="0" fontId="5" fillId="6" borderId="3" xfId="0" applyFont="1" applyFill="1" applyBorder="1" applyAlignment="1">
      <alignment horizontal="left" vertical="top" wrapText="1"/>
    </xf>
    <xf numFmtId="0" fontId="2" fillId="8" borderId="3" xfId="0" applyFont="1" applyFill="1" applyBorder="1" applyAlignment="1">
      <alignment horizontal="left" vertical="top"/>
    </xf>
    <xf numFmtId="0" fontId="2" fillId="8" borderId="9" xfId="0" applyFont="1" applyFill="1" applyBorder="1" applyAlignment="1">
      <alignment horizontal="left" vertical="top"/>
    </xf>
    <xf numFmtId="0" fontId="2" fillId="8" borderId="7" xfId="0" applyFont="1" applyFill="1" applyBorder="1" applyAlignment="1">
      <alignment horizontal="left" vertical="top" wrapText="1"/>
    </xf>
    <xf numFmtId="0" fontId="11" fillId="0" borderId="0" xfId="0" applyFont="1"/>
    <xf numFmtId="0" fontId="2" fillId="3" borderId="15" xfId="0" applyFont="1" applyFill="1" applyBorder="1" applyAlignment="1">
      <alignment vertical="center"/>
    </xf>
    <xf numFmtId="0" fontId="2" fillId="8" borderId="11"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5" fillId="6" borderId="8" xfId="0" applyFont="1" applyFill="1" applyBorder="1" applyAlignment="1">
      <alignment horizontal="center" vertical="center"/>
    </xf>
    <xf numFmtId="0" fontId="5" fillId="6" borderId="3" xfId="0" applyFont="1" applyFill="1" applyBorder="1" applyAlignment="1">
      <alignment horizontal="center" vertical="top" wrapText="1"/>
    </xf>
    <xf numFmtId="0" fontId="2" fillId="0" borderId="8" xfId="0" applyFont="1" applyBorder="1" applyAlignment="1">
      <alignment horizontal="center" vertical="center"/>
    </xf>
    <xf numFmtId="0" fontId="5" fillId="3" borderId="11" xfId="0" applyFont="1" applyFill="1" applyBorder="1" applyAlignment="1">
      <alignment horizontal="left" vertical="top" wrapText="1"/>
    </xf>
    <xf numFmtId="0" fontId="5" fillId="3" borderId="11" xfId="0" applyFont="1" applyFill="1" applyBorder="1" applyAlignment="1">
      <alignment vertical="center" wrapText="1"/>
    </xf>
    <xf numFmtId="0" fontId="2" fillId="6" borderId="3" xfId="0" applyFont="1" applyFill="1" applyBorder="1" applyAlignment="1">
      <alignment horizontal="center" vertical="center"/>
    </xf>
    <xf numFmtId="0" fontId="5" fillId="8" borderId="20" xfId="0" applyFont="1" applyFill="1" applyBorder="1" applyAlignment="1">
      <alignment horizontal="center" vertical="center" wrapText="1"/>
    </xf>
    <xf numFmtId="0" fontId="11" fillId="0" borderId="11" xfId="0" applyFont="1" applyBorder="1" applyAlignment="1">
      <alignment wrapText="1"/>
    </xf>
    <xf numFmtId="0" fontId="4" fillId="0" borderId="11" xfId="0" applyFont="1" applyBorder="1" applyAlignment="1">
      <alignment wrapText="1"/>
    </xf>
    <xf numFmtId="0" fontId="2" fillId="8" borderId="11" xfId="0" applyFont="1" applyFill="1" applyBorder="1" applyAlignment="1">
      <alignment horizontal="center" vertical="top" wrapText="1"/>
    </xf>
    <xf numFmtId="0" fontId="5" fillId="6" borderId="11" xfId="0" applyFont="1" applyFill="1" applyBorder="1" applyAlignment="1">
      <alignment horizontal="center" vertical="center" wrapText="1"/>
    </xf>
    <xf numFmtId="0" fontId="5" fillId="6" borderId="11" xfId="0" applyFont="1" applyFill="1" applyBorder="1" applyAlignment="1">
      <alignment horizontal="left" vertical="top" wrapText="1"/>
    </xf>
    <xf numFmtId="0" fontId="2" fillId="6" borderId="11" xfId="0" applyFont="1" applyFill="1" applyBorder="1" applyAlignment="1">
      <alignment horizontal="center" vertical="center" wrapText="1"/>
    </xf>
    <xf numFmtId="0" fontId="11" fillId="0" borderId="11" xfId="0" applyFont="1" applyBorder="1" applyAlignment="1">
      <alignment vertical="center" wrapText="1"/>
    </xf>
    <xf numFmtId="0" fontId="2" fillId="5" borderId="11" xfId="0" applyFont="1" applyFill="1" applyBorder="1" applyAlignment="1">
      <alignment horizontal="center" vertical="center" wrapText="1"/>
    </xf>
    <xf numFmtId="0" fontId="5" fillId="3" borderId="7" xfId="0" applyFont="1" applyFill="1" applyBorder="1" applyAlignment="1">
      <alignment horizontal="left" vertical="center" wrapText="1"/>
    </xf>
    <xf numFmtId="0" fontId="5" fillId="8" borderId="11" xfId="0" applyFont="1" applyFill="1" applyBorder="1" applyAlignment="1">
      <alignment horizontal="center" vertical="center" wrapText="1"/>
    </xf>
    <xf numFmtId="0" fontId="2" fillId="16" borderId="11" xfId="0" applyFont="1" applyFill="1" applyBorder="1" applyAlignment="1">
      <alignment horizontal="center" vertical="center" wrapText="1"/>
    </xf>
    <xf numFmtId="0" fontId="2" fillId="16" borderId="11" xfId="0" applyFont="1" applyFill="1" applyBorder="1" applyAlignment="1">
      <alignment horizontal="left" vertical="center" wrapText="1"/>
    </xf>
    <xf numFmtId="0" fontId="11" fillId="0" borderId="11" xfId="0" applyFont="1" applyBorder="1" applyAlignment="1">
      <alignment vertical="center"/>
    </xf>
    <xf numFmtId="0" fontId="5" fillId="6" borderId="11" xfId="0" applyFont="1" applyFill="1" applyBorder="1" applyAlignment="1">
      <alignment horizontal="left" vertical="center" wrapText="1"/>
    </xf>
    <xf numFmtId="0" fontId="5" fillId="16" borderId="11" xfId="0" applyFont="1" applyFill="1" applyBorder="1" applyAlignment="1">
      <alignment horizontal="center" vertical="center" wrapText="1"/>
    </xf>
    <xf numFmtId="0" fontId="2" fillId="8" borderId="21" xfId="0" applyFont="1" applyFill="1" applyBorder="1" applyAlignment="1">
      <alignment horizontal="center" vertical="center" wrapText="1"/>
    </xf>
    <xf numFmtId="0" fontId="5" fillId="16" borderId="11" xfId="0" applyFont="1" applyFill="1" applyBorder="1" applyAlignment="1">
      <alignment horizontal="left" vertical="center" wrapText="1"/>
    </xf>
    <xf numFmtId="0" fontId="4" fillId="0" borderId="11" xfId="0" applyFont="1" applyBorder="1" applyAlignment="1">
      <alignment vertical="center"/>
    </xf>
    <xf numFmtId="0" fontId="5" fillId="8" borderId="11" xfId="0" applyFont="1" applyFill="1" applyBorder="1" applyAlignment="1">
      <alignment horizontal="left" vertical="center" wrapText="1"/>
    </xf>
    <xf numFmtId="0" fontId="5" fillId="6" borderId="11" xfId="0" applyFont="1" applyFill="1" applyBorder="1" applyAlignment="1">
      <alignment horizontal="center" vertical="center"/>
    </xf>
    <xf numFmtId="0" fontId="5" fillId="16" borderId="11" xfId="0" applyFont="1" applyFill="1" applyBorder="1" applyAlignment="1">
      <alignment horizontal="center" vertical="center"/>
    </xf>
    <xf numFmtId="0" fontId="2" fillId="11" borderId="11" xfId="0" applyFont="1" applyFill="1" applyBorder="1" applyAlignment="1">
      <alignment horizontal="center" vertical="center" wrapText="1"/>
    </xf>
    <xf numFmtId="0" fontId="2" fillId="11" borderId="11" xfId="0" applyFont="1" applyFill="1" applyBorder="1" applyAlignment="1">
      <alignment horizontal="left" vertical="center" wrapText="1"/>
    </xf>
    <xf numFmtId="0" fontId="5" fillId="11" borderId="11" xfId="0" applyFont="1" applyFill="1" applyBorder="1" applyAlignment="1">
      <alignment horizontal="left" vertical="center" wrapText="1"/>
    </xf>
    <xf numFmtId="0" fontId="17" fillId="3" borderId="3" xfId="0" applyFont="1" applyFill="1" applyBorder="1" applyAlignment="1">
      <alignment horizontal="left" vertical="top" wrapText="1"/>
    </xf>
    <xf numFmtId="0" fontId="5" fillId="3" borderId="3" xfId="0" applyFont="1" applyFill="1" applyBorder="1" applyAlignment="1">
      <alignment horizontal="center" vertical="top" wrapText="1"/>
    </xf>
    <xf numFmtId="0" fontId="2" fillId="0" borderId="3" xfId="0" applyFont="1" applyBorder="1" applyAlignment="1">
      <alignment horizontal="center"/>
    </xf>
    <xf numFmtId="0" fontId="2" fillId="8" borderId="3" xfId="0" applyFont="1" applyFill="1" applyBorder="1" applyAlignment="1">
      <alignment horizontal="center"/>
    </xf>
    <xf numFmtId="0" fontId="5" fillId="8" borderId="3" xfId="0" applyFont="1" applyFill="1" applyBorder="1" applyAlignment="1">
      <alignment horizontal="center"/>
    </xf>
    <xf numFmtId="0" fontId="2" fillId="8" borderId="22" xfId="0" applyFont="1" applyFill="1" applyBorder="1" applyAlignment="1">
      <alignment horizontal="center"/>
    </xf>
    <xf numFmtId="0" fontId="5" fillId="8" borderId="3" xfId="0" applyFont="1" applyFill="1" applyBorder="1" applyAlignment="1">
      <alignment horizontal="left"/>
    </xf>
    <xf numFmtId="0" fontId="5" fillId="0" borderId="23" xfId="0" applyFont="1" applyBorder="1" applyAlignment="1">
      <alignment horizontal="left" vertical="top"/>
    </xf>
    <xf numFmtId="0" fontId="2" fillId="8" borderId="22" xfId="0" applyFont="1" applyFill="1" applyBorder="1" applyAlignment="1">
      <alignment horizontal="left" vertical="center" wrapText="1"/>
    </xf>
    <xf numFmtId="0" fontId="2" fillId="0" borderId="22" xfId="0" applyFont="1" applyBorder="1" applyAlignment="1">
      <alignment horizontal="center"/>
    </xf>
    <xf numFmtId="0" fontId="5" fillId="6" borderId="21" xfId="0" applyFont="1" applyFill="1" applyBorder="1" applyAlignment="1">
      <alignment horizontal="center" vertical="center" wrapText="1"/>
    </xf>
    <xf numFmtId="0" fontId="5" fillId="6" borderId="11" xfId="0" applyFont="1" applyFill="1" applyBorder="1" applyAlignment="1">
      <alignment horizontal="center" vertical="top" wrapText="1"/>
    </xf>
    <xf numFmtId="0" fontId="5" fillId="8" borderId="11" xfId="0" applyFont="1" applyFill="1" applyBorder="1" applyAlignment="1">
      <alignment horizontal="center" vertical="top" wrapText="1"/>
    </xf>
    <xf numFmtId="0" fontId="5" fillId="3" borderId="11" xfId="0" applyFont="1" applyFill="1" applyBorder="1" applyAlignment="1">
      <alignment horizontal="center" vertical="top" wrapText="1"/>
    </xf>
    <xf numFmtId="0" fontId="8" fillId="3" borderId="11" xfId="0" applyFont="1" applyFill="1" applyBorder="1" applyAlignment="1">
      <alignment horizontal="left" vertical="center" wrapText="1"/>
    </xf>
    <xf numFmtId="0" fontId="2" fillId="8" borderId="11" xfId="0" applyFont="1" applyFill="1" applyBorder="1" applyAlignment="1">
      <alignment horizontal="left" wrapText="1"/>
    </xf>
    <xf numFmtId="0" fontId="11" fillId="0" borderId="0" xfId="0" applyFont="1" applyAlignment="1">
      <alignment vertical="center" wrapText="1"/>
    </xf>
    <xf numFmtId="0" fontId="5" fillId="16" borderId="7" xfId="0" applyFont="1" applyFill="1" applyBorder="1" applyAlignment="1">
      <alignment horizontal="center" vertical="center" wrapText="1"/>
    </xf>
    <xf numFmtId="0" fontId="16" fillId="6" borderId="11" xfId="0" applyFont="1" applyFill="1" applyBorder="1" applyAlignment="1">
      <alignment horizontal="center" vertical="center"/>
    </xf>
    <xf numFmtId="0" fontId="5" fillId="16" borderId="3" xfId="0" applyFont="1" applyFill="1" applyBorder="1" applyAlignment="1">
      <alignment horizontal="left" vertical="center" wrapText="1"/>
    </xf>
    <xf numFmtId="0" fontId="2" fillId="16" borderId="3" xfId="0" applyFont="1" applyFill="1" applyBorder="1" applyAlignment="1">
      <alignment horizontal="center" vertical="center" wrapText="1"/>
    </xf>
    <xf numFmtId="0" fontId="16" fillId="8" borderId="11" xfId="0" applyFont="1" applyFill="1" applyBorder="1" applyAlignment="1">
      <alignment horizontal="center" vertical="center"/>
    </xf>
    <xf numFmtId="0" fontId="2" fillId="8" borderId="24" xfId="0" applyFont="1" applyFill="1" applyBorder="1" applyAlignment="1">
      <alignment horizontal="left" vertical="center" wrapText="1"/>
    </xf>
    <xf numFmtId="0" fontId="5" fillId="5" borderId="7" xfId="0" applyFont="1" applyFill="1" applyBorder="1" applyAlignment="1">
      <alignment horizontal="center" vertical="center" wrapText="1"/>
    </xf>
    <xf numFmtId="0" fontId="2" fillId="8" borderId="9" xfId="0" applyFont="1" applyFill="1" applyBorder="1" applyAlignment="1">
      <alignment horizontal="left" vertical="center" wrapText="1"/>
    </xf>
    <xf numFmtId="0" fontId="2" fillId="0" borderId="0" xfId="0" applyFont="1" applyAlignment="1">
      <alignment vertical="center"/>
    </xf>
    <xf numFmtId="0" fontId="2" fillId="0" borderId="7" xfId="0" applyFont="1" applyBorder="1" applyAlignment="1">
      <alignment horizontal="center" vertical="center"/>
    </xf>
    <xf numFmtId="0" fontId="5" fillId="3" borderId="7" xfId="0" applyFont="1" applyFill="1" applyBorder="1" applyAlignment="1">
      <alignment horizontal="left" vertical="top" wrapText="1"/>
    </xf>
    <xf numFmtId="0" fontId="5" fillId="5" borderId="25" xfId="0" applyFont="1" applyFill="1" applyBorder="1" applyAlignment="1">
      <alignment horizontal="center" vertical="center" wrapText="1"/>
    </xf>
    <xf numFmtId="0" fontId="5" fillId="8" borderId="25" xfId="0" applyFont="1" applyFill="1" applyBorder="1" applyAlignment="1">
      <alignment horizontal="center" vertical="center" wrapText="1"/>
    </xf>
    <xf numFmtId="0" fontId="5" fillId="5" borderId="25" xfId="0" applyFont="1" applyFill="1" applyBorder="1" applyAlignment="1">
      <alignment horizontal="center" vertical="center"/>
    </xf>
    <xf numFmtId="0" fontId="5" fillId="8" borderId="25" xfId="0" applyFont="1" applyFill="1" applyBorder="1" applyAlignment="1">
      <alignment horizontal="center" vertical="center"/>
    </xf>
    <xf numFmtId="0" fontId="13" fillId="0" borderId="22" xfId="0" applyFont="1" applyBorder="1" applyAlignment="1">
      <alignment horizontal="center" vertical="center" wrapText="1"/>
    </xf>
    <xf numFmtId="0" fontId="5" fillId="8" borderId="3" xfId="0" applyFont="1" applyFill="1" applyBorder="1" applyAlignment="1">
      <alignment horizontal="center" vertical="top" wrapText="1"/>
    </xf>
    <xf numFmtId="0" fontId="5" fillId="8" borderId="8" xfId="0" applyFont="1" applyFill="1" applyBorder="1" applyAlignment="1">
      <alignment horizontal="center" vertical="center" wrapText="1"/>
    </xf>
    <xf numFmtId="0" fontId="5" fillId="9" borderId="7" xfId="0" applyFont="1" applyFill="1" applyBorder="1" applyAlignment="1">
      <alignment horizontal="left" vertical="center" wrapText="1"/>
    </xf>
    <xf numFmtId="0" fontId="5" fillId="9" borderId="7" xfId="0" applyFont="1" applyFill="1" applyBorder="1" applyAlignment="1">
      <alignment horizontal="center" vertical="center" wrapText="1"/>
    </xf>
    <xf numFmtId="0" fontId="2" fillId="11" borderId="17" xfId="0" applyFont="1" applyFill="1" applyBorder="1" applyAlignment="1">
      <alignment horizontal="left" vertical="center" wrapText="1"/>
    </xf>
    <xf numFmtId="0" fontId="2" fillId="0" borderId="0" xfId="0" applyFont="1" applyAlignment="1">
      <alignment vertical="center" wrapText="1"/>
    </xf>
    <xf numFmtId="0" fontId="2" fillId="8" borderId="23" xfId="0" applyFont="1" applyFill="1" applyBorder="1" applyAlignment="1">
      <alignment horizontal="left" vertical="center" wrapText="1"/>
    </xf>
    <xf numFmtId="0" fontId="2" fillId="9" borderId="7" xfId="0" applyFont="1" applyFill="1" applyBorder="1" applyAlignment="1">
      <alignment horizontal="center" vertical="center" wrapText="1"/>
    </xf>
    <xf numFmtId="0" fontId="5" fillId="9" borderId="17" xfId="0" applyFont="1" applyFill="1" applyBorder="1" applyAlignment="1">
      <alignment horizontal="left" vertical="center" wrapText="1"/>
    </xf>
    <xf numFmtId="0" fontId="11" fillId="8" borderId="0" xfId="0" applyFont="1" applyFill="1" applyAlignment="1">
      <alignment vertical="center" wrapText="1"/>
    </xf>
    <xf numFmtId="0" fontId="2" fillId="8" borderId="26" xfId="0" applyFont="1" applyFill="1" applyBorder="1" applyAlignment="1">
      <alignment horizontal="left" vertical="center" wrapText="1"/>
    </xf>
    <xf numFmtId="0" fontId="2" fillId="0" borderId="17" xfId="0" applyFont="1" applyBorder="1" applyAlignment="1">
      <alignment horizontal="left" vertical="center" wrapText="1"/>
    </xf>
    <xf numFmtId="0" fontId="2" fillId="3" borderId="3" xfId="0" applyFont="1" applyFill="1" applyBorder="1" applyAlignment="1">
      <alignment horizontal="left" vertical="center" wrapText="1"/>
    </xf>
    <xf numFmtId="0" fontId="2" fillId="17" borderId="1" xfId="0" applyFont="1" applyFill="1" applyBorder="1" applyAlignment="1">
      <alignment horizontal="center" vertical="center"/>
    </xf>
    <xf numFmtId="0" fontId="21" fillId="18" borderId="24" xfId="1" applyFill="1" applyBorder="1" applyAlignment="1">
      <alignment horizontal="center"/>
    </xf>
    <xf numFmtId="0" fontId="2" fillId="19" borderId="3" xfId="0" applyFont="1" applyFill="1" applyBorder="1" applyAlignment="1">
      <alignment horizontal="left" vertical="top" wrapText="1"/>
    </xf>
    <xf numFmtId="0" fontId="2" fillId="20" borderId="3" xfId="0" applyFont="1" applyFill="1" applyBorder="1" applyAlignment="1">
      <alignment horizontal="left" vertical="top" wrapText="1"/>
    </xf>
    <xf numFmtId="0" fontId="2" fillId="21" borderId="3" xfId="0" applyFont="1" applyFill="1" applyBorder="1" applyAlignment="1">
      <alignment horizontal="center" vertical="center" wrapText="1"/>
    </xf>
    <xf numFmtId="0" fontId="2" fillId="21" borderId="3" xfId="0" applyFont="1" applyFill="1" applyBorder="1" applyAlignment="1">
      <alignment horizontal="left" vertical="center" wrapText="1"/>
    </xf>
    <xf numFmtId="0" fontId="2" fillId="21" borderId="3" xfId="0" applyFont="1" applyFill="1" applyBorder="1" applyAlignment="1">
      <alignment horizontal="center" vertical="center"/>
    </xf>
    <xf numFmtId="0" fontId="0" fillId="21" borderId="0" xfId="0" applyFill="1"/>
    <xf numFmtId="0" fontId="5" fillId="22" borderId="3" xfId="0" applyFont="1" applyFill="1" applyBorder="1" applyAlignment="1">
      <alignment horizontal="left" vertical="center" wrapText="1"/>
    </xf>
    <xf numFmtId="0" fontId="2" fillId="0" borderId="0" xfId="0" applyFont="1" applyAlignment="1">
      <alignment horizontal="center" vertical="center"/>
    </xf>
    <xf numFmtId="0" fontId="0" fillId="0" borderId="0" xfId="0"/>
    <xf numFmtId="0" fontId="3" fillId="0" borderId="4" xfId="0" applyFont="1" applyBorder="1" applyAlignment="1">
      <alignment horizontal="center" vertical="center" wrapText="1"/>
    </xf>
    <xf numFmtId="0" fontId="7" fillId="0" borderId="5" xfId="0" applyFont="1" applyBorder="1"/>
    <xf numFmtId="0" fontId="7" fillId="0" borderId="6" xfId="0" applyFont="1" applyBorder="1"/>
    <xf numFmtId="0" fontId="8" fillId="0" borderId="4" xfId="0" applyFont="1" applyBorder="1" applyAlignment="1">
      <alignment horizontal="center" vertical="center" wrapText="1"/>
    </xf>
    <xf numFmtId="0" fontId="2" fillId="0" borderId="0" xfId="0" applyFont="1" applyAlignment="1">
      <alignment horizontal="center" vertical="center" wrapText="1"/>
    </xf>
    <xf numFmtId="0" fontId="5"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7" fillId="0" borderId="12" xfId="0" applyFont="1" applyBorder="1"/>
    <xf numFmtId="0" fontId="3" fillId="23" borderId="2" xfId="0" applyFont="1" applyFill="1" applyBorder="1" applyAlignment="1">
      <alignment horizontal="center" vertical="center"/>
    </xf>
  </cellXfs>
  <cellStyles count="2">
    <cellStyle name="Hipervínculo" xfId="1" builtinId="8"/>
    <cellStyle name="Normal" xfId="0" builtinId="0"/>
  </cellStyles>
  <dxfs count="135">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0" i="0">
                <a:solidFill>
                  <a:srgbClr val="0000FF"/>
                </a:solidFill>
                <a:latin typeface="Roboto"/>
              </a:defRPr>
            </a:pPr>
            <a:r>
              <a:rPr lang="es-CO"/>
              <a:t>Todos los servicios</a:t>
            </a:r>
          </a:p>
        </c:rich>
      </c:tx>
      <c:overlay val="0"/>
    </c:title>
    <c:autoTitleDeleted val="0"/>
    <c:plotArea>
      <c:layout/>
      <c:radarChart>
        <c:radarStyle val="marker"/>
        <c:varyColors val="1"/>
        <c:ser>
          <c:idx val="0"/>
          <c:order val="0"/>
          <c:tx>
            <c:strRef>
              <c:f>Consolidado!$G$3</c:f>
              <c:strCache>
                <c:ptCount val="1"/>
                <c:pt idx="0">
                  <c:v>Cumplimiento</c:v>
                </c:pt>
              </c:strCache>
            </c:strRef>
          </c:tx>
          <c:spPr>
            <a:ln w="9525" cmpd="sng">
              <a:solidFill>
                <a:srgbClr val="4285F4"/>
              </a:solidFill>
              <a:prstDash val="solid"/>
            </a:ln>
          </c:spPr>
          <c:marker>
            <c:symbol val="none"/>
          </c:marker>
          <c:cat>
            <c:strRef>
              <c:f>Consolidado!$B$4:$B$10</c:f>
              <c:strCache>
                <c:ptCount val="7"/>
                <c:pt idx="0">
                  <c:v>TS - Talento Humano</c:v>
                </c:pt>
                <c:pt idx="1">
                  <c:v>TS - Infraestructura</c:v>
                </c:pt>
                <c:pt idx="2">
                  <c:v>TS - Dotación</c:v>
                </c:pt>
                <c:pt idx="3">
                  <c:v>TS - Medicamentos, dispositivos médicos e insumos</c:v>
                </c:pt>
                <c:pt idx="4">
                  <c:v>TS -  Procesos prioritarios</c:v>
                </c:pt>
                <c:pt idx="5">
                  <c:v>TS - Historia clinica y registros</c:v>
                </c:pt>
                <c:pt idx="6">
                  <c:v>TS - Interdependencia</c:v>
                </c:pt>
              </c:strCache>
            </c:strRef>
          </c:cat>
          <c:val>
            <c:numRef>
              <c:f>Consolidado!$G$4:$G$10</c:f>
              <c:numCache>
                <c:formatCode>0.00%</c:formatCode>
                <c:ptCount val="7"/>
                <c:pt idx="0">
                  <c:v>0.95</c:v>
                </c:pt>
                <c:pt idx="1">
                  <c:v>6.024096385542169E-3</c:v>
                </c:pt>
                <c:pt idx="2">
                  <c:v>1.9607843137254902E-2</c:v>
                </c:pt>
                <c:pt idx="3">
                  <c:v>0.02</c:v>
                </c:pt>
                <c:pt idx="4">
                  <c:v>2.2222222222222223E-2</c:v>
                </c:pt>
                <c:pt idx="5">
                  <c:v>2.0408163265306121E-2</c:v>
                </c:pt>
                <c:pt idx="6">
                  <c:v>0.25</c:v>
                </c:pt>
              </c:numCache>
            </c:numRef>
          </c:val>
          <c:extLst>
            <c:ext xmlns:c16="http://schemas.microsoft.com/office/drawing/2014/chart" uri="{C3380CC4-5D6E-409C-BE32-E72D297353CC}">
              <c16:uniqueId val="{00000000-899E-744B-91D7-734F87C75E93}"/>
            </c:ext>
          </c:extLst>
        </c:ser>
        <c:dLbls>
          <c:showLegendKey val="0"/>
          <c:showVal val="0"/>
          <c:showCatName val="0"/>
          <c:showSerName val="0"/>
          <c:showPercent val="0"/>
          <c:showBubbleSize val="0"/>
        </c:dLbls>
        <c:axId val="137064120"/>
        <c:axId val="179358264"/>
      </c:radarChart>
      <c:catAx>
        <c:axId val="137064120"/>
        <c:scaling>
          <c:orientation val="minMax"/>
        </c:scaling>
        <c:delete val="0"/>
        <c:axPos val="b"/>
        <c:numFmt formatCode="General" sourceLinked="1"/>
        <c:majorTickMark val="cross"/>
        <c:minorTickMark val="cross"/>
        <c:tickLblPos val="nextTo"/>
        <c:crossAx val="179358264"/>
        <c:crosses val="autoZero"/>
        <c:auto val="1"/>
        <c:lblAlgn val="ctr"/>
        <c:lblOffset val="100"/>
        <c:noMultiLvlLbl val="1"/>
      </c:catAx>
      <c:valAx>
        <c:axId val="179358264"/>
        <c:scaling>
          <c:orientation val="minMax"/>
          <c:max val="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endParaRPr lang="es-CO"/>
              </a:p>
            </c:rich>
          </c:tx>
          <c:overlay val="0"/>
        </c:title>
        <c:numFmt formatCode="0.00%" sourceLinked="1"/>
        <c:majorTickMark val="cross"/>
        <c:minorTickMark val="cross"/>
        <c:tickLblPos val="nextTo"/>
        <c:spPr>
          <a:ln w="47625">
            <a:noFill/>
          </a:ln>
        </c:spPr>
        <c:txPr>
          <a:bodyPr rot="0"/>
          <a:lstStyle/>
          <a:p>
            <a:pPr lvl="0">
              <a:defRPr b="0" i="0">
                <a:solidFill>
                  <a:srgbClr val="000000"/>
                </a:solidFill>
                <a:latin typeface="Roboto"/>
              </a:defRPr>
            </a:pPr>
            <a:endParaRPr lang="es-CO"/>
          </a:p>
        </c:txPr>
        <c:crossAx val="137064120"/>
        <c:crosses val="autoZero"/>
        <c:crossBetween val="between"/>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consulta externa</a:t>
            </a:r>
          </a:p>
        </c:rich>
      </c:tx>
      <c:overlay val="0"/>
    </c:title>
    <c:autoTitleDeleted val="0"/>
    <c:plotArea>
      <c:layout/>
      <c:barChart>
        <c:barDir val="bar"/>
        <c:grouping val="percentStacked"/>
        <c:varyColors val="1"/>
        <c:ser>
          <c:idx val="0"/>
          <c:order val="0"/>
          <c:tx>
            <c:strRef>
              <c:f>Consolidado!$D$23</c:f>
              <c:strCache>
                <c:ptCount val="1"/>
                <c:pt idx="0">
                  <c:v>C</c:v>
                </c:pt>
              </c:strCache>
            </c:strRef>
          </c:tx>
          <c:spPr>
            <a:solidFill>
              <a:srgbClr val="5B9BD5"/>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Consolidado!$D$24:$D$27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116-9F47-8520-F9AC8606B79D}"/>
            </c:ext>
          </c:extLst>
        </c:ser>
        <c:ser>
          <c:idx val="1"/>
          <c:order val="1"/>
          <c:tx>
            <c:strRef>
              <c:f>Consolidado!$E$23</c:f>
              <c:strCache>
                <c:ptCount val="1"/>
                <c:pt idx="0">
                  <c:v>NC</c:v>
                </c:pt>
              </c:strCache>
            </c:strRef>
          </c:tx>
          <c:spPr>
            <a:solidFill>
              <a:srgbClr val="ED7D31"/>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Consolidado!$E$24:$E$27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9116-9F47-8520-F9AC8606B79D}"/>
            </c:ext>
          </c:extLst>
        </c:ser>
        <c:ser>
          <c:idx val="2"/>
          <c:order val="2"/>
          <c:tx>
            <c:strRef>
              <c:f>Consolidado!$F$23</c:f>
              <c:strCache>
                <c:ptCount val="1"/>
                <c:pt idx="0">
                  <c:v>NA</c:v>
                </c:pt>
              </c:strCache>
            </c:strRef>
          </c:tx>
          <c:spPr>
            <a:solidFill>
              <a:srgbClr val="A5A5A5"/>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Consolidado!$F$24:$F$27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9116-9F47-8520-F9AC8606B79D}"/>
            </c:ext>
          </c:extLst>
        </c:ser>
        <c:dLbls>
          <c:showLegendKey val="0"/>
          <c:showVal val="0"/>
          <c:showCatName val="0"/>
          <c:showSerName val="0"/>
          <c:showPercent val="0"/>
          <c:showBubbleSize val="0"/>
        </c:dLbls>
        <c:gapWidth val="150"/>
        <c:overlap val="100"/>
        <c:axId val="179359440"/>
        <c:axId val="179360616"/>
      </c:barChart>
      <c:catAx>
        <c:axId val="179359440"/>
        <c:scaling>
          <c:orientation val="maxMin"/>
        </c:scaling>
        <c:delete val="0"/>
        <c:axPos val="l"/>
        <c:title>
          <c:tx>
            <c:rich>
              <a:bodyPr/>
              <a:lstStyle/>
              <a:p>
                <a:pPr lvl="0">
                  <a:defRPr b="0">
                    <a:solidFill>
                      <a:srgbClr val="000000"/>
                    </a:solidFill>
                    <a:latin typeface="+mn-lt"/>
                  </a:defRPr>
                </a:pPr>
                <a:r>
                  <a:rPr lang="es-CO"/>
                  <a:t>Grupo consulta externa</a:t>
                </a:r>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60616"/>
        <c:crosses val="autoZero"/>
        <c:auto val="1"/>
        <c:lblAlgn val="ctr"/>
        <c:lblOffset val="100"/>
        <c:noMultiLvlLbl val="1"/>
      </c:catAx>
      <c:valAx>
        <c:axId val="1793606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O"/>
                  <a:t>Cumplimiento</a:t>
                </a:r>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9440"/>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apoyo diagnóstico y complement. terap.</a:t>
            </a:r>
          </a:p>
        </c:rich>
      </c:tx>
      <c:overlay val="0"/>
    </c:title>
    <c:autoTitleDeleted val="0"/>
    <c:plotArea>
      <c:layout/>
      <c:barChart>
        <c:barDir val="bar"/>
        <c:grouping val="percentStacked"/>
        <c:varyColors val="1"/>
        <c:ser>
          <c:idx val="0"/>
          <c:order val="0"/>
          <c:tx>
            <c:strRef>
              <c:f>Consolidado!$D$40</c:f>
              <c:strCache>
                <c:ptCount val="1"/>
                <c:pt idx="0">
                  <c:v>C</c:v>
                </c:pt>
              </c:strCache>
            </c:strRef>
          </c:tx>
          <c:spPr>
            <a:solidFill>
              <a:srgbClr val="5B9BD5"/>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Consolidado!$D$41:$D$63</c:f>
              <c:numCache>
                <c:formatCode>General</c:formatCode>
                <c:ptCount val="2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2</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2A5-944F-B0D4-4CDD58ECBBCD}"/>
            </c:ext>
          </c:extLst>
        </c:ser>
        <c:ser>
          <c:idx val="1"/>
          <c:order val="1"/>
          <c:tx>
            <c:strRef>
              <c:f>Consolidado!$E$40</c:f>
              <c:strCache>
                <c:ptCount val="1"/>
                <c:pt idx="0">
                  <c:v>NC</c:v>
                </c:pt>
              </c:strCache>
            </c:strRef>
          </c:tx>
          <c:spPr>
            <a:solidFill>
              <a:srgbClr val="ED7D31"/>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Consolidado!$E$41:$E$63</c:f>
              <c:numCache>
                <c:formatCode>General</c:formatCode>
                <c:ptCount val="2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0</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92A5-944F-B0D4-4CDD58ECBBCD}"/>
            </c:ext>
          </c:extLst>
        </c:ser>
        <c:ser>
          <c:idx val="2"/>
          <c:order val="2"/>
          <c:tx>
            <c:strRef>
              <c:f>Consolidado!$F$40</c:f>
              <c:strCache>
                <c:ptCount val="1"/>
                <c:pt idx="0">
                  <c:v>NA</c:v>
                </c:pt>
              </c:strCache>
            </c:strRef>
          </c:tx>
          <c:spPr>
            <a:solidFill>
              <a:srgbClr val="A5A5A5"/>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Consolidado!$F$41:$F$63</c:f>
              <c:numCache>
                <c:formatCode>General</c:formatCode>
                <c:ptCount val="2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92A5-944F-B0D4-4CDD58ECBBCD}"/>
            </c:ext>
          </c:extLst>
        </c:ser>
        <c:dLbls>
          <c:showLegendKey val="0"/>
          <c:showVal val="0"/>
          <c:showCatName val="0"/>
          <c:showSerName val="0"/>
          <c:showPercent val="0"/>
          <c:showBubbleSize val="0"/>
        </c:dLbls>
        <c:gapWidth val="150"/>
        <c:overlap val="100"/>
        <c:axId val="179357872"/>
        <c:axId val="179361008"/>
      </c:barChart>
      <c:catAx>
        <c:axId val="179357872"/>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61008"/>
        <c:crosses val="autoZero"/>
        <c:auto val="1"/>
        <c:lblAlgn val="ctr"/>
        <c:lblOffset val="100"/>
        <c:noMultiLvlLbl val="1"/>
      </c:catAx>
      <c:valAx>
        <c:axId val="1793610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7872"/>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internación</a:t>
            </a:r>
          </a:p>
        </c:rich>
      </c:tx>
      <c:overlay val="0"/>
    </c:title>
    <c:autoTitleDeleted val="0"/>
    <c:plotArea>
      <c:layout/>
      <c:barChart>
        <c:barDir val="bar"/>
        <c:grouping val="percentStacked"/>
        <c:varyColors val="1"/>
        <c:ser>
          <c:idx val="0"/>
          <c:order val="0"/>
          <c:tx>
            <c:strRef>
              <c:f>Consolidado!$D$66</c:f>
              <c:strCache>
                <c:ptCount val="1"/>
                <c:pt idx="0">
                  <c:v>C</c:v>
                </c:pt>
              </c:strCache>
            </c:strRef>
          </c:tx>
          <c:spPr>
            <a:solidFill>
              <a:srgbClr val="5B9BD5"/>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Consolidado!$D$67:$D$78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648-BF4E-9842-774554DB05FC}"/>
            </c:ext>
          </c:extLst>
        </c:ser>
        <c:ser>
          <c:idx val="1"/>
          <c:order val="1"/>
          <c:tx>
            <c:strRef>
              <c:f>Consolidado!$E$66</c:f>
              <c:strCache>
                <c:ptCount val="1"/>
                <c:pt idx="0">
                  <c:v>NC</c:v>
                </c:pt>
              </c:strCache>
            </c:strRef>
          </c:tx>
          <c:spPr>
            <a:solidFill>
              <a:srgbClr val="ED7D31"/>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Consolidado!$E$67:$E$78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648-BF4E-9842-774554DB05FC}"/>
            </c:ext>
          </c:extLst>
        </c:ser>
        <c:ser>
          <c:idx val="2"/>
          <c:order val="2"/>
          <c:tx>
            <c:strRef>
              <c:f>Consolidado!$F$66</c:f>
              <c:strCache>
                <c:ptCount val="1"/>
                <c:pt idx="0">
                  <c:v>NA</c:v>
                </c:pt>
              </c:strCache>
            </c:strRef>
          </c:tx>
          <c:spPr>
            <a:solidFill>
              <a:srgbClr val="A5A5A5"/>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Consolidado!$F$67:$F$78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C648-BF4E-9842-774554DB05FC}"/>
            </c:ext>
          </c:extLst>
        </c:ser>
        <c:dLbls>
          <c:showLegendKey val="0"/>
          <c:showVal val="0"/>
          <c:showCatName val="0"/>
          <c:showSerName val="0"/>
          <c:showPercent val="0"/>
          <c:showBubbleSize val="0"/>
        </c:dLbls>
        <c:gapWidth val="150"/>
        <c:overlap val="100"/>
        <c:axId val="179355520"/>
        <c:axId val="179355912"/>
      </c:barChart>
      <c:catAx>
        <c:axId val="179355520"/>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55912"/>
        <c:crosses val="autoZero"/>
        <c:auto val="1"/>
        <c:lblAlgn val="ctr"/>
        <c:lblOffset val="100"/>
        <c:noMultiLvlLbl val="1"/>
      </c:catAx>
      <c:valAx>
        <c:axId val="1793559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5520"/>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quirúrgico</a:t>
            </a:r>
          </a:p>
        </c:rich>
      </c:tx>
      <c:overlay val="0"/>
    </c:title>
    <c:autoTitleDeleted val="0"/>
    <c:plotArea>
      <c:layout/>
      <c:barChart>
        <c:barDir val="bar"/>
        <c:grouping val="percentStacked"/>
        <c:varyColors val="1"/>
        <c:ser>
          <c:idx val="0"/>
          <c:order val="0"/>
          <c:tx>
            <c:strRef>
              <c:f>Consolidado!$D$90</c:f>
              <c:strCache>
                <c:ptCount val="1"/>
                <c:pt idx="0">
                  <c:v>C</c:v>
                </c:pt>
              </c:strCache>
            </c:strRef>
          </c:tx>
          <c:spPr>
            <a:solidFill>
              <a:srgbClr val="5B9BD5"/>
            </a:solidFill>
          </c:spPr>
          <c:invertIfNegative val="1"/>
          <c:cat>
            <c:strRef>
              <c:f>Consolidado!$B$91</c:f>
              <c:strCache>
                <c:ptCount val="1"/>
                <c:pt idx="0">
                  <c:v>Servicio de cirugía</c:v>
                </c:pt>
              </c:strCache>
            </c:strRef>
          </c:cat>
          <c:val>
            <c:numRef>
              <c:f>Consolidado!$D$91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874-EE4E-8E3F-CE6B412099D9}"/>
            </c:ext>
          </c:extLst>
        </c:ser>
        <c:ser>
          <c:idx val="1"/>
          <c:order val="1"/>
          <c:tx>
            <c:strRef>
              <c:f>Consolidado!$E$90</c:f>
              <c:strCache>
                <c:ptCount val="1"/>
                <c:pt idx="0">
                  <c:v>NC</c:v>
                </c:pt>
              </c:strCache>
            </c:strRef>
          </c:tx>
          <c:spPr>
            <a:solidFill>
              <a:srgbClr val="ED7D31"/>
            </a:solidFill>
          </c:spPr>
          <c:invertIfNegative val="1"/>
          <c:cat>
            <c:strRef>
              <c:f>Consolidado!$B$91</c:f>
              <c:strCache>
                <c:ptCount val="1"/>
                <c:pt idx="0">
                  <c:v>Servicio de cirugía</c:v>
                </c:pt>
              </c:strCache>
            </c:strRef>
          </c:cat>
          <c:val>
            <c:numRef>
              <c:f>Consolidado!$E$91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874-EE4E-8E3F-CE6B412099D9}"/>
            </c:ext>
          </c:extLst>
        </c:ser>
        <c:ser>
          <c:idx val="2"/>
          <c:order val="2"/>
          <c:tx>
            <c:strRef>
              <c:f>Consolidado!$F$90</c:f>
              <c:strCache>
                <c:ptCount val="1"/>
                <c:pt idx="0">
                  <c:v>NA</c:v>
                </c:pt>
              </c:strCache>
            </c:strRef>
          </c:tx>
          <c:spPr>
            <a:solidFill>
              <a:srgbClr val="A5A5A5"/>
            </a:solidFill>
          </c:spPr>
          <c:invertIfNegative val="1"/>
          <c:cat>
            <c:strRef>
              <c:f>Consolidado!$B$91</c:f>
              <c:strCache>
                <c:ptCount val="1"/>
                <c:pt idx="0">
                  <c:v>Servicio de cirugía</c:v>
                </c:pt>
              </c:strCache>
            </c:strRef>
          </c:cat>
          <c:val>
            <c:numRef>
              <c:f>Consolidado!$F$91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D874-EE4E-8E3F-CE6B412099D9}"/>
            </c:ext>
          </c:extLst>
        </c:ser>
        <c:dLbls>
          <c:showLegendKey val="0"/>
          <c:showVal val="0"/>
          <c:showCatName val="0"/>
          <c:showSerName val="0"/>
          <c:showPercent val="0"/>
          <c:showBubbleSize val="0"/>
        </c:dLbls>
        <c:gapWidth val="150"/>
        <c:overlap val="100"/>
        <c:axId val="179362576"/>
        <c:axId val="179361792"/>
      </c:barChart>
      <c:catAx>
        <c:axId val="179362576"/>
        <c:scaling>
          <c:orientation val="maxMin"/>
        </c:scaling>
        <c:delete val="0"/>
        <c:axPos val="l"/>
        <c:title>
          <c:tx>
            <c:rich>
              <a:bodyPr/>
              <a:lstStyle/>
              <a:p>
                <a:pPr lvl="0">
                  <a:defRPr b="0">
                    <a:solidFill>
                      <a:srgbClr val="000000"/>
                    </a:solidFill>
                    <a:latin typeface="+mn-lt"/>
                  </a:defRPr>
                </a:pPr>
                <a:r>
                  <a:rPr lang="es-CO"/>
                  <a:t>Grupo quirúrgico</a:t>
                </a:r>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61792"/>
        <c:crosses val="autoZero"/>
        <c:auto val="1"/>
        <c:lblAlgn val="ctr"/>
        <c:lblOffset val="100"/>
        <c:noMultiLvlLbl val="1"/>
      </c:catAx>
      <c:valAx>
        <c:axId val="1793617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O"/>
                  <a:t>Servicio de cirugía</a:t>
                </a:r>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62576"/>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atención inmediata</a:t>
            </a:r>
          </a:p>
        </c:rich>
      </c:tx>
      <c:overlay val="0"/>
    </c:title>
    <c:autoTitleDeleted val="0"/>
    <c:plotArea>
      <c:layout/>
      <c:barChart>
        <c:barDir val="bar"/>
        <c:grouping val="percentStacked"/>
        <c:varyColors val="1"/>
        <c:ser>
          <c:idx val="0"/>
          <c:order val="0"/>
          <c:tx>
            <c:strRef>
              <c:f>Consolidado!$D$106</c:f>
              <c:strCache>
                <c:ptCount val="1"/>
                <c:pt idx="0">
                  <c:v>C</c:v>
                </c:pt>
              </c:strCache>
            </c:strRef>
          </c:tx>
          <c:spPr>
            <a:solidFill>
              <a:srgbClr val="5B9BD5"/>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Consolidado!$D$107:$D$110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2DE-6F41-A15D-AE9E64047D46}"/>
            </c:ext>
          </c:extLst>
        </c:ser>
        <c:ser>
          <c:idx val="1"/>
          <c:order val="1"/>
          <c:tx>
            <c:strRef>
              <c:f>Consolidado!$E$106</c:f>
              <c:strCache>
                <c:ptCount val="1"/>
                <c:pt idx="0">
                  <c:v>NC</c:v>
                </c:pt>
              </c:strCache>
            </c:strRef>
          </c:tx>
          <c:spPr>
            <a:solidFill>
              <a:srgbClr val="ED7D31"/>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Consolidado!$E$107:$E$110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B2DE-6F41-A15D-AE9E64047D46}"/>
            </c:ext>
          </c:extLst>
        </c:ser>
        <c:ser>
          <c:idx val="2"/>
          <c:order val="2"/>
          <c:tx>
            <c:strRef>
              <c:f>Consolidado!$F$106</c:f>
              <c:strCache>
                <c:ptCount val="1"/>
                <c:pt idx="0">
                  <c:v>NA</c:v>
                </c:pt>
              </c:strCache>
            </c:strRef>
          </c:tx>
          <c:spPr>
            <a:solidFill>
              <a:srgbClr val="A5A5A5"/>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Consolidado!$F$107:$F$110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B2DE-6F41-A15D-AE9E64047D46}"/>
            </c:ext>
          </c:extLst>
        </c:ser>
        <c:dLbls>
          <c:showLegendKey val="0"/>
          <c:showVal val="0"/>
          <c:showCatName val="0"/>
          <c:showSerName val="0"/>
          <c:showPercent val="0"/>
          <c:showBubbleSize val="0"/>
        </c:dLbls>
        <c:gapWidth val="150"/>
        <c:overlap val="100"/>
        <c:axId val="179357088"/>
        <c:axId val="356034944"/>
      </c:barChart>
      <c:catAx>
        <c:axId val="179357088"/>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356034944"/>
        <c:crosses val="autoZero"/>
        <c:auto val="1"/>
        <c:lblAlgn val="ctr"/>
        <c:lblOffset val="100"/>
        <c:noMultiLvlLbl val="1"/>
      </c:catAx>
      <c:valAx>
        <c:axId val="3560349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7088"/>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232410</xdr:rowOff>
    </xdr:from>
    <xdr:to>
      <xdr:col>5</xdr:col>
      <xdr:colOff>142875</xdr:colOff>
      <xdr:row>8</xdr:row>
      <xdr:rowOff>175260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232410</xdr:rowOff>
    </xdr:from>
    <xdr:to>
      <xdr:col>5</xdr:col>
      <xdr:colOff>142875</xdr:colOff>
      <xdr:row>8</xdr:row>
      <xdr:rowOff>175260</xdr:rowOff>
    </xdr:to>
    <xdr:sp macro="" textlink="">
      <xdr:nvSpPr>
        <xdr:cNvPr id="1025" name="Text Box 1" hidden="1">
          <a:extLst>
            <a:ext uri="{FF2B5EF4-FFF2-40B4-BE49-F238E27FC236}">
              <a16:creationId xmlns:a16="http://schemas.microsoft.com/office/drawing/2014/main" id="{00000000-0008-0000-0000-000001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314325</xdr:colOff>
      <xdr:row>0</xdr:row>
      <xdr:rowOff>28575</xdr:rowOff>
    </xdr:from>
    <xdr:ext cx="5924550" cy="4133850"/>
    <xdr:graphicFrame macro="">
      <xdr:nvGraphicFramePr>
        <xdr:cNvPr id="2" name="Chart 1" title="Gráfico">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314325</xdr:colOff>
      <xdr:row>21</xdr:row>
      <xdr:rowOff>171450</xdr:rowOff>
    </xdr:from>
    <xdr:ext cx="6076950" cy="2933700"/>
    <xdr:graphicFrame macro="">
      <xdr:nvGraphicFramePr>
        <xdr:cNvPr id="3" name="Chart 2" title="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314325</xdr:colOff>
      <xdr:row>38</xdr:row>
      <xdr:rowOff>161925</xdr:rowOff>
    </xdr:from>
    <xdr:ext cx="8134350" cy="5038725"/>
    <xdr:graphicFrame macro="">
      <xdr:nvGraphicFramePr>
        <xdr:cNvPr id="4" name="Chart 3" title="Gráfico">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314325</xdr:colOff>
      <xdr:row>64</xdr:row>
      <xdr:rowOff>171450</xdr:rowOff>
    </xdr:from>
    <xdr:ext cx="7858125" cy="4391025"/>
    <xdr:graphicFrame macro="">
      <xdr:nvGraphicFramePr>
        <xdr:cNvPr id="5" name="Chart 4" title="Gráfico">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314325</xdr:colOff>
      <xdr:row>88</xdr:row>
      <xdr:rowOff>161925</xdr:rowOff>
    </xdr:from>
    <xdr:ext cx="4219575" cy="2628900"/>
    <xdr:graphicFrame macro="">
      <xdr:nvGraphicFramePr>
        <xdr:cNvPr id="6" name="Chart 5" title="Gráfico">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314325</xdr:colOff>
      <xdr:row>104</xdr:row>
      <xdr:rowOff>161925</xdr:rowOff>
    </xdr:from>
    <xdr:ext cx="5715000" cy="3486150"/>
    <xdr:graphicFrame macro="">
      <xdr:nvGraphicFramePr>
        <xdr:cNvPr id="7" name="Chart 6" title="Gráfico">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
  <sheetViews>
    <sheetView showGridLines="0" tabSelected="1" workbookViewId="0">
      <selection activeCell="B6" sqref="B6"/>
    </sheetView>
  </sheetViews>
  <sheetFormatPr baseColWidth="10" defaultColWidth="14.44140625" defaultRowHeight="15" customHeight="1" x14ac:dyDescent="0.3"/>
  <cols>
    <col min="1" max="1" width="27" customWidth="1"/>
    <col min="2" max="2" width="88.109375" customWidth="1"/>
    <col min="3" max="3" width="11.44140625" customWidth="1"/>
    <col min="4" max="4" width="13.21875" customWidth="1"/>
    <col min="5" max="23" width="10.77734375" customWidth="1"/>
  </cols>
  <sheetData>
    <row r="1" spans="1:3" ht="15" customHeight="1" x14ac:dyDescent="0.3"/>
    <row r="2" spans="1:3" ht="26.25" customHeight="1" x14ac:dyDescent="0.3">
      <c r="A2" s="288" t="s">
        <v>1</v>
      </c>
      <c r="B2" s="3" t="s">
        <v>2</v>
      </c>
      <c r="C2" s="1" t="s">
        <v>3</v>
      </c>
    </row>
    <row r="3" spans="1:3" ht="26.25" customHeight="1" x14ac:dyDescent="0.3">
      <c r="A3" s="280" t="s">
        <v>4</v>
      </c>
      <c r="B3" s="7" t="s">
        <v>6</v>
      </c>
      <c r="C3" s="8" t="s">
        <v>8</v>
      </c>
    </row>
    <row r="4" spans="1:3" ht="26.25" customHeight="1" x14ac:dyDescent="0.3">
      <c r="A4" s="281"/>
      <c r="B4" s="7" t="s">
        <v>14</v>
      </c>
      <c r="C4" s="8" t="s">
        <v>15</v>
      </c>
    </row>
    <row r="5" spans="1:3" ht="26.25" customHeight="1" x14ac:dyDescent="0.3">
      <c r="A5" s="281"/>
      <c r="B5" s="7" t="s">
        <v>17</v>
      </c>
      <c r="C5" s="8" t="s">
        <v>18</v>
      </c>
    </row>
    <row r="6" spans="1:3" ht="26.25" customHeight="1" x14ac:dyDescent="0.3">
      <c r="A6" s="281"/>
      <c r="B6" s="7" t="s">
        <v>21</v>
      </c>
      <c r="C6" s="8" t="s">
        <v>22</v>
      </c>
    </row>
    <row r="7" spans="1:3" ht="26.25" customHeight="1" x14ac:dyDescent="0.3">
      <c r="A7" s="281"/>
      <c r="B7" s="7" t="s">
        <v>25</v>
      </c>
      <c r="C7" s="8" t="s">
        <v>26</v>
      </c>
    </row>
    <row r="8" spans="1:3" ht="26.25" customHeight="1" x14ac:dyDescent="0.3">
      <c r="A8" s="281"/>
      <c r="B8" s="7" t="s">
        <v>28</v>
      </c>
      <c r="C8" s="8" t="s">
        <v>29</v>
      </c>
    </row>
    <row r="9" spans="1:3" ht="26.25" customHeight="1" x14ac:dyDescent="0.3">
      <c r="A9" s="282"/>
      <c r="B9" s="7" t="s">
        <v>31</v>
      </c>
      <c r="C9" s="8">
        <v>79</v>
      </c>
    </row>
    <row r="10" spans="1:3" ht="26.25" customHeight="1" x14ac:dyDescent="0.3">
      <c r="A10" s="280" t="s">
        <v>34</v>
      </c>
      <c r="B10" s="7" t="s">
        <v>36</v>
      </c>
      <c r="C10" s="8" t="s">
        <v>38</v>
      </c>
    </row>
    <row r="11" spans="1:3" ht="26.25" customHeight="1" x14ac:dyDescent="0.3">
      <c r="A11" s="281"/>
      <c r="B11" s="7" t="s">
        <v>40</v>
      </c>
      <c r="C11" s="8" t="s">
        <v>41</v>
      </c>
    </row>
    <row r="12" spans="1:3" ht="26.25" customHeight="1" x14ac:dyDescent="0.3">
      <c r="A12" s="281"/>
      <c r="B12" s="7" t="s">
        <v>43</v>
      </c>
      <c r="C12" s="8" t="s">
        <v>45</v>
      </c>
    </row>
    <row r="13" spans="1:3" ht="26.25" customHeight="1" x14ac:dyDescent="0.3">
      <c r="A13" s="282"/>
      <c r="B13" s="7" t="s">
        <v>47</v>
      </c>
      <c r="C13" s="8" t="s">
        <v>49</v>
      </c>
    </row>
    <row r="14" spans="1:3" ht="26.25" customHeight="1" x14ac:dyDescent="0.3">
      <c r="A14" s="280" t="s">
        <v>51</v>
      </c>
      <c r="B14" s="7" t="s">
        <v>53</v>
      </c>
      <c r="C14" s="8" t="s">
        <v>54</v>
      </c>
    </row>
    <row r="15" spans="1:3" ht="26.25" customHeight="1" x14ac:dyDescent="0.3">
      <c r="A15" s="281"/>
      <c r="B15" s="7" t="s">
        <v>56</v>
      </c>
      <c r="C15" s="8" t="s">
        <v>57</v>
      </c>
    </row>
    <row r="16" spans="1:3" ht="26.25" customHeight="1" x14ac:dyDescent="0.3">
      <c r="A16" s="281"/>
      <c r="B16" s="7" t="s">
        <v>59</v>
      </c>
      <c r="C16" s="8" t="s">
        <v>60</v>
      </c>
    </row>
    <row r="17" spans="1:3" ht="26.25" customHeight="1" x14ac:dyDescent="0.3">
      <c r="A17" s="281"/>
      <c r="B17" s="7" t="s">
        <v>62</v>
      </c>
      <c r="C17" s="8" t="s">
        <v>63</v>
      </c>
    </row>
    <row r="18" spans="1:3" ht="26.25" customHeight="1" x14ac:dyDescent="0.3">
      <c r="A18" s="281"/>
      <c r="B18" s="7" t="s">
        <v>69</v>
      </c>
      <c r="C18" s="8" t="s">
        <v>71</v>
      </c>
    </row>
    <row r="19" spans="1:3" ht="26.25" customHeight="1" x14ac:dyDescent="0.3">
      <c r="A19" s="281"/>
      <c r="B19" s="7" t="s">
        <v>72</v>
      </c>
      <c r="C19" s="8" t="s">
        <v>73</v>
      </c>
    </row>
    <row r="20" spans="1:3" ht="26.25" customHeight="1" x14ac:dyDescent="0.3">
      <c r="A20" s="281"/>
      <c r="B20" s="7" t="s">
        <v>74</v>
      </c>
      <c r="C20" s="8" t="s">
        <v>76</v>
      </c>
    </row>
    <row r="21" spans="1:3" ht="26.25" customHeight="1" x14ac:dyDescent="0.3">
      <c r="A21" s="281"/>
      <c r="B21" s="7" t="s">
        <v>77</v>
      </c>
      <c r="C21" s="8" t="s">
        <v>78</v>
      </c>
    </row>
    <row r="22" spans="1:3" ht="26.25" customHeight="1" x14ac:dyDescent="0.3">
      <c r="A22" s="281"/>
      <c r="B22" s="7" t="s">
        <v>79</v>
      </c>
      <c r="C22" s="8" t="s">
        <v>80</v>
      </c>
    </row>
    <row r="23" spans="1:3" ht="26.25" customHeight="1" x14ac:dyDescent="0.3">
      <c r="A23" s="281"/>
      <c r="B23" s="7" t="s">
        <v>82</v>
      </c>
      <c r="C23" s="8" t="s">
        <v>83</v>
      </c>
    </row>
    <row r="24" spans="1:3" ht="26.25" customHeight="1" x14ac:dyDescent="0.3">
      <c r="A24" s="281"/>
      <c r="B24" s="7" t="s">
        <v>85</v>
      </c>
      <c r="C24" s="8"/>
    </row>
    <row r="25" spans="1:3" ht="26.25" customHeight="1" x14ac:dyDescent="0.3">
      <c r="A25" s="281"/>
      <c r="B25" s="7" t="s">
        <v>86</v>
      </c>
      <c r="C25" s="8" t="s">
        <v>87</v>
      </c>
    </row>
    <row r="26" spans="1:3" ht="26.25" customHeight="1" x14ac:dyDescent="0.3">
      <c r="A26" s="281"/>
      <c r="B26" s="7" t="s">
        <v>88</v>
      </c>
      <c r="C26" s="8" t="s">
        <v>89</v>
      </c>
    </row>
    <row r="27" spans="1:3" ht="26.25" customHeight="1" x14ac:dyDescent="0.3">
      <c r="A27" s="281"/>
      <c r="B27" s="7" t="s">
        <v>90</v>
      </c>
      <c r="C27" s="8" t="s">
        <v>91</v>
      </c>
    </row>
    <row r="28" spans="1:3" ht="26.25" customHeight="1" x14ac:dyDescent="0.3">
      <c r="A28" s="281"/>
      <c r="B28" s="7" t="s">
        <v>92</v>
      </c>
      <c r="C28" s="8" t="s">
        <v>93</v>
      </c>
    </row>
    <row r="29" spans="1:3" ht="26.25" customHeight="1" x14ac:dyDescent="0.3">
      <c r="A29" s="281"/>
      <c r="B29" s="7" t="s">
        <v>94</v>
      </c>
      <c r="C29" s="8" t="s">
        <v>95</v>
      </c>
    </row>
    <row r="30" spans="1:3" ht="26.25" customHeight="1" x14ac:dyDescent="0.3">
      <c r="A30" s="282"/>
      <c r="B30" s="7" t="s">
        <v>96</v>
      </c>
      <c r="C30" s="8" t="s">
        <v>97</v>
      </c>
    </row>
    <row r="31" spans="1:3" ht="26.25" customHeight="1" x14ac:dyDescent="0.3">
      <c r="A31" s="283" t="s">
        <v>98</v>
      </c>
      <c r="B31" s="7" t="s">
        <v>99</v>
      </c>
      <c r="C31" s="8" t="s">
        <v>100</v>
      </c>
    </row>
    <row r="32" spans="1:3" ht="26.25" customHeight="1" x14ac:dyDescent="0.3">
      <c r="A32" s="281"/>
      <c r="B32" s="7" t="s">
        <v>101</v>
      </c>
      <c r="C32" s="8" t="s">
        <v>102</v>
      </c>
    </row>
    <row r="33" spans="1:3" ht="26.25" customHeight="1" x14ac:dyDescent="0.3">
      <c r="A33" s="281"/>
      <c r="B33" s="7" t="s">
        <v>103</v>
      </c>
      <c r="C33" s="8" t="s">
        <v>104</v>
      </c>
    </row>
    <row r="34" spans="1:3" ht="26.25" customHeight="1" x14ac:dyDescent="0.3">
      <c r="A34" s="281"/>
      <c r="B34" s="7" t="s">
        <v>105</v>
      </c>
      <c r="C34" s="8" t="s">
        <v>106</v>
      </c>
    </row>
    <row r="35" spans="1:3" ht="26.25" customHeight="1" x14ac:dyDescent="0.3">
      <c r="A35" s="281"/>
      <c r="B35" s="7" t="s">
        <v>107</v>
      </c>
      <c r="C35" s="8" t="s">
        <v>108</v>
      </c>
    </row>
    <row r="36" spans="1:3" ht="26.25" customHeight="1" x14ac:dyDescent="0.3">
      <c r="A36" s="281"/>
      <c r="B36" s="7" t="s">
        <v>109</v>
      </c>
      <c r="C36" s="8" t="s">
        <v>110</v>
      </c>
    </row>
    <row r="37" spans="1:3" ht="26.25" customHeight="1" x14ac:dyDescent="0.3">
      <c r="A37" s="281"/>
      <c r="B37" s="7" t="s">
        <v>111</v>
      </c>
      <c r="C37" s="8" t="s">
        <v>112</v>
      </c>
    </row>
    <row r="38" spans="1:3" ht="26.25" customHeight="1" x14ac:dyDescent="0.3">
      <c r="A38" s="281"/>
      <c r="B38" s="7" t="s">
        <v>113</v>
      </c>
      <c r="C38" s="8" t="s">
        <v>114</v>
      </c>
    </row>
    <row r="39" spans="1:3" ht="26.25" customHeight="1" x14ac:dyDescent="0.3">
      <c r="A39" s="281"/>
      <c r="B39" s="7" t="s">
        <v>115</v>
      </c>
      <c r="C39" s="8" t="s">
        <v>116</v>
      </c>
    </row>
    <row r="40" spans="1:3" ht="35.25" customHeight="1" x14ac:dyDescent="0.3">
      <c r="A40" s="281"/>
      <c r="B40" s="7" t="s">
        <v>117</v>
      </c>
      <c r="C40" s="8" t="s">
        <v>118</v>
      </c>
    </row>
    <row r="41" spans="1:3" ht="26.25" customHeight="1" x14ac:dyDescent="0.3">
      <c r="A41" s="281"/>
      <c r="B41" s="7" t="s">
        <v>119</v>
      </c>
      <c r="C41" s="8" t="s">
        <v>120</v>
      </c>
    </row>
    <row r="42" spans="1:3" ht="36" customHeight="1" x14ac:dyDescent="0.3">
      <c r="A42" s="282"/>
      <c r="B42" s="7" t="s">
        <v>121</v>
      </c>
      <c r="C42" s="8" t="s">
        <v>122</v>
      </c>
    </row>
    <row r="43" spans="1:3" ht="33.75" customHeight="1" x14ac:dyDescent="0.3">
      <c r="A43" s="16" t="s">
        <v>123</v>
      </c>
      <c r="B43" s="7" t="s">
        <v>124</v>
      </c>
      <c r="C43" s="8" t="s">
        <v>125</v>
      </c>
    </row>
    <row r="44" spans="1:3" ht="26.25" customHeight="1" x14ac:dyDescent="0.3">
      <c r="A44" s="280" t="s">
        <v>126</v>
      </c>
      <c r="B44" s="7" t="s">
        <v>127</v>
      </c>
      <c r="C44" s="8" t="s">
        <v>128</v>
      </c>
    </row>
    <row r="45" spans="1:3" ht="26.25" customHeight="1" x14ac:dyDescent="0.3">
      <c r="A45" s="281"/>
      <c r="B45" s="7" t="s">
        <v>129</v>
      </c>
      <c r="C45" s="8" t="s">
        <v>130</v>
      </c>
    </row>
    <row r="46" spans="1:3" ht="26.25" customHeight="1" x14ac:dyDescent="0.3">
      <c r="A46" s="281"/>
      <c r="B46" s="7" t="s">
        <v>131</v>
      </c>
      <c r="C46" s="8" t="s">
        <v>132</v>
      </c>
    </row>
    <row r="47" spans="1:3" ht="26.25" customHeight="1" x14ac:dyDescent="0.3">
      <c r="A47" s="282"/>
      <c r="B47" s="7" t="s">
        <v>133</v>
      </c>
      <c r="C47" s="8" t="s">
        <v>134</v>
      </c>
    </row>
  </sheetData>
  <mergeCells count="5">
    <mergeCell ref="A3:A9"/>
    <mergeCell ref="A10:A13"/>
    <mergeCell ref="A14:A30"/>
    <mergeCell ref="A31:A42"/>
    <mergeCell ref="A44:A47"/>
  </mergeCells>
  <hyperlinks>
    <hyperlink ref="B3" location="11.1.1TH!A1" display="11.1.1 TALENTO HUMANO " xr:uid="{00000000-0004-0000-0000-000000000000}"/>
    <hyperlink ref="B4" location="11.1.2.INF!A1" display="11.1.2. INFRAESTRUCTURA " xr:uid="{00000000-0004-0000-0000-000001000000}"/>
    <hyperlink ref="B5" location="11.1.3.DOT!A1" display="11.1.3. DOTACIÓN " xr:uid="{00000000-0004-0000-0000-000002000000}"/>
    <hyperlink ref="B6" location="11.1.4MD!A1" display="11.1.4. MEDICAMENTOS, DISPOSITIVOS MÉDICOS E INSUMOS " xr:uid="{00000000-0004-0000-0000-000003000000}"/>
    <hyperlink ref="B7" location="11.1.5.PP!A1" display="11.1.5. PROCESOS PRIORITARIOS" xr:uid="{00000000-0004-0000-0000-000004000000}"/>
    <hyperlink ref="B8" location="11.1.6.HCR!A1" display="11.1.6. HISTORIA CLÍNICA Y REGISTROS" xr:uid="{00000000-0004-0000-0000-000005000000}"/>
    <hyperlink ref="B9" location="11.1.7INT!A1" display="11.1.7. INTERDEPENDENCIA" xr:uid="{00000000-0004-0000-0000-000006000000}"/>
    <hyperlink ref="B10" location="11.2.1.S_CE_G!A1" display="11.2.1. SERVICIO DE CONSULTA EXTERNA GENERAL" xr:uid="{00000000-0004-0000-0000-000007000000}"/>
    <hyperlink ref="B11" location="11.2.2.S_CE_E!A1" display="11.2.2. SERVICIO DE CONSULTA EXTERNA ESPECIALIZADA" xr:uid="{00000000-0004-0000-0000-000008000000}"/>
    <hyperlink ref="B12" location="11.2.3.S_CE_V!A1" display="11.2.3. SERVICIO DE VACUNACIÓN" xr:uid="{00000000-0004-0000-0000-000009000000}"/>
    <hyperlink ref="B13" location="11.2.4.S_CE_SST!A1" display="11.2.4. SERVICIO DE SEGURIDAD Y SALUD EN EL TRABAJO" xr:uid="{00000000-0004-0000-0000-00000A000000}"/>
    <hyperlink ref="B14" location="11.3.1.S_TR!A1" display="11.3.1. SERVICIO DE TERAPIAS" xr:uid="{00000000-0004-0000-0000-00000B000000}"/>
    <hyperlink ref="B15" location=" 11.3.2.SF!A1" display="11.3.2. SERVICIO FARMACÉUTICO" xr:uid="{00000000-0004-0000-0000-00000C000000}"/>
    <hyperlink ref="B16" location="11.3.3.S_Rx_OD!A1" display="11.3.3 SERVICIO DE RADIOLOGiA ODONTOLÓGICA" xr:uid="{00000000-0004-0000-0000-00000D000000}"/>
    <hyperlink ref="B17" location="11.3.4.S_IDx!A1" display="11.3.4 SERVICIO DE IMÁGENES DIAGNÓSTICAS" xr:uid="{00000000-0004-0000-0000-00000E000000}"/>
    <hyperlink ref="B18" location=" 11.3.5.S_MNuc!A1" display="11.3.5 SERVICIO DE MEDICINA NUCLEAR" xr:uid="{00000000-0004-0000-0000-00000F000000}"/>
    <hyperlink ref="B19" location="11.3.6.S_Radio!A1" display="11.3.6 SERVICIO DE RADIOTERAPIA" xr:uid="{00000000-0004-0000-0000-000010000000}"/>
    <hyperlink ref="B20" location="11.3.7.S_Quimio!A1" display="11.3.7 SERVICIO DE QUIMIOTERAPIA" xr:uid="{00000000-0004-0000-0000-000011000000}"/>
    <hyperlink ref="B22" location="11.3.9S_HI!A1" display="11.3.9 SERVICIO DE HEMODINAMIA E INTERVENCIONISMO" xr:uid="{00000000-0004-0000-0000-000012000000}"/>
    <hyperlink ref="B23" location="11.3.10 S_GPT!A1" display="11.3.10 SERVICIO DE GESTIÓN PRE TRANSFUSIONAL" xr:uid="{00000000-0004-0000-0000-000013000000}"/>
    <hyperlink ref="B24" location="11.3.11.S_TMLC!A1" display="11.3.11. SERVICIO DE TOMA DE MUESTRAS DE LABORATORIO CLÍNICO" xr:uid="{00000000-0004-0000-0000-000014000000}"/>
    <hyperlink ref="B25" location="11.3.12.S_LC!A1" display="11.3.12 SERVICIO DE LABORATORIO CLÍNICO" xr:uid="{00000000-0004-0000-0000-000015000000}"/>
    <hyperlink ref="B26" location=" 11.3.13 S_TM_CU!A1" display="11.3.13 SERVICIO DE TOMA DE MUESTRAS DE CUELLO UTERINO Y GINECOLÓGICAS" xr:uid="{00000000-0004-0000-0000-000016000000}"/>
    <hyperlink ref="B27" location="11.3.14.S_LCU!A1" display="11.3.14 SERVICIO DE LABORATORIO DE CITOLOGiAS CERVICO-UTERINAS" xr:uid="{00000000-0004-0000-0000-000017000000}"/>
    <hyperlink ref="B28" location="11.3.15.S_LHT!A1" display="11.3.15 SERVICIO DE LABORATORIO DE HISTOTECNOLOGIA" xr:uid="{00000000-0004-0000-0000-000018000000}"/>
    <hyperlink ref="B29" location="11.3.16.S_LPT!A1" display="11.3.16 SERVICIO DE PATOLOGÍA " xr:uid="{00000000-0004-0000-0000-000019000000}"/>
    <hyperlink ref="B30" location="11.3.17.S_Dial!A1" display="11.3.17 SERVICIO DE DIÁLISIS" xr:uid="{00000000-0004-0000-0000-00001A000000}"/>
    <hyperlink ref="B31" location="11.4.1.S_HP!A1" display="11.4.1 SERVICIO DE HOSPITALIZACIÓN" xr:uid="{00000000-0004-0000-0000-00001B000000}"/>
    <hyperlink ref="B32" location="11.4.2.S_HP_PC!A1" display="11.4.2 SERVICIO DE HOSPITALIZACIÓN PACIENTE CRÓNICO" xr:uid="{00000000-0004-0000-0000-00001C000000}"/>
    <hyperlink ref="B33" location="11.4.3.S_CBN!A1" display="11.4.3 SERVICIO DE CUIDADO BÁSICO NEONATAL" xr:uid="{00000000-0004-0000-0000-00001D000000}"/>
    <hyperlink ref="B34" location="11.4.4.S_CIN !A1" display="11.4.4 SERVICIO DE CUIDADO INTERMEDIO NEONATAL" xr:uid="{00000000-0004-0000-0000-00001E000000}"/>
    <hyperlink ref="B35" location="11.4.5.S_CINN!A1" display="11.4.5 SERVICIO DE CUIDADO INTENSIVO NEONATAL" xr:uid="{00000000-0004-0000-0000-00001F000000}"/>
    <hyperlink ref="B36" location="11.4.6. S_CINP!A1" display="11.4.6 SERVICIO DE CUIDADO INTERMEDIO PEDIÁTRICO" xr:uid="{00000000-0004-0000-0000-000020000000}"/>
    <hyperlink ref="B37" location="11.4.7.S_CIP!A1" display="11.4.7 SERVICIO DE CUIDADO INTENSIVO PEDIÁTRICO" xr:uid="{00000000-0004-0000-0000-000021000000}"/>
    <hyperlink ref="B38" location="11.4.8.S_CIMA!A1" display="11.4.8 SERVICIO DE CUIDADO INTERMEDIO ADULTO" xr:uid="{00000000-0004-0000-0000-000022000000}"/>
    <hyperlink ref="B39" location="11.4.9.S_CIA!A1" display="11.4.9 SERVICIO DE CUIDADO INTENSIVO ADULTOS" xr:uid="{00000000-0004-0000-0000-000023000000}"/>
    <hyperlink ref="B40" location="11.4.10.S_HSM CSP!A1" display="11.4.10 SERVICIO DE HOSPITALIZACIÓN EN SALUD MENTAL O CONSUMO DE SUSTANCIAS PSICOACTIVAS" xr:uid="{00000000-0004-0000-0000-000024000000}"/>
    <hyperlink ref="B41" location="11.4.11.S_HSP!A1" display="11.4.11 SERVICIO DE HOSPITALIZACIÓN PARCIAL" xr:uid="{00000000-0004-0000-0000-000025000000}"/>
    <hyperlink ref="B42" location="11.4.12.S_CB_CSP!A1" display="11.4.12 SERVICIO PARA EL CUIDADO BÁSICO DEL CONSUMO DE SUSTANCIAS PSICOACTIVAS" xr:uid="{00000000-0004-0000-0000-000026000000}"/>
    <hyperlink ref="B43" location="11.5.1.S_CX!A1" display="11.5.1 SERVICIO DE CIRUGÍA" xr:uid="{00000000-0004-0000-0000-000027000000}"/>
    <hyperlink ref="B44" location="11.6.1.S_UR!A1" display="11.6.1 SERVICIO DE URGENCIAS" xr:uid="{00000000-0004-0000-0000-000028000000}"/>
    <hyperlink ref="B45" location="11.6.2.S_TR_AS!A1" display="11.6.2 SERVICIO DE TRANSPORTE ASISTENCIAL" xr:uid="{00000000-0004-0000-0000-000029000000}"/>
    <hyperlink ref="B46" location="11.6.3.S_AT_PH!A1" display="11.6.3 SERVICIO ATENCIÓN PREHOSPITALARIA" xr:uid="{00000000-0004-0000-0000-00002A000000}"/>
    <hyperlink ref="B47" location="11.6.4.S_A.parto!A1" display="11.6.4 SERVICIO PARA LA ATENCIÓN DEL PARTO" xr:uid="{00000000-0004-0000-0000-00002B000000}"/>
    <hyperlink ref="B21" location="'11.3.8 S_Dx VASC'!A1" display="11.3.8 SERVICIO DE DIAGNÓSTICO VASCULAR" xr:uid="{00000000-0004-0000-0000-00002C000000}"/>
  </hyperlinks>
  <pageMargins left="0.7" right="0.7" top="0.75" bottom="0.75" header="0" footer="0"/>
  <pageSetup scale="85"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10"/>
  <sheetViews>
    <sheetView showGridLines="0" topLeftCell="A19" workbookViewId="0">
      <selection activeCell="B50" sqref="B50"/>
    </sheetView>
  </sheetViews>
  <sheetFormatPr baseColWidth="10" defaultColWidth="14.44140625" defaultRowHeight="15" customHeight="1" x14ac:dyDescent="0.3"/>
  <cols>
    <col min="1" max="1" width="2.6640625" customWidth="1"/>
    <col min="2" max="2" width="37" customWidth="1"/>
    <col min="3" max="3" width="12.6640625" customWidth="1"/>
    <col min="4" max="6" width="5.109375" customWidth="1"/>
    <col min="7" max="7" width="13.21875" customWidth="1"/>
    <col min="8" max="27" width="10.77734375" customWidth="1"/>
  </cols>
  <sheetData>
    <row r="3" spans="2:7" ht="28.8" x14ac:dyDescent="0.3">
      <c r="B3" s="27" t="s">
        <v>147</v>
      </c>
      <c r="C3" s="28" t="s">
        <v>149</v>
      </c>
      <c r="D3" s="28" t="s">
        <v>16</v>
      </c>
      <c r="E3" s="28" t="s">
        <v>20</v>
      </c>
      <c r="F3" s="28" t="s">
        <v>24</v>
      </c>
      <c r="G3" s="28" t="s">
        <v>151</v>
      </c>
    </row>
    <row r="4" spans="2:7" ht="14.4" x14ac:dyDescent="0.3">
      <c r="B4" s="29" t="s">
        <v>152</v>
      </c>
      <c r="C4" s="30">
        <v>21</v>
      </c>
      <c r="D4" s="30">
        <f>'11.1.1TH'!C30</f>
        <v>19</v>
      </c>
      <c r="E4" s="30">
        <f>'11.1.1TH'!C31</f>
        <v>1</v>
      </c>
      <c r="F4" s="30">
        <f>'11.1.1TH'!C32</f>
        <v>1</v>
      </c>
      <c r="G4" s="33">
        <f t="shared" ref="G4:G10" si="0">D4/(C4-F4)</f>
        <v>0.95</v>
      </c>
    </row>
    <row r="5" spans="2:7" ht="14.4" x14ac:dyDescent="0.3">
      <c r="B5" s="29" t="s">
        <v>158</v>
      </c>
      <c r="C5" s="34">
        <v>167</v>
      </c>
      <c r="D5" s="30">
        <f>'11.1.2.INF'!C202</f>
        <v>1</v>
      </c>
      <c r="E5" s="30">
        <f>'11.1.2.INF'!C203</f>
        <v>1</v>
      </c>
      <c r="F5" s="30">
        <f>'11.1.2.INF'!C204</f>
        <v>1</v>
      </c>
      <c r="G5" s="33">
        <f t="shared" si="0"/>
        <v>6.024096385542169E-3</v>
      </c>
    </row>
    <row r="6" spans="2:7" ht="14.4" x14ac:dyDescent="0.3">
      <c r="B6" s="29" t="s">
        <v>163</v>
      </c>
      <c r="C6" s="34">
        <v>52</v>
      </c>
      <c r="D6" s="30">
        <f>'11.1.3.DOT'!C68</f>
        <v>1</v>
      </c>
      <c r="E6" s="30">
        <f>'11.1.3.DOT'!C69</f>
        <v>1</v>
      </c>
      <c r="F6" s="30">
        <f>'11.1.3.DOT'!C70</f>
        <v>1</v>
      </c>
      <c r="G6" s="33">
        <f t="shared" si="0"/>
        <v>1.9607843137254902E-2</v>
      </c>
    </row>
    <row r="7" spans="2:7" ht="28.8" x14ac:dyDescent="0.3">
      <c r="B7" s="35" t="s">
        <v>166</v>
      </c>
      <c r="C7" s="34">
        <v>51</v>
      </c>
      <c r="D7" s="30">
        <f>'11.1.4MD'!C65</f>
        <v>1</v>
      </c>
      <c r="E7" s="30">
        <f>'11.1.4MD'!C66</f>
        <v>1</v>
      </c>
      <c r="F7" s="30">
        <f>'11.1.4MD'!C67</f>
        <v>1</v>
      </c>
      <c r="G7" s="33">
        <f t="shared" si="0"/>
        <v>0.02</v>
      </c>
    </row>
    <row r="8" spans="2:7" ht="14.4" x14ac:dyDescent="0.3">
      <c r="B8" s="29" t="s">
        <v>169</v>
      </c>
      <c r="C8" s="34">
        <v>91</v>
      </c>
      <c r="D8" s="30">
        <f>'11.1.5.PP'!C115</f>
        <v>2</v>
      </c>
      <c r="E8" s="30">
        <f>'11.1.5.PP'!C116</f>
        <v>1</v>
      </c>
      <c r="F8" s="30">
        <f>'11.1.5.PP'!C117</f>
        <v>1</v>
      </c>
      <c r="G8" s="33">
        <f t="shared" si="0"/>
        <v>2.2222222222222223E-2</v>
      </c>
    </row>
    <row r="9" spans="2:7" ht="14.4" x14ac:dyDescent="0.3">
      <c r="B9" s="29" t="s">
        <v>171</v>
      </c>
      <c r="C9" s="34">
        <v>50</v>
      </c>
      <c r="D9" s="30">
        <f>'11.1.6.HCR'!C64</f>
        <v>1</v>
      </c>
      <c r="E9" s="30">
        <f>'11.1.6.HCR'!C65</f>
        <v>1</v>
      </c>
      <c r="F9" s="30">
        <f>'11.1.6.HCR'!C66</f>
        <v>1</v>
      </c>
      <c r="G9" s="33">
        <f t="shared" si="0"/>
        <v>2.0408163265306121E-2</v>
      </c>
    </row>
    <row r="10" spans="2:7" ht="14.4" x14ac:dyDescent="0.3">
      <c r="B10" s="29" t="s">
        <v>175</v>
      </c>
      <c r="C10" s="34">
        <v>5</v>
      </c>
      <c r="D10" s="30">
        <f>'11.1.7INT'!C12</f>
        <v>1</v>
      </c>
      <c r="E10" s="30">
        <f>'11.1.7INT'!C13</f>
        <v>1</v>
      </c>
      <c r="F10" s="30">
        <f>'11.1.7INT'!C14</f>
        <v>1</v>
      </c>
      <c r="G10" s="33">
        <f t="shared" si="0"/>
        <v>0.25</v>
      </c>
    </row>
    <row r="23" spans="2:7" ht="14.4" x14ac:dyDescent="0.3">
      <c r="B23" s="39" t="s">
        <v>186</v>
      </c>
      <c r="C23" s="28" t="s">
        <v>149</v>
      </c>
      <c r="D23" s="28" t="s">
        <v>16</v>
      </c>
      <c r="E23" s="28" t="s">
        <v>20</v>
      </c>
      <c r="F23" s="28" t="s">
        <v>24</v>
      </c>
      <c r="G23" s="28" t="s">
        <v>151</v>
      </c>
    </row>
    <row r="24" spans="2:7" ht="14.4" x14ac:dyDescent="0.3">
      <c r="B24" s="35" t="s">
        <v>189</v>
      </c>
      <c r="C24" s="34">
        <v>95</v>
      </c>
      <c r="D24" s="34">
        <f>'11.2.1.S_CE_G'!C161</f>
        <v>1</v>
      </c>
      <c r="E24" s="34">
        <f>'11.2.1.S_CE_G'!C162</f>
        <v>1</v>
      </c>
      <c r="F24" s="34">
        <f>'11.2.1.S_CE_G'!C163</f>
        <v>1</v>
      </c>
      <c r="G24" s="33">
        <f t="shared" ref="G24:G27" si="1">D24/(C24-F24)</f>
        <v>1.0638297872340425E-2</v>
      </c>
    </row>
    <row r="25" spans="2:7" ht="14.4" x14ac:dyDescent="0.3">
      <c r="B25" s="35" t="s">
        <v>193</v>
      </c>
      <c r="C25" s="34">
        <v>39</v>
      </c>
      <c r="D25" s="34">
        <f>'11.2.2.S_CE_E'!C94</f>
        <v>1</v>
      </c>
      <c r="E25" s="34">
        <f>'11.2.2.S_CE_E'!C95</f>
        <v>1</v>
      </c>
      <c r="F25" s="34">
        <f>'11.2.2.S_CE_E'!C96</f>
        <v>1</v>
      </c>
      <c r="G25" s="33">
        <f t="shared" si="1"/>
        <v>2.6315789473684209E-2</v>
      </c>
    </row>
    <row r="26" spans="2:7" ht="14.4" x14ac:dyDescent="0.3">
      <c r="B26" s="35" t="s">
        <v>196</v>
      </c>
      <c r="C26" s="34">
        <v>57</v>
      </c>
      <c r="D26" s="34">
        <f>'11.2.3.S_CE_V'!C84</f>
        <v>1</v>
      </c>
      <c r="E26" s="34">
        <f>'11.2.3.S_CE_V'!C85</f>
        <v>1</v>
      </c>
      <c r="F26" s="34">
        <f>'11.2.3.S_CE_V'!C86</f>
        <v>1</v>
      </c>
      <c r="G26" s="33">
        <f t="shared" si="1"/>
        <v>1.7857142857142856E-2</v>
      </c>
    </row>
    <row r="27" spans="2:7" ht="14.4" x14ac:dyDescent="0.3">
      <c r="B27" s="35" t="s">
        <v>199</v>
      </c>
      <c r="C27" s="34">
        <v>29</v>
      </c>
      <c r="D27" s="34">
        <f>'11.2.4.S_CE_SST'!C56</f>
        <v>1</v>
      </c>
      <c r="E27" s="34">
        <f>'11.2.4.S_CE_SST'!C57</f>
        <v>1</v>
      </c>
      <c r="F27" s="34">
        <f>'11.2.4.S_CE_SST'!C58</f>
        <v>1</v>
      </c>
      <c r="G27" s="33">
        <f t="shared" si="1"/>
        <v>3.5714285714285712E-2</v>
      </c>
    </row>
    <row r="40" spans="2:7" ht="32.25" customHeight="1" x14ac:dyDescent="0.3">
      <c r="B40" s="27" t="s">
        <v>208</v>
      </c>
      <c r="C40" s="28" t="s">
        <v>149</v>
      </c>
      <c r="D40" s="28" t="s">
        <v>16</v>
      </c>
      <c r="E40" s="28" t="s">
        <v>20</v>
      </c>
      <c r="F40" s="28" t="s">
        <v>24</v>
      </c>
      <c r="G40" s="28" t="s">
        <v>151</v>
      </c>
    </row>
    <row r="41" spans="2:7" ht="14.4" x14ac:dyDescent="0.3">
      <c r="B41" s="35" t="s">
        <v>210</v>
      </c>
      <c r="C41" s="34">
        <v>44</v>
      </c>
      <c r="D41" s="34">
        <f>'11.3.1.S_TR'!C80</f>
        <v>1</v>
      </c>
      <c r="E41" s="34">
        <f>'11.3.1.S_TR'!C81</f>
        <v>1</v>
      </c>
      <c r="F41" s="34">
        <f>'11.3.1.S_TR'!C82</f>
        <v>1</v>
      </c>
      <c r="G41" s="33">
        <f t="shared" ref="G41:G63" si="2">D41/(C41-F41)</f>
        <v>2.3255813953488372E-2</v>
      </c>
    </row>
    <row r="42" spans="2:7" ht="14.4" x14ac:dyDescent="0.3">
      <c r="B42" s="35" t="s">
        <v>214</v>
      </c>
      <c r="C42" s="34">
        <v>38</v>
      </c>
      <c r="D42" s="34">
        <f>' 11.3.2.SF'!C74</f>
        <v>1</v>
      </c>
      <c r="E42" s="34">
        <f>' 11.3.2.SF'!C75</f>
        <v>1</v>
      </c>
      <c r="F42" s="34">
        <f>' 11.3.2.SF'!C76</f>
        <v>1</v>
      </c>
      <c r="G42" s="33">
        <f t="shared" si="2"/>
        <v>2.7027027027027029E-2</v>
      </c>
    </row>
    <row r="43" spans="2:7" ht="14.4" x14ac:dyDescent="0.3">
      <c r="B43" s="35" t="s">
        <v>216</v>
      </c>
      <c r="C43" s="34">
        <v>44</v>
      </c>
      <c r="D43" s="34">
        <f>'11.3.3.S_Rx_OD'!C72</f>
        <v>1</v>
      </c>
      <c r="E43" s="34">
        <f>'11.3.3.S_Rx_OD'!C73</f>
        <v>1</v>
      </c>
      <c r="F43" s="34">
        <f>'11.3.3.S_Rx_OD'!C74</f>
        <v>1</v>
      </c>
      <c r="G43" s="33">
        <f t="shared" si="2"/>
        <v>2.3255813953488372E-2</v>
      </c>
    </row>
    <row r="44" spans="2:7" ht="14.4" x14ac:dyDescent="0.3">
      <c r="B44" s="35" t="s">
        <v>218</v>
      </c>
      <c r="C44" s="34">
        <f>88+31</f>
        <v>119</v>
      </c>
      <c r="D44" s="34">
        <f>'11.3.4.S_IDx'!C218</f>
        <v>1</v>
      </c>
      <c r="E44" s="34">
        <f>'11.3.4.S_IDx'!C219</f>
        <v>1</v>
      </c>
      <c r="F44" s="34">
        <f>'11.3.4.S_IDx'!C220</f>
        <v>1</v>
      </c>
      <c r="G44" s="33">
        <f t="shared" si="2"/>
        <v>8.4745762711864406E-3</v>
      </c>
    </row>
    <row r="45" spans="2:7" ht="14.4" x14ac:dyDescent="0.3">
      <c r="B45" s="35" t="s">
        <v>220</v>
      </c>
      <c r="C45" s="34">
        <v>63</v>
      </c>
      <c r="D45" s="34">
        <f>' 11.3.5.S_MNuc'!C102</f>
        <v>1</v>
      </c>
      <c r="E45" s="34">
        <f>' 11.3.5.S_MNuc'!C103</f>
        <v>1</v>
      </c>
      <c r="F45" s="34">
        <f>' 11.3.5.S_MNuc'!C104</f>
        <v>1</v>
      </c>
      <c r="G45" s="33">
        <f t="shared" si="2"/>
        <v>1.6129032258064516E-2</v>
      </c>
    </row>
    <row r="46" spans="2:7" ht="14.4" x14ac:dyDescent="0.3">
      <c r="B46" s="35" t="s">
        <v>223</v>
      </c>
      <c r="C46" s="34">
        <v>82</v>
      </c>
      <c r="D46" s="34">
        <f>'11.3.6.S_Radio'!C118</f>
        <v>1</v>
      </c>
      <c r="E46" s="34">
        <f>'11.3.6.S_Radio'!C119</f>
        <v>1</v>
      </c>
      <c r="F46" s="34">
        <f>'11.3.6.S_Radio'!C120</f>
        <v>1</v>
      </c>
      <c r="G46" s="33">
        <f t="shared" si="2"/>
        <v>1.2345679012345678E-2</v>
      </c>
    </row>
    <row r="47" spans="2:7" ht="14.4" x14ac:dyDescent="0.3">
      <c r="B47" s="35" t="s">
        <v>225</v>
      </c>
      <c r="C47" s="34">
        <v>80</v>
      </c>
      <c r="D47" s="34">
        <f>'11.3.7.S_Quimio'!C110</f>
        <v>1</v>
      </c>
      <c r="E47" s="34">
        <f>'11.3.7.S_Quimio'!C111</f>
        <v>1</v>
      </c>
      <c r="F47" s="34">
        <f>'11.3.7.S_Quimio'!C112</f>
        <v>1</v>
      </c>
      <c r="G47" s="33">
        <f t="shared" si="2"/>
        <v>1.2658227848101266E-2</v>
      </c>
    </row>
    <row r="48" spans="2:7" ht="14.4" x14ac:dyDescent="0.3">
      <c r="B48" s="35" t="s">
        <v>228</v>
      </c>
      <c r="C48" s="34">
        <v>33</v>
      </c>
      <c r="D48" s="34">
        <f>'11.3.8 S_Dx VASC'!C56</f>
        <v>1</v>
      </c>
      <c r="E48" s="34">
        <f>'11.3.8 S_Dx VASC'!C57</f>
        <v>1</v>
      </c>
      <c r="F48" s="34">
        <f>'11.3.8 S_Dx VASC'!C58</f>
        <v>1</v>
      </c>
      <c r="G48" s="33">
        <f t="shared" si="2"/>
        <v>3.125E-2</v>
      </c>
    </row>
    <row r="49" spans="2:7" ht="14.4" x14ac:dyDescent="0.3">
      <c r="B49" s="35" t="s">
        <v>230</v>
      </c>
      <c r="C49" s="34">
        <v>33</v>
      </c>
      <c r="D49" s="34">
        <f>'11.3.8 S_Dx VASC'!F56</f>
        <v>1</v>
      </c>
      <c r="E49" s="34">
        <f>'11.3.8 S_Dx VASC'!F57</f>
        <v>1</v>
      </c>
      <c r="F49" s="34">
        <f>'11.3.8 S_Dx VASC'!F58</f>
        <v>1</v>
      </c>
      <c r="G49" s="33">
        <f t="shared" si="2"/>
        <v>3.125E-2</v>
      </c>
    </row>
    <row r="50" spans="2:7" ht="14.4" x14ac:dyDescent="0.3">
      <c r="B50" s="35" t="s">
        <v>232</v>
      </c>
      <c r="C50" s="34">
        <v>33</v>
      </c>
      <c r="D50" s="34">
        <f>'11.3.8 S_Dx VASC'!I56</f>
        <v>1</v>
      </c>
      <c r="E50" s="34">
        <f>'11.3.8 S_Dx VASC'!I57</f>
        <v>1</v>
      </c>
      <c r="F50" s="34">
        <f>'11.3.8 S_Dx VASC'!I58</f>
        <v>1</v>
      </c>
      <c r="G50" s="33">
        <f t="shared" si="2"/>
        <v>3.125E-2</v>
      </c>
    </row>
    <row r="51" spans="2:7" ht="14.4" x14ac:dyDescent="0.3">
      <c r="B51" s="35" t="s">
        <v>236</v>
      </c>
      <c r="C51" s="34">
        <v>33</v>
      </c>
      <c r="D51" s="34">
        <f>'11.3.8 S_Dx VASC'!L56</f>
        <v>1</v>
      </c>
      <c r="E51" s="34">
        <f>'11.3.8 S_Dx VASC'!L57</f>
        <v>1</v>
      </c>
      <c r="F51" s="34">
        <f>'11.3.8 S_Dx VASC'!L58</f>
        <v>1</v>
      </c>
      <c r="G51" s="33">
        <f t="shared" si="2"/>
        <v>3.125E-2</v>
      </c>
    </row>
    <row r="52" spans="2:7" ht="14.4" x14ac:dyDescent="0.3">
      <c r="B52" s="35" t="s">
        <v>239</v>
      </c>
      <c r="C52" s="34">
        <v>33</v>
      </c>
      <c r="D52" s="34">
        <f>'11.3.8 S_Dx VASC'!O56</f>
        <v>1</v>
      </c>
      <c r="E52" s="34">
        <f>'11.3.8 S_Dx VASC'!O57</f>
        <v>1</v>
      </c>
      <c r="F52" s="34">
        <f>'11.3.8 S_Dx VASC'!O58</f>
        <v>1</v>
      </c>
      <c r="G52" s="33">
        <f t="shared" si="2"/>
        <v>3.125E-2</v>
      </c>
    </row>
    <row r="53" spans="2:7" ht="14.4" x14ac:dyDescent="0.3">
      <c r="B53" s="35" t="s">
        <v>242</v>
      </c>
      <c r="C53" s="34">
        <v>33</v>
      </c>
      <c r="D53" s="34">
        <f>'11.3.8 S_Dx VASC'!R56</f>
        <v>1</v>
      </c>
      <c r="E53" s="34">
        <f>'11.3.8 S_Dx VASC'!R57</f>
        <v>1</v>
      </c>
      <c r="F53" s="34">
        <f>'11.3.8 S_Dx VASC'!R58</f>
        <v>1</v>
      </c>
      <c r="G53" s="33">
        <f t="shared" si="2"/>
        <v>3.125E-2</v>
      </c>
    </row>
    <row r="54" spans="2:7" ht="14.4" x14ac:dyDescent="0.3">
      <c r="B54" s="35" t="s">
        <v>245</v>
      </c>
      <c r="C54" s="34">
        <v>33</v>
      </c>
      <c r="D54" s="34">
        <f>'11.3.8 S_Dx VASC'!U56</f>
        <v>1</v>
      </c>
      <c r="E54" s="34">
        <f>'11.3.8 S_Dx VASC'!U57</f>
        <v>1</v>
      </c>
      <c r="F54" s="34">
        <f>'11.3.8 S_Dx VASC'!U58</f>
        <v>1</v>
      </c>
      <c r="G54" s="33">
        <f t="shared" si="2"/>
        <v>3.125E-2</v>
      </c>
    </row>
    <row r="55" spans="2:7" ht="28.8" x14ac:dyDescent="0.3">
      <c r="B55" s="35" t="s">
        <v>248</v>
      </c>
      <c r="C55" s="34">
        <v>91</v>
      </c>
      <c r="D55" s="34">
        <f>'11.3.9S_HI'!C119</f>
        <v>1</v>
      </c>
      <c r="E55" s="34">
        <f>'11.3.9S_HI'!C120</f>
        <v>1</v>
      </c>
      <c r="F55" s="34">
        <f>'11.3.9S_HI'!C121</f>
        <v>1</v>
      </c>
      <c r="G55" s="33">
        <f t="shared" si="2"/>
        <v>1.1111111111111112E-2</v>
      </c>
    </row>
    <row r="56" spans="2:7" ht="14.4" x14ac:dyDescent="0.3">
      <c r="B56" s="35" t="s">
        <v>251</v>
      </c>
      <c r="C56" s="34">
        <v>40</v>
      </c>
      <c r="D56" s="34">
        <f>'11.3.10 S_GPT'!C50</f>
        <v>1</v>
      </c>
      <c r="E56" s="34">
        <f>'11.3.10 S_GPT'!C51</f>
        <v>1</v>
      </c>
      <c r="F56" s="34">
        <f>'11.3.10 S_GPT'!C52</f>
        <v>1</v>
      </c>
      <c r="G56" s="33">
        <f t="shared" si="2"/>
        <v>2.564102564102564E-2</v>
      </c>
    </row>
    <row r="57" spans="2:7" ht="28.8" x14ac:dyDescent="0.3">
      <c r="B57" s="35" t="s">
        <v>254</v>
      </c>
      <c r="C57" s="34">
        <v>29</v>
      </c>
      <c r="D57" s="34">
        <f>'11.3.11.S_TMLC'!C48</f>
        <v>1</v>
      </c>
      <c r="E57" s="34">
        <f>'11.3.11.S_TMLC'!C49</f>
        <v>1</v>
      </c>
      <c r="F57" s="34">
        <f>'11.3.11.S_TMLC'!C50</f>
        <v>1</v>
      </c>
      <c r="G57" s="33">
        <f t="shared" si="2"/>
        <v>3.5714285714285712E-2</v>
      </c>
    </row>
    <row r="58" spans="2:7" ht="14.4" x14ac:dyDescent="0.3">
      <c r="B58" s="35" t="s">
        <v>257</v>
      </c>
      <c r="C58" s="34">
        <v>59</v>
      </c>
      <c r="D58" s="34">
        <f>'11.3.12.S_LC'!C81</f>
        <v>1</v>
      </c>
      <c r="E58" s="34">
        <f>'11.3.12.S_LC'!C82</f>
        <v>1</v>
      </c>
      <c r="F58" s="34">
        <f>'11.3.12.S_LC'!C83</f>
        <v>1</v>
      </c>
      <c r="G58" s="33">
        <f t="shared" si="2"/>
        <v>1.7241379310344827E-2</v>
      </c>
    </row>
    <row r="59" spans="2:7" ht="28.8" x14ac:dyDescent="0.3">
      <c r="B59" s="35" t="s">
        <v>260</v>
      </c>
      <c r="C59" s="34">
        <v>42</v>
      </c>
      <c r="D59" s="34">
        <f>' 11.3.13 S_TM_CU'!C60</f>
        <v>2</v>
      </c>
      <c r="E59" s="34">
        <f>' 11.3.13 S_TM_CU'!C61</f>
        <v>0</v>
      </c>
      <c r="F59" s="34">
        <f>' 11.3.13 S_TM_CU'!C62</f>
        <v>1</v>
      </c>
      <c r="G59" s="33">
        <f t="shared" si="2"/>
        <v>4.878048780487805E-2</v>
      </c>
    </row>
    <row r="60" spans="2:7" ht="28.8" x14ac:dyDescent="0.3">
      <c r="B60" s="35" t="s">
        <v>263</v>
      </c>
      <c r="C60" s="34">
        <v>32</v>
      </c>
      <c r="D60" s="34">
        <f>'11.3.14.S_LCU'!C55</f>
        <v>1</v>
      </c>
      <c r="E60" s="34">
        <f>'11.3.14.S_LCU'!C56</f>
        <v>1</v>
      </c>
      <c r="F60" s="34">
        <f>'11.3.14.S_LCU'!C57</f>
        <v>1</v>
      </c>
      <c r="G60" s="33">
        <f t="shared" si="2"/>
        <v>3.2258064516129031E-2</v>
      </c>
    </row>
    <row r="61" spans="2:7" ht="14.4" x14ac:dyDescent="0.3">
      <c r="B61" s="35" t="s">
        <v>266</v>
      </c>
      <c r="C61" s="34">
        <v>33</v>
      </c>
      <c r="D61" s="34">
        <f>'11.3.15.S_LHT'!C46</f>
        <v>1</v>
      </c>
      <c r="E61" s="34">
        <f>'11.3.15.S_LHT'!C47</f>
        <v>1</v>
      </c>
      <c r="F61" s="34">
        <f>'11.3.15.S_LHT'!C48</f>
        <v>1</v>
      </c>
      <c r="G61" s="33">
        <f t="shared" si="2"/>
        <v>3.125E-2</v>
      </c>
    </row>
    <row r="62" spans="2:7" ht="14.4" x14ac:dyDescent="0.3">
      <c r="B62" s="35" t="s">
        <v>269</v>
      </c>
      <c r="C62" s="34">
        <v>51</v>
      </c>
      <c r="D62" s="34">
        <f>'11.3.16.S_LPT'!C75</f>
        <v>1</v>
      </c>
      <c r="E62" s="34">
        <f>'11.3.16.S_LPT'!C76</f>
        <v>1</v>
      </c>
      <c r="F62" s="34">
        <f>'11.3.16.S_LPT'!C77</f>
        <v>1</v>
      </c>
      <c r="G62" s="33">
        <f t="shared" si="2"/>
        <v>0.02</v>
      </c>
    </row>
    <row r="63" spans="2:7" ht="14.4" x14ac:dyDescent="0.3">
      <c r="B63" s="35" t="s">
        <v>271</v>
      </c>
      <c r="C63" s="34">
        <v>100</v>
      </c>
      <c r="D63" s="34">
        <f>'11.3.17.S_Dial'!C127</f>
        <v>1</v>
      </c>
      <c r="E63" s="34">
        <f>'11.3.17.S_Dial'!C128</f>
        <v>1</v>
      </c>
      <c r="F63" s="34">
        <f>'11.3.17.S_Dial'!C129</f>
        <v>1</v>
      </c>
      <c r="G63" s="33">
        <f t="shared" si="2"/>
        <v>1.0101010101010102E-2</v>
      </c>
    </row>
    <row r="66" spans="2:7" ht="14.4" x14ac:dyDescent="0.3">
      <c r="B66" s="27" t="s">
        <v>274</v>
      </c>
      <c r="C66" s="28" t="s">
        <v>149</v>
      </c>
      <c r="D66" s="28" t="s">
        <v>16</v>
      </c>
      <c r="E66" s="28" t="s">
        <v>20</v>
      </c>
      <c r="F66" s="28" t="s">
        <v>24</v>
      </c>
      <c r="G66" s="28" t="s">
        <v>151</v>
      </c>
    </row>
    <row r="67" spans="2:7" ht="14.4" x14ac:dyDescent="0.3">
      <c r="B67" s="35" t="s">
        <v>276</v>
      </c>
      <c r="C67" s="34">
        <v>183</v>
      </c>
      <c r="D67" s="34">
        <f>'11.4.1.S_HP'!C266</f>
        <v>1</v>
      </c>
      <c r="E67" s="34">
        <f>'11.4.1.S_HP'!C267</f>
        <v>1</v>
      </c>
      <c r="F67" s="34">
        <f>'11.4.1.S_HP'!C268</f>
        <v>1</v>
      </c>
      <c r="G67" s="33">
        <f t="shared" ref="G67:G78" si="3">D67/(C67-F67)</f>
        <v>5.4945054945054949E-3</v>
      </c>
    </row>
    <row r="68" spans="2:7" ht="14.4" x14ac:dyDescent="0.3">
      <c r="B68" s="35" t="s">
        <v>280</v>
      </c>
      <c r="C68" s="34">
        <v>167</v>
      </c>
      <c r="D68" s="34">
        <f>'11.4.2.S_HP_PC'!C247</f>
        <v>1</v>
      </c>
      <c r="E68" s="34">
        <f>'11.4.2.S_HP_PC'!C248</f>
        <v>1</v>
      </c>
      <c r="F68" s="34">
        <f>'11.4.2.S_HP_PC'!C249</f>
        <v>1</v>
      </c>
      <c r="G68" s="33">
        <f t="shared" si="3"/>
        <v>6.024096385542169E-3</v>
      </c>
    </row>
    <row r="69" spans="2:7" ht="14.4" x14ac:dyDescent="0.3">
      <c r="B69" s="35" t="s">
        <v>282</v>
      </c>
      <c r="C69" s="34">
        <v>67</v>
      </c>
      <c r="D69" s="34">
        <f>'11.4.3.S_CBN'!C91</f>
        <v>1</v>
      </c>
      <c r="E69" s="34">
        <f>'11.4.3.S_CBN'!C92</f>
        <v>1</v>
      </c>
      <c r="F69" s="34">
        <f>'11.4.3.S_CBN'!C93</f>
        <v>1</v>
      </c>
      <c r="G69" s="33">
        <f t="shared" si="3"/>
        <v>1.5151515151515152E-2</v>
      </c>
    </row>
    <row r="70" spans="2:7" ht="14.4" x14ac:dyDescent="0.3">
      <c r="B70" s="35" t="s">
        <v>286</v>
      </c>
      <c r="C70" s="34">
        <v>88</v>
      </c>
      <c r="D70" s="34">
        <f>'11.4.4.S_CIN '!C113</f>
        <v>1</v>
      </c>
      <c r="E70" s="34">
        <f>'11.4.4.S_CIN '!C114</f>
        <v>1</v>
      </c>
      <c r="F70" s="34">
        <f>'11.4.4.S_CIN '!C115</f>
        <v>1</v>
      </c>
      <c r="G70" s="33">
        <f t="shared" si="3"/>
        <v>1.1494252873563218E-2</v>
      </c>
    </row>
    <row r="71" spans="2:7" ht="14.4" x14ac:dyDescent="0.3">
      <c r="B71" s="35" t="s">
        <v>289</v>
      </c>
      <c r="C71" s="34">
        <v>119</v>
      </c>
      <c r="D71" s="34">
        <f>'11.4.5.S_CINN'!C144</f>
        <v>1</v>
      </c>
      <c r="E71" s="34">
        <f>'11.4.5.S_CINN'!C145</f>
        <v>1</v>
      </c>
      <c r="F71" s="34">
        <f>'11.4.5.S_CINN'!C146</f>
        <v>1</v>
      </c>
      <c r="G71" s="33">
        <f t="shared" si="3"/>
        <v>8.4745762711864406E-3</v>
      </c>
    </row>
    <row r="72" spans="2:7" ht="14.4" x14ac:dyDescent="0.3">
      <c r="B72" s="35" t="s">
        <v>292</v>
      </c>
      <c r="C72" s="34">
        <v>85</v>
      </c>
      <c r="D72" s="34">
        <f>'11.4.6. S_CINP'!C114</f>
        <v>1</v>
      </c>
      <c r="E72" s="34">
        <f>'11.4.6. S_CINP'!C115</f>
        <v>1</v>
      </c>
      <c r="F72" s="34">
        <f>'11.4.6. S_CINP'!C116</f>
        <v>1</v>
      </c>
      <c r="G72" s="33">
        <f t="shared" si="3"/>
        <v>1.1904761904761904E-2</v>
      </c>
    </row>
    <row r="73" spans="2:7" ht="14.4" x14ac:dyDescent="0.3">
      <c r="B73" s="35" t="s">
        <v>294</v>
      </c>
      <c r="C73" s="34">
        <v>112</v>
      </c>
      <c r="D73" s="34">
        <f>'11.4.7.S_CIP'!C140</f>
        <v>1</v>
      </c>
      <c r="E73" s="34">
        <f>'11.4.7.S_CIP'!C141</f>
        <v>1</v>
      </c>
      <c r="F73" s="34">
        <f>'11.4.7.S_CIP'!C142</f>
        <v>1</v>
      </c>
      <c r="G73" s="33">
        <f t="shared" si="3"/>
        <v>9.0090090090090089E-3</v>
      </c>
    </row>
    <row r="74" spans="2:7" ht="14.4" x14ac:dyDescent="0.3">
      <c r="B74" s="35" t="s">
        <v>297</v>
      </c>
      <c r="C74" s="34">
        <v>82</v>
      </c>
      <c r="D74" s="34">
        <f>'11.4.8.S_CIMA'!C111</f>
        <v>1</v>
      </c>
      <c r="E74" s="34">
        <f>'11.4.8.S_CIMA'!C112</f>
        <v>1</v>
      </c>
      <c r="F74" s="34">
        <f>'11.4.8.S_CIMA'!C113</f>
        <v>1</v>
      </c>
      <c r="G74" s="33">
        <f t="shared" si="3"/>
        <v>1.2345679012345678E-2</v>
      </c>
    </row>
    <row r="75" spans="2:7" ht="14.4" x14ac:dyDescent="0.3">
      <c r="B75" s="35" t="s">
        <v>300</v>
      </c>
      <c r="C75" s="34">
        <v>97</v>
      </c>
      <c r="D75" s="34">
        <f>'11.4.9.S_CIA'!C126</f>
        <v>1</v>
      </c>
      <c r="E75" s="34">
        <f>'11.4.9.S_CIA'!C127</f>
        <v>1</v>
      </c>
      <c r="F75" s="34">
        <f>'11.4.9.S_CIA'!C128</f>
        <v>1</v>
      </c>
      <c r="G75" s="33">
        <f t="shared" si="3"/>
        <v>1.0416666666666666E-2</v>
      </c>
    </row>
    <row r="76" spans="2:7" ht="28.8" x14ac:dyDescent="0.3">
      <c r="B76" s="35" t="s">
        <v>302</v>
      </c>
      <c r="C76" s="34">
        <v>104</v>
      </c>
      <c r="D76" s="34">
        <f>'11.4.10.S_HSM CSP'!C138</f>
        <v>1</v>
      </c>
      <c r="E76" s="34">
        <f>'11.4.10.S_HSM CSP'!C139</f>
        <v>1</v>
      </c>
      <c r="F76" s="34">
        <f>'11.4.10.S_HSM CSP'!C140</f>
        <v>1</v>
      </c>
      <c r="G76" s="33">
        <f t="shared" si="3"/>
        <v>9.7087378640776691E-3</v>
      </c>
    </row>
    <row r="77" spans="2:7" ht="14.4" x14ac:dyDescent="0.3">
      <c r="B77" s="35" t="s">
        <v>305</v>
      </c>
      <c r="C77" s="34">
        <v>127</v>
      </c>
      <c r="D77" s="34">
        <f>'11.4.11.S_HSP'!C176</f>
        <v>1</v>
      </c>
      <c r="E77" s="34">
        <f>'11.4.11.S_HSP'!C177</f>
        <v>1</v>
      </c>
      <c r="F77" s="34">
        <f>'11.4.11.S_HSP'!C178</f>
        <v>1</v>
      </c>
      <c r="G77" s="33">
        <f t="shared" si="3"/>
        <v>7.9365079365079361E-3</v>
      </c>
    </row>
    <row r="78" spans="2:7" ht="28.8" x14ac:dyDescent="0.3">
      <c r="B78" s="35" t="s">
        <v>307</v>
      </c>
      <c r="C78" s="34">
        <v>86</v>
      </c>
      <c r="D78" s="34">
        <f>'11.4.12.S_CB_CSP'!C116</f>
        <v>1</v>
      </c>
      <c r="E78" s="34">
        <f>'11.4.12.S_CB_CSP'!C117</f>
        <v>1</v>
      </c>
      <c r="F78" s="34">
        <f>'11.4.12.S_CB_CSP'!C118</f>
        <v>1</v>
      </c>
      <c r="G78" s="33">
        <f t="shared" si="3"/>
        <v>1.1764705882352941E-2</v>
      </c>
    </row>
    <row r="90" spans="2:7" ht="14.4" x14ac:dyDescent="0.3">
      <c r="B90" s="27" t="s">
        <v>310</v>
      </c>
      <c r="C90" s="28" t="s">
        <v>149</v>
      </c>
      <c r="D90" s="28" t="s">
        <v>16</v>
      </c>
      <c r="E90" s="28" t="s">
        <v>20</v>
      </c>
      <c r="F90" s="28" t="s">
        <v>24</v>
      </c>
      <c r="G90" s="28" t="s">
        <v>151</v>
      </c>
    </row>
    <row r="91" spans="2:7" ht="14.4" x14ac:dyDescent="0.3">
      <c r="B91" s="35" t="s">
        <v>312</v>
      </c>
      <c r="C91" s="34">
        <v>189</v>
      </c>
      <c r="D91" s="34">
        <f>'11.5.1.S_CX'!C239</f>
        <v>1</v>
      </c>
      <c r="E91" s="34">
        <f>'11.5.1.S_CX'!C240</f>
        <v>1</v>
      </c>
      <c r="F91" s="34">
        <f>'11.5.1.S_CX'!C241</f>
        <v>1</v>
      </c>
      <c r="G91" s="33">
        <f>D91/(C91-F91)</f>
        <v>5.3191489361702126E-3</v>
      </c>
    </row>
    <row r="106" spans="2:7" ht="14.4" x14ac:dyDescent="0.3">
      <c r="B106" s="27" t="s">
        <v>315</v>
      </c>
      <c r="C106" s="28" t="s">
        <v>149</v>
      </c>
      <c r="D106" s="28" t="s">
        <v>16</v>
      </c>
      <c r="E106" s="28" t="s">
        <v>20</v>
      </c>
      <c r="F106" s="28" t="s">
        <v>24</v>
      </c>
      <c r="G106" s="28" t="s">
        <v>151</v>
      </c>
    </row>
    <row r="107" spans="2:7" ht="14.4" x14ac:dyDescent="0.3">
      <c r="B107" s="35" t="s">
        <v>317</v>
      </c>
      <c r="C107" s="34">
        <v>197</v>
      </c>
      <c r="D107" s="34">
        <f>'11.6.1.S_UR'!C249</f>
        <v>1</v>
      </c>
      <c r="E107" s="34">
        <f>'11.6.1.S_UR'!C250</f>
        <v>1</v>
      </c>
      <c r="F107" s="34">
        <f>'11.6.1.S_UR'!C251</f>
        <v>1</v>
      </c>
      <c r="G107" s="33">
        <f t="shared" ref="G107:G110" si="4">D107/(C107-F107)</f>
        <v>5.1020408163265302E-3</v>
      </c>
    </row>
    <row r="108" spans="2:7" ht="14.4" x14ac:dyDescent="0.3">
      <c r="B108" s="35" t="s">
        <v>320</v>
      </c>
      <c r="C108" s="34">
        <v>208</v>
      </c>
      <c r="D108" s="34">
        <f>'11.6.2.S_TR_AS'!C288</f>
        <v>1</v>
      </c>
      <c r="E108" s="34">
        <f>'11.6.2.S_TR_AS'!C289</f>
        <v>1</v>
      </c>
      <c r="F108" s="34">
        <f>'11.6.2.S_TR_AS'!C290</f>
        <v>1</v>
      </c>
      <c r="G108" s="33">
        <f t="shared" si="4"/>
        <v>4.830917874396135E-3</v>
      </c>
    </row>
    <row r="109" spans="2:7" ht="14.4" x14ac:dyDescent="0.3">
      <c r="B109" s="35" t="s">
        <v>323</v>
      </c>
      <c r="C109" s="34">
        <v>74</v>
      </c>
      <c r="D109" s="34">
        <f>'11.6.3.S_AT_PH'!C100</f>
        <v>1</v>
      </c>
      <c r="E109" s="34">
        <f>'11.6.3.S_AT_PH'!C101</f>
        <v>1</v>
      </c>
      <c r="F109" s="34">
        <f>'11.6.3.S_AT_PH'!C102</f>
        <v>1</v>
      </c>
      <c r="G109" s="33">
        <f t="shared" si="4"/>
        <v>1.3698630136986301E-2</v>
      </c>
    </row>
    <row r="110" spans="2:7" ht="14.4" x14ac:dyDescent="0.3">
      <c r="B110" s="35" t="s">
        <v>325</v>
      </c>
      <c r="C110" s="34">
        <v>169</v>
      </c>
      <c r="D110" s="34">
        <f>'11.6.4.S_A.parto'!C219</f>
        <v>1</v>
      </c>
      <c r="E110" s="34">
        <f>'11.6.4.S_A.parto'!C220</f>
        <v>1</v>
      </c>
      <c r="F110" s="34">
        <f>'11.6.4.S_A.parto'!C221</f>
        <v>1</v>
      </c>
      <c r="G110" s="33">
        <f t="shared" si="4"/>
        <v>5.9523809523809521E-3</v>
      </c>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K32"/>
  <sheetViews>
    <sheetView showGridLines="0" topLeftCell="A16" workbookViewId="0">
      <selection activeCell="B22" sqref="B22"/>
    </sheetView>
  </sheetViews>
  <sheetFormatPr baseColWidth="10" defaultColWidth="14.44140625" defaultRowHeight="15" customHeight="1" outlineLevelCol="1" x14ac:dyDescent="0.3"/>
  <cols>
    <col min="1" max="1" width="11.44140625" customWidth="1"/>
    <col min="2" max="2" width="80.33203125" customWidth="1"/>
    <col min="3" max="3" width="10.77734375" customWidth="1"/>
    <col min="4" max="4" width="40.21875" customWidth="1" outlineLevel="1"/>
    <col min="5" max="11" width="11.44140625" customWidth="1"/>
    <col min="12" max="24" width="10.77734375" customWidth="1"/>
  </cols>
  <sheetData>
    <row r="1" spans="1:11" ht="14.4" x14ac:dyDescent="0.3">
      <c r="A1" s="269"/>
      <c r="B1" s="270" t="s">
        <v>0</v>
      </c>
      <c r="C1" s="269"/>
      <c r="D1" s="269"/>
      <c r="E1" s="2"/>
      <c r="F1" s="2"/>
      <c r="G1" s="2"/>
      <c r="H1" s="2"/>
      <c r="I1" s="2"/>
      <c r="J1" s="2"/>
      <c r="K1" s="2"/>
    </row>
    <row r="2" spans="1:11" ht="14.4" x14ac:dyDescent="0.3">
      <c r="A2" s="5"/>
      <c r="B2" s="5" t="s">
        <v>5</v>
      </c>
      <c r="C2" s="6"/>
      <c r="D2" s="6"/>
      <c r="E2" s="2"/>
      <c r="F2" s="2"/>
      <c r="G2" s="2"/>
      <c r="H2" s="2"/>
      <c r="I2" s="2"/>
      <c r="J2" s="2"/>
      <c r="K2" s="2"/>
    </row>
    <row r="3" spans="1:11" ht="14.4" x14ac:dyDescent="0.3">
      <c r="A3" s="5" t="s">
        <v>7</v>
      </c>
      <c r="B3" s="6" t="s">
        <v>9</v>
      </c>
      <c r="C3" s="6" t="s">
        <v>10</v>
      </c>
      <c r="D3" s="6" t="s">
        <v>11</v>
      </c>
      <c r="E3" s="2"/>
      <c r="F3" s="2"/>
      <c r="G3" s="2"/>
      <c r="H3" s="2"/>
      <c r="I3" s="2"/>
      <c r="J3" s="2"/>
      <c r="K3" s="2"/>
    </row>
    <row r="4" spans="1:11" ht="82.8" x14ac:dyDescent="0.3">
      <c r="A4" s="9" t="s">
        <v>12</v>
      </c>
      <c r="B4" s="10" t="s">
        <v>13</v>
      </c>
      <c r="C4" s="9" t="s">
        <v>16</v>
      </c>
      <c r="D4" s="9"/>
      <c r="E4" s="2"/>
      <c r="F4" s="2"/>
      <c r="G4" s="2"/>
      <c r="H4" s="2"/>
      <c r="I4" s="2"/>
      <c r="J4" s="2"/>
      <c r="K4" s="2"/>
    </row>
    <row r="5" spans="1:11" ht="27.6" x14ac:dyDescent="0.3">
      <c r="A5" s="9" t="s">
        <v>12</v>
      </c>
      <c r="B5" s="10" t="s">
        <v>19</v>
      </c>
      <c r="C5" s="9" t="s">
        <v>20</v>
      </c>
      <c r="D5" s="9"/>
      <c r="E5" s="2"/>
      <c r="F5" s="2"/>
      <c r="G5" s="2"/>
      <c r="H5" s="278"/>
      <c r="I5" s="279"/>
      <c r="J5" s="279"/>
      <c r="K5" s="279"/>
    </row>
    <row r="6" spans="1:11" ht="69" x14ac:dyDescent="0.3">
      <c r="A6" s="9" t="s">
        <v>12</v>
      </c>
      <c r="B6" s="10" t="s">
        <v>23</v>
      </c>
      <c r="C6" s="9" t="s">
        <v>24</v>
      </c>
      <c r="D6" s="9"/>
      <c r="E6" s="2"/>
      <c r="F6" s="2"/>
      <c r="G6" s="2"/>
      <c r="H6" s="2"/>
      <c r="I6" s="2"/>
      <c r="J6" s="2"/>
      <c r="K6" s="2"/>
    </row>
    <row r="7" spans="1:11" ht="27.6" x14ac:dyDescent="0.3">
      <c r="A7" s="11" t="s">
        <v>12</v>
      </c>
      <c r="B7" s="12" t="s">
        <v>27</v>
      </c>
      <c r="C7" s="11"/>
      <c r="D7" s="11"/>
      <c r="E7" s="2"/>
      <c r="F7" s="2"/>
      <c r="G7" s="2"/>
      <c r="H7" s="2"/>
      <c r="I7" s="2"/>
      <c r="J7" s="2"/>
      <c r="K7" s="2"/>
    </row>
    <row r="8" spans="1:11" ht="14.4" x14ac:dyDescent="0.3">
      <c r="A8" s="9" t="s">
        <v>12</v>
      </c>
      <c r="B8" s="10" t="s">
        <v>30</v>
      </c>
      <c r="C8" s="9" t="s">
        <v>16</v>
      </c>
      <c r="D8" s="9"/>
      <c r="E8" s="2"/>
      <c r="F8" s="2"/>
      <c r="G8" s="2"/>
      <c r="H8" s="2"/>
      <c r="I8" s="2"/>
      <c r="J8" s="2"/>
      <c r="K8" s="2"/>
    </row>
    <row r="9" spans="1:11" ht="27.6" x14ac:dyDescent="0.3">
      <c r="A9" s="9" t="s">
        <v>12</v>
      </c>
      <c r="B9" s="10" t="s">
        <v>32</v>
      </c>
      <c r="C9" s="9" t="s">
        <v>16</v>
      </c>
      <c r="D9" s="9"/>
      <c r="E9" s="2"/>
      <c r="F9" s="2"/>
      <c r="G9" s="2"/>
      <c r="H9" s="2"/>
      <c r="I9" s="2"/>
      <c r="J9" s="2"/>
      <c r="K9" s="2"/>
    </row>
    <row r="10" spans="1:11" ht="82.8" x14ac:dyDescent="0.3">
      <c r="A10" s="9" t="s">
        <v>12</v>
      </c>
      <c r="B10" s="10" t="s">
        <v>33</v>
      </c>
      <c r="C10" s="9" t="s">
        <v>16</v>
      </c>
      <c r="D10" s="9"/>
      <c r="E10" s="2"/>
      <c r="F10" s="2"/>
      <c r="G10" s="2"/>
      <c r="H10" s="2"/>
      <c r="I10" s="2"/>
      <c r="J10" s="2"/>
      <c r="K10" s="2"/>
    </row>
    <row r="11" spans="1:11" ht="110.4" x14ac:dyDescent="0.3">
      <c r="A11" s="9" t="s">
        <v>12</v>
      </c>
      <c r="B11" s="10" t="s">
        <v>35</v>
      </c>
      <c r="C11" s="9" t="s">
        <v>16</v>
      </c>
      <c r="D11" s="9"/>
      <c r="E11" s="2"/>
      <c r="F11" s="2"/>
      <c r="G11" s="2"/>
      <c r="H11" s="2"/>
      <c r="I11" s="2"/>
      <c r="J11" s="2"/>
      <c r="K11" s="2"/>
    </row>
    <row r="12" spans="1:11" ht="41.4" x14ac:dyDescent="0.3">
      <c r="A12" s="9" t="s">
        <v>12</v>
      </c>
      <c r="B12" s="10" t="s">
        <v>37</v>
      </c>
      <c r="C12" s="9" t="s">
        <v>16</v>
      </c>
      <c r="D12" s="9"/>
      <c r="E12" s="2"/>
      <c r="F12" s="2"/>
      <c r="G12" s="2"/>
      <c r="H12" s="2"/>
      <c r="I12" s="2"/>
      <c r="J12" s="2"/>
      <c r="K12" s="2"/>
    </row>
    <row r="13" spans="1:11" ht="96.6" x14ac:dyDescent="0.3">
      <c r="A13" s="9" t="s">
        <v>12</v>
      </c>
      <c r="B13" s="10" t="s">
        <v>39</v>
      </c>
      <c r="C13" s="9" t="s">
        <v>16</v>
      </c>
      <c r="D13" s="9"/>
      <c r="E13" s="2"/>
      <c r="F13" s="2"/>
      <c r="G13" s="2"/>
      <c r="H13" s="2"/>
      <c r="I13" s="2"/>
      <c r="J13" s="2"/>
      <c r="K13" s="2"/>
    </row>
    <row r="14" spans="1:11" ht="82.8" x14ac:dyDescent="0.3">
      <c r="A14" s="9" t="s">
        <v>12</v>
      </c>
      <c r="B14" s="10" t="s">
        <v>42</v>
      </c>
      <c r="C14" s="9" t="s">
        <v>16</v>
      </c>
      <c r="D14" s="9"/>
      <c r="E14" s="2"/>
      <c r="F14" s="2"/>
      <c r="G14" s="2"/>
      <c r="H14" s="2"/>
      <c r="I14" s="2"/>
      <c r="J14" s="2"/>
      <c r="K14" s="2"/>
    </row>
    <row r="15" spans="1:11" ht="41.4" x14ac:dyDescent="0.3">
      <c r="A15" s="9" t="s">
        <v>12</v>
      </c>
      <c r="B15" s="10" t="s">
        <v>44</v>
      </c>
      <c r="C15" s="9" t="s">
        <v>16</v>
      </c>
      <c r="D15" s="9"/>
      <c r="E15" s="2"/>
      <c r="F15" s="2"/>
      <c r="G15" s="2"/>
      <c r="H15" s="2"/>
      <c r="I15" s="2"/>
      <c r="J15" s="2"/>
      <c r="K15" s="2"/>
    </row>
    <row r="16" spans="1:11" ht="55.2" x14ac:dyDescent="0.3">
      <c r="A16" s="9" t="s">
        <v>12</v>
      </c>
      <c r="B16" s="10" t="s">
        <v>46</v>
      </c>
      <c r="C16" s="9" t="s">
        <v>16</v>
      </c>
      <c r="D16" s="9"/>
      <c r="E16" s="2"/>
      <c r="F16" s="2"/>
      <c r="G16" s="2"/>
      <c r="H16" s="2"/>
      <c r="I16" s="2"/>
      <c r="J16" s="2"/>
      <c r="K16" s="2"/>
    </row>
    <row r="17" spans="1:4" ht="55.2" x14ac:dyDescent="0.3">
      <c r="A17" s="9" t="s">
        <v>12</v>
      </c>
      <c r="B17" s="10" t="s">
        <v>48</v>
      </c>
      <c r="C17" s="9" t="s">
        <v>16</v>
      </c>
      <c r="D17" s="9"/>
    </row>
    <row r="18" spans="1:4" ht="69" x14ac:dyDescent="0.3">
      <c r="A18" s="9" t="s">
        <v>12</v>
      </c>
      <c r="B18" s="10" t="s">
        <v>50</v>
      </c>
      <c r="C18" s="9" t="s">
        <v>16</v>
      </c>
      <c r="D18" s="9"/>
    </row>
    <row r="19" spans="1:4" ht="14.4" x14ac:dyDescent="0.3">
      <c r="A19" s="11" t="s">
        <v>12</v>
      </c>
      <c r="B19" s="277" t="s">
        <v>52</v>
      </c>
      <c r="C19" s="11"/>
      <c r="D19" s="11"/>
    </row>
    <row r="20" spans="1:4" ht="28.2" x14ac:dyDescent="0.3">
      <c r="A20" s="11" t="s">
        <v>12</v>
      </c>
      <c r="B20" s="13" t="s">
        <v>55</v>
      </c>
      <c r="C20" s="11"/>
      <c r="D20" s="11"/>
    </row>
    <row r="21" spans="1:4" ht="55.2" x14ac:dyDescent="0.3">
      <c r="A21" s="9" t="s">
        <v>12</v>
      </c>
      <c r="B21" s="10" t="s">
        <v>58</v>
      </c>
      <c r="C21" s="9" t="s">
        <v>16</v>
      </c>
      <c r="D21" s="9"/>
    </row>
    <row r="22" spans="1:4" ht="41.4" x14ac:dyDescent="0.3">
      <c r="A22" s="9" t="s">
        <v>12</v>
      </c>
      <c r="B22" s="274" t="s">
        <v>61</v>
      </c>
      <c r="C22" s="9" t="s">
        <v>16</v>
      </c>
      <c r="D22" s="9"/>
    </row>
    <row r="23" spans="1:4" ht="41.4" x14ac:dyDescent="0.3">
      <c r="A23" s="9" t="s">
        <v>12</v>
      </c>
      <c r="B23" s="10" t="s">
        <v>64</v>
      </c>
      <c r="C23" s="9" t="s">
        <v>16</v>
      </c>
      <c r="D23" s="9"/>
    </row>
    <row r="24" spans="1:4" ht="55.2" x14ac:dyDescent="0.3">
      <c r="A24" s="9" t="s">
        <v>12</v>
      </c>
      <c r="B24" s="10" t="s">
        <v>65</v>
      </c>
      <c r="C24" s="9" t="s">
        <v>16</v>
      </c>
      <c r="D24" s="9"/>
    </row>
    <row r="25" spans="1:4" ht="55.2" x14ac:dyDescent="0.3">
      <c r="A25" s="9" t="s">
        <v>12</v>
      </c>
      <c r="B25" s="10" t="s">
        <v>66</v>
      </c>
      <c r="C25" s="9" t="s">
        <v>16</v>
      </c>
      <c r="D25" s="9"/>
    </row>
    <row r="26" spans="1:4" ht="110.4" x14ac:dyDescent="0.3">
      <c r="A26" s="9" t="s">
        <v>12</v>
      </c>
      <c r="B26" s="43" t="s">
        <v>67</v>
      </c>
      <c r="C26" s="9" t="s">
        <v>16</v>
      </c>
      <c r="D26" s="9"/>
    </row>
    <row r="27" spans="1:4" ht="14.4" x14ac:dyDescent="0.3">
      <c r="A27" s="11" t="s">
        <v>12</v>
      </c>
      <c r="B27" s="12" t="s">
        <v>68</v>
      </c>
      <c r="C27" s="12"/>
      <c r="D27" s="11"/>
    </row>
    <row r="28" spans="1:4" ht="69" x14ac:dyDescent="0.3">
      <c r="A28" s="9" t="s">
        <v>12</v>
      </c>
      <c r="B28" s="10" t="s">
        <v>70</v>
      </c>
      <c r="C28" s="9" t="s">
        <v>16</v>
      </c>
      <c r="D28" s="9"/>
    </row>
    <row r="29" spans="1:4" ht="14.4" x14ac:dyDescent="0.3">
      <c r="A29" s="2"/>
      <c r="B29" s="14"/>
      <c r="C29" s="4"/>
      <c r="D29" s="2"/>
    </row>
    <row r="30" spans="1:4" ht="14.4" x14ac:dyDescent="0.3">
      <c r="A30" s="2"/>
      <c r="B30" s="15" t="s">
        <v>75</v>
      </c>
      <c r="C30" s="2">
        <f>COUNTIF($C$4:$C$28,"C")</f>
        <v>19</v>
      </c>
      <c r="D30" s="2"/>
    </row>
    <row r="31" spans="1:4" ht="14.4" x14ac:dyDescent="0.3">
      <c r="A31" s="2"/>
      <c r="B31" s="15" t="s">
        <v>81</v>
      </c>
      <c r="C31" s="2">
        <f>COUNTIF($C$4:$C$28,"NC")</f>
        <v>1</v>
      </c>
      <c r="D31" s="2"/>
    </row>
    <row r="32" spans="1:4" ht="14.4" x14ac:dyDescent="0.3">
      <c r="A32" s="2"/>
      <c r="B32" s="15" t="s">
        <v>84</v>
      </c>
      <c r="C32" s="2">
        <f>COUNTIF($C$4:$C$28,"NA")</f>
        <v>1</v>
      </c>
      <c r="D32" s="2"/>
    </row>
  </sheetData>
  <autoFilter ref="A3:D28" xr:uid="{00000000-0009-0000-0000-000002000000}"/>
  <customSheetViews>
    <customSheetView guid="{0D95EE29-7809-4A7B-AA05-28E397903348}" filter="1" showAutoFilter="1">
      <pageMargins left="0.7" right="0.7" top="0.75" bottom="0.75" header="0.3" footer="0.3"/>
      <autoFilter ref="A3:D10" xr:uid="{F1B1C91B-2ABD-4598-B224-2E69B08A2FA8}"/>
    </customSheetView>
  </customSheetViews>
  <mergeCells count="1">
    <mergeCell ref="H5:K5"/>
  </mergeCells>
  <conditionalFormatting sqref="C4:C6 C8:C18 C21:C26 C28">
    <cfRule type="beginsWith" dxfId="134" priority="1" operator="beginsWith" text="C">
      <formula>LEFT((C4),LEN("C"))=("C")</formula>
    </cfRule>
    <cfRule type="beginsWith" dxfId="133" priority="2" operator="beginsWith" text="NC">
      <formula>LEFT((C4),LEN("NC"))=("NC")</formula>
    </cfRule>
    <cfRule type="beginsWith" dxfId="132" priority="3" operator="beginsWith" text="NA">
      <formula>LEFT((C4),LEN("NA"))=("NA")</formula>
    </cfRule>
  </conditionalFormatting>
  <dataValidations count="1">
    <dataValidation type="list" allowBlank="1" sqref="C4:C6 C8:C18 C21:C26 C28" xr:uid="{00000000-0002-0000-0200-000000000000}">
      <formula1>"C,NC,NA"</formula1>
    </dataValidation>
  </dataValidations>
  <hyperlinks>
    <hyperlink ref="B1" location="'Tabla de contenido'!A1" display="VOLVER A TABLA DE CONTENIDO" xr:uid="{00000000-0004-0000-0200-000000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sheetPr>
  <dimension ref="A1:K204"/>
  <sheetViews>
    <sheetView showGridLines="0" topLeftCell="A152" workbookViewId="0">
      <selection activeCell="D154" sqref="D154"/>
    </sheetView>
  </sheetViews>
  <sheetFormatPr baseColWidth="10" defaultColWidth="14.44140625" defaultRowHeight="15" customHeight="1" outlineLevelCol="1" x14ac:dyDescent="0.3"/>
  <cols>
    <col min="1" max="1" width="11.44140625" customWidth="1"/>
    <col min="2" max="2" width="73.33203125" customWidth="1"/>
    <col min="3" max="3" width="11.44140625" customWidth="1"/>
    <col min="4" max="4" width="40.21875" customWidth="1" outlineLevel="1"/>
    <col min="5" max="11" width="11.44140625" customWidth="1"/>
    <col min="12" max="24" width="10.77734375" customWidth="1"/>
  </cols>
  <sheetData>
    <row r="1" spans="1:11" ht="14.4" x14ac:dyDescent="0.3">
      <c r="A1" s="269"/>
      <c r="B1" s="270" t="s">
        <v>0</v>
      </c>
      <c r="C1" s="269"/>
      <c r="D1" s="269"/>
      <c r="E1" s="17"/>
      <c r="F1" s="17"/>
      <c r="G1" s="17"/>
      <c r="H1" s="17"/>
      <c r="I1" s="17"/>
      <c r="J1" s="17"/>
      <c r="K1" s="17"/>
    </row>
    <row r="2" spans="1:11" ht="14.4" x14ac:dyDescent="0.3">
      <c r="A2" s="6"/>
      <c r="B2" s="18" t="s">
        <v>135</v>
      </c>
      <c r="C2" s="19"/>
      <c r="D2" s="19"/>
      <c r="E2" s="17"/>
      <c r="F2" s="17"/>
      <c r="G2" s="17"/>
      <c r="H2" s="17"/>
      <c r="I2" s="17"/>
      <c r="J2" s="17"/>
      <c r="K2" s="17"/>
    </row>
    <row r="3" spans="1:11" ht="14.4" x14ac:dyDescent="0.3">
      <c r="A3" s="6" t="s">
        <v>7</v>
      </c>
      <c r="B3" s="6" t="s">
        <v>9</v>
      </c>
      <c r="C3" s="6" t="s">
        <v>10</v>
      </c>
      <c r="D3" s="6" t="s">
        <v>11</v>
      </c>
      <c r="E3" s="17"/>
      <c r="F3" s="17"/>
      <c r="G3" s="17"/>
      <c r="H3" s="17"/>
      <c r="I3" s="17"/>
      <c r="J3" s="17"/>
      <c r="K3" s="17"/>
    </row>
    <row r="4" spans="1:11" ht="14.4" x14ac:dyDescent="0.3">
      <c r="A4" s="20" t="s">
        <v>136</v>
      </c>
      <c r="B4" s="21" t="s">
        <v>137</v>
      </c>
      <c r="C4" s="21"/>
      <c r="D4" s="22"/>
      <c r="E4" s="17"/>
      <c r="F4" s="17"/>
      <c r="G4" s="17"/>
      <c r="H4" s="17"/>
      <c r="I4" s="17"/>
      <c r="J4" s="17"/>
      <c r="K4" s="17"/>
    </row>
    <row r="5" spans="1:11" ht="41.4" x14ac:dyDescent="0.3">
      <c r="A5" s="23" t="s">
        <v>136</v>
      </c>
      <c r="B5" s="10" t="s">
        <v>138</v>
      </c>
      <c r="C5" s="9" t="s">
        <v>16</v>
      </c>
      <c r="D5" s="23"/>
      <c r="E5" s="17"/>
      <c r="F5" s="17"/>
      <c r="G5" s="17"/>
      <c r="H5" s="284"/>
      <c r="I5" s="279"/>
      <c r="J5" s="279"/>
      <c r="K5" s="279"/>
    </row>
    <row r="6" spans="1:11" ht="41.4" x14ac:dyDescent="0.3">
      <c r="A6" s="23" t="s">
        <v>136</v>
      </c>
      <c r="B6" s="10" t="s">
        <v>139</v>
      </c>
      <c r="C6" s="9" t="s">
        <v>20</v>
      </c>
      <c r="D6" s="23"/>
      <c r="E6" s="17"/>
      <c r="F6" s="17"/>
      <c r="G6" s="17"/>
      <c r="H6" s="17"/>
      <c r="I6" s="17"/>
      <c r="J6" s="17"/>
      <c r="K6" s="17"/>
    </row>
    <row r="7" spans="1:11" ht="69" x14ac:dyDescent="0.3">
      <c r="A7" s="23" t="s">
        <v>136</v>
      </c>
      <c r="B7" s="10" t="s">
        <v>140</v>
      </c>
      <c r="C7" s="9" t="s">
        <v>24</v>
      </c>
      <c r="D7" s="23"/>
      <c r="E7" s="17"/>
      <c r="F7" s="17"/>
      <c r="G7" s="17"/>
      <c r="H7" s="17"/>
      <c r="I7" s="17"/>
      <c r="J7" s="17"/>
      <c r="K7" s="17"/>
    </row>
    <row r="8" spans="1:11" ht="69" x14ac:dyDescent="0.3">
      <c r="A8" s="23" t="s">
        <v>136</v>
      </c>
      <c r="B8" s="10" t="s">
        <v>141</v>
      </c>
      <c r="C8" s="9"/>
      <c r="D8" s="23"/>
      <c r="E8" s="17"/>
      <c r="F8" s="17"/>
      <c r="G8" s="17"/>
      <c r="H8" s="17"/>
      <c r="I8" s="17"/>
      <c r="J8" s="17"/>
      <c r="K8" s="17"/>
    </row>
    <row r="9" spans="1:11" ht="69" x14ac:dyDescent="0.3">
      <c r="A9" s="23" t="s">
        <v>136</v>
      </c>
      <c r="B9" s="10" t="s">
        <v>142</v>
      </c>
      <c r="C9" s="9"/>
      <c r="D9" s="23"/>
      <c r="E9" s="17"/>
      <c r="F9" s="17"/>
      <c r="G9" s="17"/>
      <c r="H9" s="17"/>
      <c r="I9" s="17"/>
      <c r="J9" s="17"/>
      <c r="K9" s="17"/>
    </row>
    <row r="10" spans="1:11" ht="41.4" x14ac:dyDescent="0.3">
      <c r="A10" s="23" t="s">
        <v>136</v>
      </c>
      <c r="B10" s="10" t="s">
        <v>143</v>
      </c>
      <c r="C10" s="9"/>
      <c r="D10" s="24"/>
      <c r="E10" s="17"/>
      <c r="F10" s="17"/>
      <c r="G10" s="17"/>
      <c r="H10" s="17"/>
      <c r="I10" s="17"/>
      <c r="J10" s="17"/>
      <c r="K10" s="17"/>
    </row>
    <row r="11" spans="1:11" ht="41.4" x14ac:dyDescent="0.3">
      <c r="A11" s="25" t="s">
        <v>136</v>
      </c>
      <c r="B11" s="10" t="s">
        <v>144</v>
      </c>
      <c r="C11" s="9"/>
      <c r="D11" s="23"/>
      <c r="E11" s="17"/>
      <c r="F11" s="17"/>
      <c r="G11" s="17"/>
      <c r="H11" s="17"/>
      <c r="I11" s="17"/>
      <c r="J11" s="17"/>
      <c r="K11" s="17"/>
    </row>
    <row r="12" spans="1:11" ht="41.4" x14ac:dyDescent="0.3">
      <c r="A12" s="25" t="s">
        <v>136</v>
      </c>
      <c r="B12" s="10" t="s">
        <v>145</v>
      </c>
      <c r="C12" s="9"/>
      <c r="D12" s="23"/>
      <c r="E12" s="17"/>
      <c r="F12" s="17"/>
      <c r="G12" s="17"/>
      <c r="H12" s="17"/>
      <c r="I12" s="17"/>
      <c r="J12" s="17"/>
      <c r="K12" s="17"/>
    </row>
    <row r="13" spans="1:11" ht="27.6" x14ac:dyDescent="0.3">
      <c r="A13" s="25" t="s">
        <v>136</v>
      </c>
      <c r="B13" s="10" t="s">
        <v>146</v>
      </c>
      <c r="C13" s="9"/>
      <c r="D13" s="23"/>
      <c r="E13" s="17"/>
      <c r="F13" s="17"/>
      <c r="G13" s="17"/>
      <c r="H13" s="17"/>
      <c r="I13" s="17"/>
      <c r="J13" s="17"/>
      <c r="K13" s="17"/>
    </row>
    <row r="14" spans="1:11" ht="14.4" x14ac:dyDescent="0.3">
      <c r="A14" s="26" t="s">
        <v>136</v>
      </c>
      <c r="B14" s="12" t="s">
        <v>148</v>
      </c>
      <c r="C14" s="26"/>
      <c r="D14" s="26"/>
      <c r="E14" s="17"/>
      <c r="F14" s="17"/>
      <c r="G14" s="17"/>
      <c r="H14" s="17"/>
      <c r="I14" s="17"/>
      <c r="J14" s="17"/>
      <c r="K14" s="17"/>
    </row>
    <row r="15" spans="1:11" ht="41.4" x14ac:dyDescent="0.3">
      <c r="A15" s="23" t="s">
        <v>136</v>
      </c>
      <c r="B15" s="10" t="s">
        <v>150</v>
      </c>
      <c r="C15" s="9"/>
      <c r="D15" s="23"/>
      <c r="E15" s="17"/>
      <c r="F15" s="17"/>
      <c r="G15" s="17"/>
      <c r="H15" s="17"/>
      <c r="I15" s="17"/>
      <c r="J15" s="17"/>
      <c r="K15" s="17"/>
    </row>
    <row r="16" spans="1:11" ht="55.2" x14ac:dyDescent="0.3">
      <c r="A16" s="23" t="s">
        <v>136</v>
      </c>
      <c r="B16" s="10" t="s">
        <v>153</v>
      </c>
      <c r="C16" s="9"/>
      <c r="D16" s="23"/>
      <c r="E16" s="17"/>
      <c r="F16" s="17"/>
      <c r="G16" s="17"/>
      <c r="H16" s="17"/>
      <c r="I16" s="17"/>
      <c r="J16" s="17"/>
      <c r="K16" s="17"/>
    </row>
    <row r="17" spans="1:4" ht="14.4" x14ac:dyDescent="0.3">
      <c r="A17" s="26" t="s">
        <v>136</v>
      </c>
      <c r="B17" s="12" t="s">
        <v>154</v>
      </c>
      <c r="C17" s="26"/>
      <c r="D17" s="26"/>
    </row>
    <row r="18" spans="1:4" ht="82.8" x14ac:dyDescent="0.3">
      <c r="A18" s="23" t="s">
        <v>136</v>
      </c>
      <c r="B18" s="10" t="s">
        <v>155</v>
      </c>
      <c r="C18" s="9"/>
      <c r="D18" s="23"/>
    </row>
    <row r="19" spans="1:4" ht="27.6" x14ac:dyDescent="0.3">
      <c r="A19" s="31" t="s">
        <v>136</v>
      </c>
      <c r="B19" s="32" t="s">
        <v>156</v>
      </c>
      <c r="C19" s="31"/>
      <c r="D19" s="31"/>
    </row>
    <row r="20" spans="1:4" ht="27.6" x14ac:dyDescent="0.3">
      <c r="A20" s="23" t="s">
        <v>136</v>
      </c>
      <c r="B20" s="10" t="s">
        <v>157</v>
      </c>
      <c r="C20" s="9"/>
      <c r="D20" s="23"/>
    </row>
    <row r="21" spans="1:4" ht="27.6" x14ac:dyDescent="0.3">
      <c r="A21" s="23" t="s">
        <v>136</v>
      </c>
      <c r="B21" s="10" t="s">
        <v>159</v>
      </c>
      <c r="C21" s="9"/>
      <c r="D21" s="23"/>
    </row>
    <row r="22" spans="1:4" ht="14.4" x14ac:dyDescent="0.3">
      <c r="A22" s="23" t="s">
        <v>136</v>
      </c>
      <c r="B22" s="10" t="s">
        <v>160</v>
      </c>
      <c r="C22" s="9"/>
      <c r="D22" s="23"/>
    </row>
    <row r="23" spans="1:4" ht="14.4" x14ac:dyDescent="0.3">
      <c r="A23" s="23" t="s">
        <v>136</v>
      </c>
      <c r="B23" s="10" t="s">
        <v>161</v>
      </c>
      <c r="C23" s="9"/>
      <c r="D23" s="23"/>
    </row>
    <row r="24" spans="1:4" ht="27.6" x14ac:dyDescent="0.3">
      <c r="A24" s="23" t="s">
        <v>136</v>
      </c>
      <c r="B24" s="10" t="s">
        <v>162</v>
      </c>
      <c r="C24" s="9"/>
      <c r="D24" s="23"/>
    </row>
    <row r="25" spans="1:4" ht="96.6" x14ac:dyDescent="0.3">
      <c r="A25" s="23" t="s">
        <v>136</v>
      </c>
      <c r="B25" s="10" t="s">
        <v>164</v>
      </c>
      <c r="C25" s="9"/>
      <c r="D25" s="23"/>
    </row>
    <row r="26" spans="1:4" ht="55.2" x14ac:dyDescent="0.3">
      <c r="A26" s="23" t="s">
        <v>136</v>
      </c>
      <c r="B26" s="10" t="s">
        <v>165</v>
      </c>
      <c r="C26" s="9"/>
      <c r="D26" s="23"/>
    </row>
    <row r="27" spans="1:4" ht="43.2" x14ac:dyDescent="0.3">
      <c r="A27" s="23" t="s">
        <v>136</v>
      </c>
      <c r="B27" s="10" t="s">
        <v>167</v>
      </c>
      <c r="C27" s="9"/>
      <c r="D27" s="23"/>
    </row>
    <row r="28" spans="1:4" ht="55.2" x14ac:dyDescent="0.3">
      <c r="A28" s="23" t="s">
        <v>136</v>
      </c>
      <c r="B28" s="10" t="s">
        <v>168</v>
      </c>
      <c r="C28" s="9"/>
      <c r="D28" s="23"/>
    </row>
    <row r="29" spans="1:4" ht="41.4" x14ac:dyDescent="0.3">
      <c r="A29" s="23" t="s">
        <v>136</v>
      </c>
      <c r="B29" s="10" t="s">
        <v>170</v>
      </c>
      <c r="C29" s="9"/>
      <c r="D29" s="23"/>
    </row>
    <row r="30" spans="1:4" ht="43.2" x14ac:dyDescent="0.3">
      <c r="A30" s="23" t="s">
        <v>136</v>
      </c>
      <c r="B30" s="10" t="s">
        <v>172</v>
      </c>
      <c r="C30" s="9"/>
      <c r="D30" s="23"/>
    </row>
    <row r="31" spans="1:4" ht="151.80000000000001" x14ac:dyDescent="0.3">
      <c r="A31" s="23" t="s">
        <v>136</v>
      </c>
      <c r="B31" s="10" t="s">
        <v>173</v>
      </c>
      <c r="C31" s="9"/>
      <c r="D31" s="23"/>
    </row>
    <row r="32" spans="1:4" ht="27.6" x14ac:dyDescent="0.3">
      <c r="A32" s="26" t="s">
        <v>136</v>
      </c>
      <c r="B32" s="12" t="s">
        <v>174</v>
      </c>
      <c r="C32" s="22"/>
      <c r="D32" s="22"/>
    </row>
    <row r="33" spans="1:4" ht="28.8" x14ac:dyDescent="0.3">
      <c r="A33" s="23" t="s">
        <v>136</v>
      </c>
      <c r="B33" s="10" t="s">
        <v>176</v>
      </c>
      <c r="C33" s="9"/>
      <c r="D33" s="23"/>
    </row>
    <row r="34" spans="1:4" ht="27.6" x14ac:dyDescent="0.3">
      <c r="A34" s="36" t="s">
        <v>136</v>
      </c>
      <c r="B34" s="37" t="s">
        <v>177</v>
      </c>
      <c r="C34" s="38"/>
      <c r="D34" s="36"/>
    </row>
    <row r="35" spans="1:4" ht="55.2" x14ac:dyDescent="0.3">
      <c r="A35" s="23" t="s">
        <v>136</v>
      </c>
      <c r="B35" s="10" t="s">
        <v>178</v>
      </c>
      <c r="C35" s="9"/>
      <c r="D35" s="23"/>
    </row>
    <row r="36" spans="1:4" ht="55.2" x14ac:dyDescent="0.3">
      <c r="A36" s="23" t="s">
        <v>136</v>
      </c>
      <c r="B36" s="10" t="s">
        <v>179</v>
      </c>
      <c r="C36" s="9"/>
      <c r="D36" s="23"/>
    </row>
    <row r="37" spans="1:4" ht="14.4" x14ac:dyDescent="0.3">
      <c r="A37" s="23" t="s">
        <v>136</v>
      </c>
      <c r="B37" s="10" t="s">
        <v>180</v>
      </c>
      <c r="C37" s="9"/>
      <c r="D37" s="23"/>
    </row>
    <row r="38" spans="1:4" ht="14.4" x14ac:dyDescent="0.3">
      <c r="A38" s="23" t="s">
        <v>136</v>
      </c>
      <c r="B38" s="10" t="s">
        <v>181</v>
      </c>
      <c r="C38" s="9"/>
      <c r="D38" s="23"/>
    </row>
    <row r="39" spans="1:4" ht="14.4" x14ac:dyDescent="0.3">
      <c r="A39" s="23" t="s">
        <v>136</v>
      </c>
      <c r="B39" s="10" t="s">
        <v>182</v>
      </c>
      <c r="C39" s="9"/>
      <c r="D39" s="23"/>
    </row>
    <row r="40" spans="1:4" ht="41.4" x14ac:dyDescent="0.3">
      <c r="A40" s="23" t="s">
        <v>136</v>
      </c>
      <c r="B40" s="10" t="s">
        <v>183</v>
      </c>
      <c r="C40" s="9"/>
      <c r="D40" s="23"/>
    </row>
    <row r="41" spans="1:4" ht="69" x14ac:dyDescent="0.3">
      <c r="A41" s="23" t="s">
        <v>136</v>
      </c>
      <c r="B41" s="10" t="s">
        <v>184</v>
      </c>
      <c r="C41" s="9"/>
      <c r="D41" s="23"/>
    </row>
    <row r="42" spans="1:4" ht="55.2" x14ac:dyDescent="0.3">
      <c r="A42" s="23" t="s">
        <v>136</v>
      </c>
      <c r="B42" s="10" t="s">
        <v>185</v>
      </c>
      <c r="C42" s="9"/>
      <c r="D42" s="23"/>
    </row>
    <row r="43" spans="1:4" ht="27.6" x14ac:dyDescent="0.3">
      <c r="A43" s="22" t="s">
        <v>136</v>
      </c>
      <c r="B43" s="12" t="s">
        <v>187</v>
      </c>
      <c r="C43" s="22"/>
      <c r="D43" s="22"/>
    </row>
    <row r="44" spans="1:4" ht="14.4" x14ac:dyDescent="0.3">
      <c r="A44" s="23" t="s">
        <v>136</v>
      </c>
      <c r="B44" s="10" t="s">
        <v>188</v>
      </c>
      <c r="C44" s="9"/>
      <c r="D44" s="23"/>
    </row>
    <row r="45" spans="1:4" ht="14.4" x14ac:dyDescent="0.3">
      <c r="A45" s="23" t="s">
        <v>136</v>
      </c>
      <c r="B45" s="10" t="s">
        <v>190</v>
      </c>
      <c r="C45" s="9"/>
      <c r="D45" s="23"/>
    </row>
    <row r="46" spans="1:4" ht="14.4" x14ac:dyDescent="0.3">
      <c r="A46" s="23" t="s">
        <v>136</v>
      </c>
      <c r="B46" s="10" t="s">
        <v>191</v>
      </c>
      <c r="C46" s="9"/>
      <c r="D46" s="23"/>
    </row>
    <row r="47" spans="1:4" ht="14.4" x14ac:dyDescent="0.3">
      <c r="A47" s="23" t="s">
        <v>136</v>
      </c>
      <c r="B47" s="10" t="s">
        <v>192</v>
      </c>
      <c r="C47" s="9"/>
      <c r="D47" s="23"/>
    </row>
    <row r="48" spans="1:4" ht="14.4" x14ac:dyDescent="0.3">
      <c r="A48" s="23" t="s">
        <v>136</v>
      </c>
      <c r="B48" s="10" t="s">
        <v>194</v>
      </c>
      <c r="C48" s="9"/>
      <c r="D48" s="23"/>
    </row>
    <row r="49" spans="1:4" ht="14.4" x14ac:dyDescent="0.3">
      <c r="A49" s="23" t="s">
        <v>136</v>
      </c>
      <c r="B49" s="10" t="s">
        <v>195</v>
      </c>
      <c r="C49" s="9"/>
      <c r="D49" s="23"/>
    </row>
    <row r="50" spans="1:4" ht="14.4" x14ac:dyDescent="0.3">
      <c r="A50" s="23" t="s">
        <v>136</v>
      </c>
      <c r="B50" s="10" t="s">
        <v>197</v>
      </c>
      <c r="C50" s="9"/>
      <c r="D50" s="23"/>
    </row>
    <row r="51" spans="1:4" ht="14.4" x14ac:dyDescent="0.3">
      <c r="A51" s="23" t="s">
        <v>136</v>
      </c>
      <c r="B51" s="10" t="s">
        <v>198</v>
      </c>
      <c r="C51" s="9"/>
      <c r="D51" s="23"/>
    </row>
    <row r="52" spans="1:4" ht="27.6" x14ac:dyDescent="0.3">
      <c r="A52" s="22" t="s">
        <v>136</v>
      </c>
      <c r="B52" s="12" t="s">
        <v>200</v>
      </c>
      <c r="C52" s="22"/>
      <c r="D52" s="22"/>
    </row>
    <row r="53" spans="1:4" ht="27.6" x14ac:dyDescent="0.3">
      <c r="A53" s="23" t="s">
        <v>136</v>
      </c>
      <c r="B53" s="10" t="s">
        <v>201</v>
      </c>
      <c r="C53" s="9"/>
      <c r="D53" s="23"/>
    </row>
    <row r="54" spans="1:4" ht="14.4" x14ac:dyDescent="0.3">
      <c r="A54" s="23" t="s">
        <v>136</v>
      </c>
      <c r="B54" s="10" t="s">
        <v>202</v>
      </c>
      <c r="C54" s="9"/>
      <c r="D54" s="23"/>
    </row>
    <row r="55" spans="1:4" ht="55.2" x14ac:dyDescent="0.3">
      <c r="A55" s="22" t="s">
        <v>136</v>
      </c>
      <c r="B55" s="12" t="s">
        <v>203</v>
      </c>
      <c r="C55" s="22"/>
      <c r="D55" s="22"/>
    </row>
    <row r="56" spans="1:4" ht="14.4" x14ac:dyDescent="0.3">
      <c r="A56" s="23" t="s">
        <v>136</v>
      </c>
      <c r="B56" s="10" t="s">
        <v>204</v>
      </c>
      <c r="C56" s="9"/>
      <c r="D56" s="23"/>
    </row>
    <row r="57" spans="1:4" ht="14.4" x14ac:dyDescent="0.3">
      <c r="A57" s="23" t="s">
        <v>136</v>
      </c>
      <c r="B57" s="10" t="s">
        <v>205</v>
      </c>
      <c r="C57" s="9"/>
      <c r="D57" s="23"/>
    </row>
    <row r="58" spans="1:4" ht="14.4" x14ac:dyDescent="0.3">
      <c r="A58" s="23" t="s">
        <v>136</v>
      </c>
      <c r="B58" s="10" t="s">
        <v>206</v>
      </c>
      <c r="C58" s="9"/>
      <c r="D58" s="23"/>
    </row>
    <row r="59" spans="1:4" ht="14.4" x14ac:dyDescent="0.3">
      <c r="A59" s="23" t="s">
        <v>136</v>
      </c>
      <c r="B59" s="10" t="s">
        <v>207</v>
      </c>
      <c r="C59" s="9"/>
      <c r="D59" s="23"/>
    </row>
    <row r="60" spans="1:4" ht="14.4" x14ac:dyDescent="0.3">
      <c r="A60" s="23" t="s">
        <v>136</v>
      </c>
      <c r="B60" s="10" t="s">
        <v>209</v>
      </c>
      <c r="C60" s="9"/>
      <c r="D60" s="23"/>
    </row>
    <row r="61" spans="1:4" ht="14.4" x14ac:dyDescent="0.3">
      <c r="A61" s="23" t="s">
        <v>136</v>
      </c>
      <c r="B61" s="10" t="s">
        <v>211</v>
      </c>
      <c r="C61" s="9"/>
      <c r="D61" s="23"/>
    </row>
    <row r="62" spans="1:4" ht="27.6" x14ac:dyDescent="0.3">
      <c r="A62" s="22" t="s">
        <v>136</v>
      </c>
      <c r="B62" s="12" t="s">
        <v>212</v>
      </c>
      <c r="C62" s="26"/>
      <c r="D62" s="26"/>
    </row>
    <row r="63" spans="1:4" ht="27.6" x14ac:dyDescent="0.3">
      <c r="A63" s="22" t="s">
        <v>136</v>
      </c>
      <c r="B63" s="12" t="s">
        <v>213</v>
      </c>
      <c r="C63" s="26"/>
      <c r="D63" s="26"/>
    </row>
    <row r="64" spans="1:4" ht="28.8" x14ac:dyDescent="0.3">
      <c r="A64" s="23" t="s">
        <v>136</v>
      </c>
      <c r="B64" s="10" t="s">
        <v>215</v>
      </c>
      <c r="C64" s="9"/>
      <c r="D64" s="23"/>
    </row>
    <row r="65" spans="1:4" ht="14.4" x14ac:dyDescent="0.3">
      <c r="A65" s="23" t="s">
        <v>136</v>
      </c>
      <c r="B65" s="10" t="s">
        <v>217</v>
      </c>
      <c r="C65" s="9"/>
      <c r="D65" s="23"/>
    </row>
    <row r="66" spans="1:4" ht="14.4" x14ac:dyDescent="0.3">
      <c r="A66" s="23" t="s">
        <v>136</v>
      </c>
      <c r="B66" s="10" t="s">
        <v>219</v>
      </c>
      <c r="C66" s="9"/>
      <c r="D66" s="23"/>
    </row>
    <row r="67" spans="1:4" ht="27.6" x14ac:dyDescent="0.3">
      <c r="A67" s="23" t="s">
        <v>136</v>
      </c>
      <c r="B67" s="10" t="s">
        <v>221</v>
      </c>
      <c r="C67" s="9"/>
      <c r="D67" s="23"/>
    </row>
    <row r="68" spans="1:4" ht="41.4" x14ac:dyDescent="0.3">
      <c r="A68" s="23" t="s">
        <v>136</v>
      </c>
      <c r="B68" s="10" t="s">
        <v>222</v>
      </c>
      <c r="C68" s="9"/>
      <c r="D68" s="23"/>
    </row>
    <row r="69" spans="1:4" ht="28.8" x14ac:dyDescent="0.3">
      <c r="A69" s="23" t="s">
        <v>136</v>
      </c>
      <c r="B69" s="10" t="s">
        <v>224</v>
      </c>
      <c r="C69" s="9"/>
      <c r="D69" s="23"/>
    </row>
    <row r="70" spans="1:4" ht="14.4" x14ac:dyDescent="0.3">
      <c r="A70" s="23" t="s">
        <v>136</v>
      </c>
      <c r="B70" s="10" t="s">
        <v>226</v>
      </c>
      <c r="C70" s="9"/>
      <c r="D70" s="23"/>
    </row>
    <row r="71" spans="1:4" ht="14.4" x14ac:dyDescent="0.3">
      <c r="A71" s="23" t="s">
        <v>136</v>
      </c>
      <c r="B71" s="10" t="s">
        <v>227</v>
      </c>
      <c r="C71" s="9"/>
      <c r="D71" s="23"/>
    </row>
    <row r="72" spans="1:4" ht="14.4" x14ac:dyDescent="0.3">
      <c r="A72" s="23" t="s">
        <v>136</v>
      </c>
      <c r="B72" s="10" t="s">
        <v>229</v>
      </c>
      <c r="C72" s="9"/>
      <c r="D72" s="23"/>
    </row>
    <row r="73" spans="1:4" ht="14.4" x14ac:dyDescent="0.3">
      <c r="A73" s="23" t="s">
        <v>136</v>
      </c>
      <c r="B73" s="10" t="s">
        <v>231</v>
      </c>
      <c r="C73" s="9"/>
      <c r="D73" s="23"/>
    </row>
    <row r="74" spans="1:4" ht="27.6" x14ac:dyDescent="0.3">
      <c r="A74" s="23" t="s">
        <v>136</v>
      </c>
      <c r="B74" s="10" t="s">
        <v>233</v>
      </c>
      <c r="C74" s="9"/>
      <c r="D74" s="23"/>
    </row>
    <row r="75" spans="1:4" ht="27.6" x14ac:dyDescent="0.3">
      <c r="A75" s="23" t="s">
        <v>136</v>
      </c>
      <c r="B75" s="10" t="s">
        <v>234</v>
      </c>
      <c r="C75" s="9"/>
      <c r="D75" s="23"/>
    </row>
    <row r="76" spans="1:4" ht="28.8" x14ac:dyDescent="0.3">
      <c r="A76" s="23" t="s">
        <v>136</v>
      </c>
      <c r="B76" s="10" t="s">
        <v>235</v>
      </c>
      <c r="C76" s="9"/>
      <c r="D76" s="23"/>
    </row>
    <row r="77" spans="1:4" ht="14.4" x14ac:dyDescent="0.3">
      <c r="A77" s="23" t="s">
        <v>136</v>
      </c>
      <c r="B77" s="10" t="s">
        <v>237</v>
      </c>
      <c r="C77" s="9"/>
      <c r="D77" s="23"/>
    </row>
    <row r="78" spans="1:4" ht="14.4" x14ac:dyDescent="0.3">
      <c r="A78" s="23" t="s">
        <v>136</v>
      </c>
      <c r="B78" s="10" t="s">
        <v>238</v>
      </c>
      <c r="C78" s="9"/>
      <c r="D78" s="23"/>
    </row>
    <row r="79" spans="1:4" ht="27.6" x14ac:dyDescent="0.3">
      <c r="A79" s="23" t="s">
        <v>136</v>
      </c>
      <c r="B79" s="10" t="s">
        <v>240</v>
      </c>
      <c r="C79" s="9"/>
      <c r="D79" s="23"/>
    </row>
    <row r="80" spans="1:4" ht="14.4" x14ac:dyDescent="0.3">
      <c r="A80" s="23" t="s">
        <v>136</v>
      </c>
      <c r="B80" s="10" t="s">
        <v>241</v>
      </c>
      <c r="C80" s="9"/>
      <c r="D80" s="23"/>
    </row>
    <row r="81" spans="1:4" ht="28.8" x14ac:dyDescent="0.3">
      <c r="A81" s="23" t="s">
        <v>136</v>
      </c>
      <c r="B81" s="10" t="s">
        <v>243</v>
      </c>
      <c r="C81" s="9"/>
      <c r="D81" s="23"/>
    </row>
    <row r="82" spans="1:4" ht="27.6" x14ac:dyDescent="0.3">
      <c r="A82" s="23" t="s">
        <v>136</v>
      </c>
      <c r="B82" s="10" t="s">
        <v>244</v>
      </c>
      <c r="C82" s="9"/>
      <c r="D82" s="23"/>
    </row>
    <row r="83" spans="1:4" ht="14.4" x14ac:dyDescent="0.3">
      <c r="A83" s="23" t="s">
        <v>136</v>
      </c>
      <c r="B83" s="10" t="s">
        <v>246</v>
      </c>
      <c r="C83" s="9"/>
      <c r="D83" s="23"/>
    </row>
    <row r="84" spans="1:4" ht="14.4" x14ac:dyDescent="0.3">
      <c r="A84" s="23" t="s">
        <v>136</v>
      </c>
      <c r="B84" s="10" t="s">
        <v>247</v>
      </c>
      <c r="C84" s="9"/>
      <c r="D84" s="23"/>
    </row>
    <row r="85" spans="1:4" ht="41.4" x14ac:dyDescent="0.3">
      <c r="A85" s="23" t="s">
        <v>136</v>
      </c>
      <c r="B85" s="10" t="s">
        <v>249</v>
      </c>
      <c r="C85" s="9"/>
      <c r="D85" s="23"/>
    </row>
    <row r="86" spans="1:4" ht="43.2" x14ac:dyDescent="0.3">
      <c r="A86" s="23" t="s">
        <v>136</v>
      </c>
      <c r="B86" s="10" t="s">
        <v>250</v>
      </c>
      <c r="C86" s="9"/>
      <c r="D86" s="23"/>
    </row>
    <row r="87" spans="1:4" ht="14.4" x14ac:dyDescent="0.3">
      <c r="A87" s="23" t="s">
        <v>136</v>
      </c>
      <c r="B87" s="10" t="s">
        <v>252</v>
      </c>
      <c r="C87" s="9"/>
      <c r="D87" s="23"/>
    </row>
    <row r="88" spans="1:4" ht="27.6" x14ac:dyDescent="0.3">
      <c r="A88" s="23" t="s">
        <v>136</v>
      </c>
      <c r="B88" s="10" t="s">
        <v>253</v>
      </c>
      <c r="C88" s="9"/>
      <c r="D88" s="23"/>
    </row>
    <row r="89" spans="1:4" ht="41.4" x14ac:dyDescent="0.3">
      <c r="A89" s="22" t="s">
        <v>136</v>
      </c>
      <c r="B89" s="12" t="s">
        <v>255</v>
      </c>
      <c r="C89" s="26"/>
      <c r="D89" s="26"/>
    </row>
    <row r="90" spans="1:4" ht="27.6" x14ac:dyDescent="0.3">
      <c r="A90" s="23" t="s">
        <v>136</v>
      </c>
      <c r="B90" s="10" t="s">
        <v>256</v>
      </c>
      <c r="C90" s="9"/>
      <c r="D90" s="23"/>
    </row>
    <row r="91" spans="1:4" ht="14.4" x14ac:dyDescent="0.3">
      <c r="A91" s="23" t="s">
        <v>136</v>
      </c>
      <c r="B91" s="10" t="s">
        <v>258</v>
      </c>
      <c r="C91" s="9"/>
      <c r="D91" s="23"/>
    </row>
    <row r="92" spans="1:4" ht="27.6" x14ac:dyDescent="0.3">
      <c r="A92" s="23" t="s">
        <v>136</v>
      </c>
      <c r="B92" s="10" t="s">
        <v>259</v>
      </c>
      <c r="C92" s="9"/>
      <c r="D92" s="23"/>
    </row>
    <row r="93" spans="1:4" ht="14.4" x14ac:dyDescent="0.3">
      <c r="A93" s="23" t="s">
        <v>136</v>
      </c>
      <c r="B93" s="10" t="s">
        <v>261</v>
      </c>
      <c r="C93" s="9"/>
      <c r="D93" s="23"/>
    </row>
    <row r="94" spans="1:4" ht="41.4" x14ac:dyDescent="0.3">
      <c r="A94" s="23" t="s">
        <v>136</v>
      </c>
      <c r="B94" s="10" t="s">
        <v>262</v>
      </c>
      <c r="C94" s="9"/>
      <c r="D94" s="23"/>
    </row>
    <row r="95" spans="1:4" ht="14.4" x14ac:dyDescent="0.3">
      <c r="A95" s="23" t="s">
        <v>136</v>
      </c>
      <c r="B95" s="10" t="s">
        <v>264</v>
      </c>
      <c r="C95" s="9"/>
      <c r="D95" s="23"/>
    </row>
    <row r="96" spans="1:4" ht="14.4" x14ac:dyDescent="0.3">
      <c r="A96" s="23" t="s">
        <v>136</v>
      </c>
      <c r="B96" s="10" t="s">
        <v>265</v>
      </c>
      <c r="C96" s="9"/>
      <c r="D96" s="23"/>
    </row>
    <row r="97" spans="1:4" ht="14.4" x14ac:dyDescent="0.3">
      <c r="A97" s="23" t="s">
        <v>136</v>
      </c>
      <c r="B97" s="10" t="s">
        <v>267</v>
      </c>
      <c r="C97" s="9"/>
      <c r="D97" s="23"/>
    </row>
    <row r="98" spans="1:4" ht="41.4" x14ac:dyDescent="0.3">
      <c r="A98" s="22" t="s">
        <v>136</v>
      </c>
      <c r="B98" s="12" t="s">
        <v>268</v>
      </c>
      <c r="C98" s="22"/>
      <c r="D98" s="22"/>
    </row>
    <row r="99" spans="1:4" ht="14.4" x14ac:dyDescent="0.3">
      <c r="A99" s="23" t="s">
        <v>136</v>
      </c>
      <c r="B99" s="10" t="s">
        <v>270</v>
      </c>
      <c r="C99" s="9"/>
      <c r="D99" s="23"/>
    </row>
    <row r="100" spans="1:4" ht="27.6" x14ac:dyDescent="0.3">
      <c r="A100" s="23" t="s">
        <v>136</v>
      </c>
      <c r="B100" s="10" t="s">
        <v>272</v>
      </c>
      <c r="C100" s="9"/>
      <c r="D100" s="23"/>
    </row>
    <row r="101" spans="1:4" ht="27.6" x14ac:dyDescent="0.3">
      <c r="A101" s="23" t="s">
        <v>136</v>
      </c>
      <c r="B101" s="10" t="s">
        <v>273</v>
      </c>
      <c r="C101" s="9"/>
      <c r="D101" s="23"/>
    </row>
    <row r="102" spans="1:4" ht="14.4" x14ac:dyDescent="0.3">
      <c r="A102" s="23" t="s">
        <v>136</v>
      </c>
      <c r="B102" s="10" t="s">
        <v>275</v>
      </c>
      <c r="C102" s="9"/>
      <c r="D102" s="23"/>
    </row>
    <row r="103" spans="1:4" ht="27.6" x14ac:dyDescent="0.3">
      <c r="A103" s="23" t="s">
        <v>136</v>
      </c>
      <c r="B103" s="10" t="s">
        <v>277</v>
      </c>
      <c r="C103" s="9"/>
      <c r="D103" s="23"/>
    </row>
    <row r="104" spans="1:4" ht="14.4" x14ac:dyDescent="0.3">
      <c r="A104" s="23" t="s">
        <v>136</v>
      </c>
      <c r="B104" s="10" t="s">
        <v>278</v>
      </c>
      <c r="C104" s="9"/>
      <c r="D104" s="23"/>
    </row>
    <row r="105" spans="1:4" ht="27.6" x14ac:dyDescent="0.3">
      <c r="A105" s="23" t="s">
        <v>136</v>
      </c>
      <c r="B105" s="10" t="s">
        <v>279</v>
      </c>
      <c r="C105" s="9"/>
      <c r="D105" s="23"/>
    </row>
    <row r="106" spans="1:4" ht="14.4" x14ac:dyDescent="0.3">
      <c r="A106" s="23" t="s">
        <v>136</v>
      </c>
      <c r="B106" s="10" t="s">
        <v>281</v>
      </c>
      <c r="C106" s="9"/>
      <c r="D106" s="23"/>
    </row>
    <row r="107" spans="1:4" ht="27.6" x14ac:dyDescent="0.3">
      <c r="A107" s="22" t="s">
        <v>136</v>
      </c>
      <c r="B107" s="12" t="s">
        <v>283</v>
      </c>
      <c r="C107" s="22"/>
      <c r="D107" s="22"/>
    </row>
    <row r="108" spans="1:4" ht="41.4" x14ac:dyDescent="0.3">
      <c r="A108" s="23" t="s">
        <v>136</v>
      </c>
      <c r="B108" s="10" t="s">
        <v>284</v>
      </c>
      <c r="C108" s="9"/>
      <c r="D108" s="23"/>
    </row>
    <row r="109" spans="1:4" ht="14.4" x14ac:dyDescent="0.3">
      <c r="A109" s="23" t="s">
        <v>136</v>
      </c>
      <c r="B109" s="10" t="s">
        <v>285</v>
      </c>
      <c r="C109" s="9"/>
      <c r="D109" s="23"/>
    </row>
    <row r="110" spans="1:4" ht="41.4" x14ac:dyDescent="0.3">
      <c r="A110" s="23" t="s">
        <v>136</v>
      </c>
      <c r="B110" s="10" t="s">
        <v>287</v>
      </c>
      <c r="C110" s="9"/>
      <c r="D110" s="23"/>
    </row>
    <row r="111" spans="1:4" ht="27.6" x14ac:dyDescent="0.3">
      <c r="A111" s="23" t="s">
        <v>136</v>
      </c>
      <c r="B111" s="10" t="s">
        <v>288</v>
      </c>
      <c r="C111" s="9"/>
      <c r="D111" s="23"/>
    </row>
    <row r="112" spans="1:4" ht="41.4" x14ac:dyDescent="0.3">
      <c r="A112" s="22" t="s">
        <v>136</v>
      </c>
      <c r="B112" s="12" t="s">
        <v>290</v>
      </c>
      <c r="C112" s="22"/>
      <c r="D112" s="22"/>
    </row>
    <row r="113" spans="1:4" ht="14.4" x14ac:dyDescent="0.3">
      <c r="A113" s="23" t="s">
        <v>136</v>
      </c>
      <c r="B113" s="10" t="s">
        <v>291</v>
      </c>
      <c r="C113" s="9"/>
      <c r="D113" s="23"/>
    </row>
    <row r="114" spans="1:4" ht="27.6" x14ac:dyDescent="0.3">
      <c r="A114" s="23" t="s">
        <v>136</v>
      </c>
      <c r="B114" s="10" t="s">
        <v>293</v>
      </c>
      <c r="C114" s="9"/>
      <c r="D114" s="23"/>
    </row>
    <row r="115" spans="1:4" ht="27.6" x14ac:dyDescent="0.3">
      <c r="A115" s="23" t="s">
        <v>136</v>
      </c>
      <c r="B115" s="10" t="s">
        <v>295</v>
      </c>
      <c r="C115" s="9"/>
      <c r="D115" s="23"/>
    </row>
    <row r="116" spans="1:4" ht="14.4" x14ac:dyDescent="0.3">
      <c r="A116" s="22" t="s">
        <v>136</v>
      </c>
      <c r="B116" s="12" t="s">
        <v>296</v>
      </c>
      <c r="C116" s="22"/>
      <c r="D116" s="22"/>
    </row>
    <row r="117" spans="1:4" ht="14.4" x14ac:dyDescent="0.3">
      <c r="A117" s="23" t="s">
        <v>136</v>
      </c>
      <c r="B117" s="10" t="s">
        <v>298</v>
      </c>
      <c r="C117" s="9"/>
      <c r="D117" s="23"/>
    </row>
    <row r="118" spans="1:4" ht="14.4" x14ac:dyDescent="0.3">
      <c r="A118" s="23" t="s">
        <v>136</v>
      </c>
      <c r="B118" s="10" t="s">
        <v>299</v>
      </c>
      <c r="C118" s="9"/>
      <c r="D118" s="23"/>
    </row>
    <row r="119" spans="1:4" ht="14.4" x14ac:dyDescent="0.3">
      <c r="A119" s="23" t="s">
        <v>136</v>
      </c>
      <c r="B119" s="10" t="s">
        <v>301</v>
      </c>
      <c r="C119" s="9"/>
      <c r="D119" s="23"/>
    </row>
    <row r="120" spans="1:4" ht="14.4" x14ac:dyDescent="0.3">
      <c r="A120" s="22" t="s">
        <v>136</v>
      </c>
      <c r="B120" s="12" t="s">
        <v>303</v>
      </c>
      <c r="C120" s="22"/>
      <c r="D120" s="22"/>
    </row>
    <row r="121" spans="1:4" ht="14.4" x14ac:dyDescent="0.3">
      <c r="A121" s="23" t="s">
        <v>136</v>
      </c>
      <c r="B121" s="10" t="s">
        <v>304</v>
      </c>
      <c r="C121" s="9"/>
      <c r="D121" s="23"/>
    </row>
    <row r="122" spans="1:4" ht="14.4" x14ac:dyDescent="0.3">
      <c r="A122" s="23" t="s">
        <v>136</v>
      </c>
      <c r="B122" s="10" t="s">
        <v>306</v>
      </c>
      <c r="C122" s="9"/>
      <c r="D122" s="23"/>
    </row>
    <row r="123" spans="1:4" ht="14.4" x14ac:dyDescent="0.3">
      <c r="A123" s="22" t="s">
        <v>136</v>
      </c>
      <c r="B123" s="12" t="s">
        <v>308</v>
      </c>
      <c r="C123" s="22"/>
      <c r="D123" s="22"/>
    </row>
    <row r="124" spans="1:4" ht="14.4" x14ac:dyDescent="0.3">
      <c r="A124" s="23" t="s">
        <v>136</v>
      </c>
      <c r="B124" s="10" t="s">
        <v>309</v>
      </c>
      <c r="C124" s="9"/>
      <c r="D124" s="23"/>
    </row>
    <row r="125" spans="1:4" ht="14.4" x14ac:dyDescent="0.3">
      <c r="A125" s="23" t="s">
        <v>136</v>
      </c>
      <c r="B125" s="10" t="s">
        <v>311</v>
      </c>
      <c r="C125" s="9"/>
      <c r="D125" s="23"/>
    </row>
    <row r="126" spans="1:4" ht="27.6" x14ac:dyDescent="0.3">
      <c r="A126" s="23" t="s">
        <v>136</v>
      </c>
      <c r="B126" s="10" t="s">
        <v>313</v>
      </c>
      <c r="C126" s="9"/>
      <c r="D126" s="23"/>
    </row>
    <row r="127" spans="1:4" ht="27.6" x14ac:dyDescent="0.3">
      <c r="A127" s="23" t="s">
        <v>136</v>
      </c>
      <c r="B127" s="10" t="s">
        <v>314</v>
      </c>
      <c r="C127" s="9"/>
      <c r="D127" s="23"/>
    </row>
    <row r="128" spans="1:4" ht="27.6" x14ac:dyDescent="0.3">
      <c r="A128" s="23" t="s">
        <v>136</v>
      </c>
      <c r="B128" s="10" t="s">
        <v>316</v>
      </c>
      <c r="C128" s="9"/>
      <c r="D128" s="23"/>
    </row>
    <row r="129" spans="1:4" ht="27.6" x14ac:dyDescent="0.3">
      <c r="A129" s="23" t="s">
        <v>136</v>
      </c>
      <c r="B129" s="10" t="s">
        <v>318</v>
      </c>
      <c r="C129" s="9"/>
      <c r="D129" s="23"/>
    </row>
    <row r="130" spans="1:4" ht="14.4" x14ac:dyDescent="0.3">
      <c r="A130" s="23" t="s">
        <v>136</v>
      </c>
      <c r="B130" s="10" t="s">
        <v>319</v>
      </c>
      <c r="C130" s="9"/>
      <c r="D130" s="23"/>
    </row>
    <row r="131" spans="1:4" ht="14.4" x14ac:dyDescent="0.3">
      <c r="A131" s="23" t="s">
        <v>136</v>
      </c>
      <c r="B131" s="10" t="s">
        <v>321</v>
      </c>
      <c r="C131" s="9"/>
      <c r="D131" s="23"/>
    </row>
    <row r="132" spans="1:4" ht="14.4" x14ac:dyDescent="0.3">
      <c r="A132" s="22" t="s">
        <v>136</v>
      </c>
      <c r="B132" s="12" t="s">
        <v>322</v>
      </c>
      <c r="C132" s="22"/>
      <c r="D132" s="22"/>
    </row>
    <row r="133" spans="1:4" ht="14.4" x14ac:dyDescent="0.3">
      <c r="A133" s="23" t="s">
        <v>136</v>
      </c>
      <c r="B133" s="10" t="s">
        <v>324</v>
      </c>
      <c r="C133" s="9"/>
      <c r="D133" s="23"/>
    </row>
    <row r="134" spans="1:4" ht="14.4" x14ac:dyDescent="0.3">
      <c r="A134" s="23" t="s">
        <v>136</v>
      </c>
      <c r="B134" s="10" t="s">
        <v>326</v>
      </c>
      <c r="C134" s="9"/>
      <c r="D134" s="23"/>
    </row>
    <row r="135" spans="1:4" ht="14.4" x14ac:dyDescent="0.3">
      <c r="A135" s="23" t="s">
        <v>136</v>
      </c>
      <c r="B135" s="10" t="s">
        <v>327</v>
      </c>
      <c r="C135" s="9"/>
      <c r="D135" s="23"/>
    </row>
    <row r="136" spans="1:4" ht="14.4" x14ac:dyDescent="0.3">
      <c r="A136" s="23" t="s">
        <v>136</v>
      </c>
      <c r="B136" s="10" t="s">
        <v>328</v>
      </c>
      <c r="C136" s="9"/>
      <c r="D136" s="23"/>
    </row>
    <row r="137" spans="1:4" ht="14.4" x14ac:dyDescent="0.3">
      <c r="A137" s="23" t="s">
        <v>136</v>
      </c>
      <c r="B137" s="10" t="s">
        <v>329</v>
      </c>
      <c r="C137" s="9"/>
      <c r="D137" s="23"/>
    </row>
    <row r="138" spans="1:4" ht="14.4" x14ac:dyDescent="0.3">
      <c r="A138" s="22" t="s">
        <v>136</v>
      </c>
      <c r="B138" s="12" t="s">
        <v>330</v>
      </c>
      <c r="C138" s="22"/>
      <c r="D138" s="22"/>
    </row>
    <row r="139" spans="1:4" ht="14.4" x14ac:dyDescent="0.3">
      <c r="A139" s="23" t="s">
        <v>136</v>
      </c>
      <c r="B139" s="10" t="s">
        <v>331</v>
      </c>
      <c r="C139" s="9"/>
      <c r="D139" s="23"/>
    </row>
    <row r="140" spans="1:4" ht="14.4" x14ac:dyDescent="0.3">
      <c r="A140" s="23" t="s">
        <v>136</v>
      </c>
      <c r="B140" s="10" t="s">
        <v>332</v>
      </c>
      <c r="C140" s="9"/>
      <c r="D140" s="23"/>
    </row>
    <row r="141" spans="1:4" ht="27.6" x14ac:dyDescent="0.3">
      <c r="A141" s="22" t="s">
        <v>136</v>
      </c>
      <c r="B141" s="12" t="s">
        <v>333</v>
      </c>
      <c r="C141" s="22"/>
      <c r="D141" s="22"/>
    </row>
    <row r="142" spans="1:4" ht="14.4" x14ac:dyDescent="0.3">
      <c r="A142" s="23" t="s">
        <v>136</v>
      </c>
      <c r="B142" s="10" t="s">
        <v>334</v>
      </c>
      <c r="C142" s="9"/>
      <c r="D142" s="23"/>
    </row>
    <row r="143" spans="1:4" ht="14.4" x14ac:dyDescent="0.3">
      <c r="A143" s="23" t="s">
        <v>136</v>
      </c>
      <c r="B143" s="10" t="s">
        <v>335</v>
      </c>
      <c r="C143" s="9"/>
      <c r="D143" s="23"/>
    </row>
    <row r="144" spans="1:4" ht="41.4" x14ac:dyDescent="0.3">
      <c r="A144" s="23" t="s">
        <v>136</v>
      </c>
      <c r="B144" s="10" t="s">
        <v>336</v>
      </c>
      <c r="C144" s="9"/>
      <c r="D144" s="23"/>
    </row>
    <row r="145" spans="1:4" ht="14.4" x14ac:dyDescent="0.3">
      <c r="A145" s="23" t="s">
        <v>136</v>
      </c>
      <c r="B145" s="10" t="s">
        <v>337</v>
      </c>
      <c r="C145" s="9"/>
      <c r="D145" s="23"/>
    </row>
    <row r="146" spans="1:4" ht="14.4" x14ac:dyDescent="0.3">
      <c r="A146" s="23" t="s">
        <v>136</v>
      </c>
      <c r="B146" s="10" t="s">
        <v>338</v>
      </c>
      <c r="C146" s="9"/>
      <c r="D146" s="23"/>
    </row>
    <row r="147" spans="1:4" ht="14.4" x14ac:dyDescent="0.3">
      <c r="A147" s="23" t="s">
        <v>136</v>
      </c>
      <c r="B147" s="10" t="s">
        <v>340</v>
      </c>
      <c r="C147" s="9"/>
      <c r="D147" s="23"/>
    </row>
    <row r="148" spans="1:4" ht="82.8" x14ac:dyDescent="0.3">
      <c r="A148" s="23" t="s">
        <v>136</v>
      </c>
      <c r="B148" s="10" t="s">
        <v>341</v>
      </c>
      <c r="C148" s="9"/>
      <c r="D148" s="23"/>
    </row>
    <row r="149" spans="1:4" ht="14.4" x14ac:dyDescent="0.3">
      <c r="A149" s="41" t="s">
        <v>136</v>
      </c>
      <c r="B149" s="42" t="s">
        <v>344</v>
      </c>
      <c r="C149" s="9"/>
      <c r="D149" s="23"/>
    </row>
    <row r="150" spans="1:4" ht="41.4" x14ac:dyDescent="0.3">
      <c r="A150" s="23" t="s">
        <v>136</v>
      </c>
      <c r="B150" s="10" t="s">
        <v>346</v>
      </c>
      <c r="C150" s="9"/>
      <c r="D150" s="23"/>
    </row>
    <row r="151" spans="1:4" ht="27.6" x14ac:dyDescent="0.3">
      <c r="A151" s="23" t="s">
        <v>136</v>
      </c>
      <c r="B151" s="10" t="s">
        <v>347</v>
      </c>
      <c r="C151" s="9"/>
      <c r="D151" s="23"/>
    </row>
    <row r="152" spans="1:4" ht="27.6" x14ac:dyDescent="0.3">
      <c r="A152" s="22" t="s">
        <v>136</v>
      </c>
      <c r="B152" s="12" t="s">
        <v>349</v>
      </c>
      <c r="C152" s="26"/>
      <c r="D152" s="26"/>
    </row>
    <row r="153" spans="1:4" ht="27.6" x14ac:dyDescent="0.3">
      <c r="A153" s="23" t="s">
        <v>136</v>
      </c>
      <c r="B153" s="10" t="s">
        <v>351</v>
      </c>
      <c r="C153" s="9"/>
      <c r="D153" s="23"/>
    </row>
    <row r="154" spans="1:4" ht="69" x14ac:dyDescent="0.3">
      <c r="A154" s="23" t="s">
        <v>136</v>
      </c>
      <c r="B154" s="10" t="s">
        <v>353</v>
      </c>
      <c r="C154" s="9"/>
      <c r="D154" s="23"/>
    </row>
    <row r="155" spans="1:4" ht="41.4" x14ac:dyDescent="0.3">
      <c r="A155" s="23" t="s">
        <v>136</v>
      </c>
      <c r="B155" s="10" t="s">
        <v>355</v>
      </c>
      <c r="C155" s="9"/>
      <c r="D155" s="23"/>
    </row>
    <row r="156" spans="1:4" s="276" customFormat="1" ht="110.4" x14ac:dyDescent="0.3">
      <c r="A156" s="273" t="s">
        <v>136</v>
      </c>
      <c r="B156" s="274" t="s">
        <v>357</v>
      </c>
      <c r="C156" s="275"/>
      <c r="D156" s="273"/>
    </row>
    <row r="157" spans="1:4" ht="55.2" x14ac:dyDescent="0.3">
      <c r="A157" s="23" t="s">
        <v>136</v>
      </c>
      <c r="B157" s="10" t="s">
        <v>359</v>
      </c>
      <c r="C157" s="9"/>
      <c r="D157" s="23"/>
    </row>
    <row r="158" spans="1:4" ht="27.6" x14ac:dyDescent="0.3">
      <c r="A158" s="22" t="s">
        <v>136</v>
      </c>
      <c r="B158" s="12" t="s">
        <v>360</v>
      </c>
      <c r="C158" s="26"/>
      <c r="D158" s="26"/>
    </row>
    <row r="159" spans="1:4" ht="14.4" x14ac:dyDescent="0.3">
      <c r="A159" s="22" t="s">
        <v>136</v>
      </c>
      <c r="B159" s="12" t="s">
        <v>362</v>
      </c>
      <c r="C159" s="26"/>
      <c r="D159" s="26"/>
    </row>
    <row r="160" spans="1:4" ht="27.6" x14ac:dyDescent="0.3">
      <c r="A160" s="23" t="s">
        <v>136</v>
      </c>
      <c r="B160" s="10" t="s">
        <v>364</v>
      </c>
      <c r="C160" s="9"/>
      <c r="D160" s="23"/>
    </row>
    <row r="161" spans="1:4" ht="27.6" x14ac:dyDescent="0.3">
      <c r="A161" s="23" t="s">
        <v>136</v>
      </c>
      <c r="B161" s="10" t="s">
        <v>366</v>
      </c>
      <c r="C161" s="9"/>
      <c r="D161" s="23"/>
    </row>
    <row r="162" spans="1:4" ht="14.4" x14ac:dyDescent="0.3">
      <c r="A162" s="23" t="s">
        <v>136</v>
      </c>
      <c r="B162" s="10" t="s">
        <v>368</v>
      </c>
      <c r="C162" s="9"/>
      <c r="D162" s="23"/>
    </row>
    <row r="163" spans="1:4" ht="14.4" x14ac:dyDescent="0.3">
      <c r="A163" s="23" t="s">
        <v>136</v>
      </c>
      <c r="B163" s="10" t="s">
        <v>371</v>
      </c>
      <c r="C163" s="9"/>
      <c r="D163" s="23"/>
    </row>
    <row r="164" spans="1:4" ht="27.6" x14ac:dyDescent="0.3">
      <c r="A164" s="36" t="s">
        <v>136</v>
      </c>
      <c r="B164" s="10" t="s">
        <v>373</v>
      </c>
      <c r="C164" s="9"/>
      <c r="D164" s="23"/>
    </row>
    <row r="165" spans="1:4" ht="14.4" x14ac:dyDescent="0.3">
      <c r="A165" s="45" t="s">
        <v>136</v>
      </c>
      <c r="B165" s="12" t="s">
        <v>377</v>
      </c>
      <c r="C165" s="26"/>
      <c r="D165" s="26"/>
    </row>
    <row r="166" spans="1:4" ht="14.4" x14ac:dyDescent="0.3">
      <c r="A166" s="45" t="s">
        <v>136</v>
      </c>
      <c r="B166" s="12" t="s">
        <v>380</v>
      </c>
      <c r="C166" s="26"/>
      <c r="D166" s="26"/>
    </row>
    <row r="167" spans="1:4" ht="27.6" x14ac:dyDescent="0.3">
      <c r="A167" s="23" t="s">
        <v>136</v>
      </c>
      <c r="B167" s="10" t="s">
        <v>383</v>
      </c>
      <c r="C167" s="9"/>
      <c r="D167" s="23"/>
    </row>
    <row r="168" spans="1:4" ht="14.4" x14ac:dyDescent="0.3">
      <c r="A168" s="23" t="s">
        <v>136</v>
      </c>
      <c r="B168" s="10" t="s">
        <v>385</v>
      </c>
      <c r="C168" s="9"/>
      <c r="D168" s="23"/>
    </row>
    <row r="169" spans="1:4" ht="14.4" x14ac:dyDescent="0.3">
      <c r="A169" s="22" t="s">
        <v>136</v>
      </c>
      <c r="B169" s="12" t="s">
        <v>387</v>
      </c>
      <c r="C169" s="26"/>
      <c r="D169" s="26"/>
    </row>
    <row r="170" spans="1:4" ht="27.6" x14ac:dyDescent="0.3">
      <c r="A170" s="36" t="s">
        <v>136</v>
      </c>
      <c r="B170" s="37" t="s">
        <v>389</v>
      </c>
      <c r="C170" s="9"/>
      <c r="D170" s="36"/>
    </row>
    <row r="171" spans="1:4" ht="14.4" x14ac:dyDescent="0.3">
      <c r="A171" s="22" t="s">
        <v>136</v>
      </c>
      <c r="B171" s="12" t="s">
        <v>391</v>
      </c>
      <c r="C171" s="26"/>
      <c r="D171" s="26"/>
    </row>
    <row r="172" spans="1:4" ht="14.4" x14ac:dyDescent="0.3">
      <c r="A172" s="23" t="s">
        <v>136</v>
      </c>
      <c r="B172" s="10" t="s">
        <v>393</v>
      </c>
      <c r="C172" s="9"/>
      <c r="D172" s="23"/>
    </row>
    <row r="173" spans="1:4" ht="14.4" x14ac:dyDescent="0.3">
      <c r="A173" s="23" t="s">
        <v>136</v>
      </c>
      <c r="B173" s="10" t="s">
        <v>395</v>
      </c>
      <c r="C173" s="9"/>
      <c r="D173" s="23"/>
    </row>
    <row r="174" spans="1:4" ht="27.6" x14ac:dyDescent="0.3">
      <c r="A174" s="23" t="s">
        <v>136</v>
      </c>
      <c r="B174" s="10" t="s">
        <v>397</v>
      </c>
      <c r="C174" s="9"/>
      <c r="D174" s="23"/>
    </row>
    <row r="175" spans="1:4" ht="14.4" x14ac:dyDescent="0.3">
      <c r="A175" s="23" t="s">
        <v>136</v>
      </c>
      <c r="B175" s="10" t="s">
        <v>398</v>
      </c>
      <c r="C175" s="9"/>
      <c r="D175" s="23"/>
    </row>
    <row r="176" spans="1:4" ht="14.4" x14ac:dyDescent="0.3">
      <c r="A176" s="23" t="s">
        <v>136</v>
      </c>
      <c r="B176" s="10" t="s">
        <v>400</v>
      </c>
      <c r="C176" s="9"/>
      <c r="D176" s="23"/>
    </row>
    <row r="177" spans="1:4" ht="27.6" x14ac:dyDescent="0.3">
      <c r="A177" s="23" t="s">
        <v>136</v>
      </c>
      <c r="B177" s="10" t="s">
        <v>402</v>
      </c>
      <c r="C177" s="9"/>
      <c r="D177" s="23"/>
    </row>
    <row r="178" spans="1:4" ht="27.6" x14ac:dyDescent="0.3">
      <c r="A178" s="23" t="s">
        <v>136</v>
      </c>
      <c r="B178" s="10" t="s">
        <v>404</v>
      </c>
      <c r="C178" s="9"/>
      <c r="D178" s="23"/>
    </row>
    <row r="179" spans="1:4" ht="14.4" x14ac:dyDescent="0.3">
      <c r="A179" s="23" t="s">
        <v>136</v>
      </c>
      <c r="B179" s="10" t="s">
        <v>406</v>
      </c>
      <c r="C179" s="9"/>
      <c r="D179" s="23"/>
    </row>
    <row r="180" spans="1:4" ht="27.6" x14ac:dyDescent="0.3">
      <c r="A180" s="23" t="s">
        <v>136</v>
      </c>
      <c r="B180" s="10" t="s">
        <v>408</v>
      </c>
      <c r="C180" s="9"/>
      <c r="D180" s="23"/>
    </row>
    <row r="181" spans="1:4" ht="27.6" x14ac:dyDescent="0.3">
      <c r="A181" s="23" t="s">
        <v>136</v>
      </c>
      <c r="B181" s="10" t="s">
        <v>410</v>
      </c>
      <c r="C181" s="9"/>
      <c r="D181" s="23"/>
    </row>
    <row r="182" spans="1:4" ht="14.4" x14ac:dyDescent="0.3">
      <c r="A182" s="22" t="s">
        <v>136</v>
      </c>
      <c r="B182" s="12" t="s">
        <v>413</v>
      </c>
      <c r="C182" s="22"/>
      <c r="D182" s="22"/>
    </row>
    <row r="183" spans="1:4" ht="27.6" x14ac:dyDescent="0.3">
      <c r="A183" s="23" t="s">
        <v>136</v>
      </c>
      <c r="B183" s="10" t="s">
        <v>415</v>
      </c>
      <c r="C183" s="9"/>
      <c r="D183" s="23"/>
    </row>
    <row r="184" spans="1:4" ht="41.4" x14ac:dyDescent="0.3">
      <c r="A184" s="23" t="s">
        <v>136</v>
      </c>
      <c r="B184" s="10" t="s">
        <v>417</v>
      </c>
      <c r="C184" s="9"/>
      <c r="D184" s="23"/>
    </row>
    <row r="185" spans="1:4" ht="69" x14ac:dyDescent="0.3">
      <c r="A185" s="23" t="s">
        <v>136</v>
      </c>
      <c r="B185" s="10" t="s">
        <v>419</v>
      </c>
      <c r="C185" s="9"/>
      <c r="D185" s="23"/>
    </row>
    <row r="186" spans="1:4" ht="27.6" x14ac:dyDescent="0.3">
      <c r="A186" s="23" t="s">
        <v>136</v>
      </c>
      <c r="B186" s="10" t="s">
        <v>421</v>
      </c>
      <c r="C186" s="9"/>
      <c r="D186" s="23"/>
    </row>
    <row r="187" spans="1:4" ht="27.6" x14ac:dyDescent="0.3">
      <c r="A187" s="23" t="s">
        <v>136</v>
      </c>
      <c r="B187" s="10" t="s">
        <v>424</v>
      </c>
      <c r="C187" s="9"/>
      <c r="D187" s="23"/>
    </row>
    <row r="188" spans="1:4" ht="14.4" x14ac:dyDescent="0.3">
      <c r="A188" s="22" t="s">
        <v>136</v>
      </c>
      <c r="B188" s="12" t="s">
        <v>426</v>
      </c>
      <c r="C188" s="26"/>
      <c r="D188" s="26"/>
    </row>
    <row r="189" spans="1:4" ht="27.6" x14ac:dyDescent="0.3">
      <c r="A189" s="23" t="s">
        <v>136</v>
      </c>
      <c r="B189" s="10" t="s">
        <v>429</v>
      </c>
      <c r="C189" s="9"/>
      <c r="D189" s="23"/>
    </row>
    <row r="190" spans="1:4" ht="41.4" x14ac:dyDescent="0.3">
      <c r="A190" s="23" t="s">
        <v>136</v>
      </c>
      <c r="B190" s="10" t="s">
        <v>431</v>
      </c>
      <c r="C190" s="9"/>
      <c r="D190" s="23"/>
    </row>
    <row r="191" spans="1:4" ht="69" x14ac:dyDescent="0.3">
      <c r="A191" s="23" t="s">
        <v>136</v>
      </c>
      <c r="B191" s="10" t="s">
        <v>434</v>
      </c>
      <c r="C191" s="9"/>
      <c r="D191" s="23"/>
    </row>
    <row r="192" spans="1:4" ht="27.6" x14ac:dyDescent="0.3">
      <c r="A192" s="23" t="s">
        <v>136</v>
      </c>
      <c r="B192" s="10" t="s">
        <v>436</v>
      </c>
      <c r="C192" s="9"/>
      <c r="D192" s="23"/>
    </row>
    <row r="193" spans="1:4" ht="14.4" x14ac:dyDescent="0.3">
      <c r="A193" s="23" t="s">
        <v>136</v>
      </c>
      <c r="B193" s="10" t="s">
        <v>438</v>
      </c>
      <c r="C193" s="9"/>
      <c r="D193" s="23"/>
    </row>
    <row r="194" spans="1:4" ht="14.4" x14ac:dyDescent="0.3">
      <c r="A194" s="22" t="s">
        <v>136</v>
      </c>
      <c r="B194" s="12" t="s">
        <v>440</v>
      </c>
      <c r="C194" s="22"/>
      <c r="D194" s="22"/>
    </row>
    <row r="195" spans="1:4" ht="41.4" x14ac:dyDescent="0.3">
      <c r="A195" s="23" t="s">
        <v>136</v>
      </c>
      <c r="B195" s="10" t="s">
        <v>442</v>
      </c>
      <c r="C195" s="9"/>
      <c r="D195" s="23"/>
    </row>
    <row r="196" spans="1:4" ht="55.2" x14ac:dyDescent="0.3">
      <c r="A196" s="23" t="s">
        <v>136</v>
      </c>
      <c r="B196" s="10" t="s">
        <v>445</v>
      </c>
      <c r="C196" s="9"/>
      <c r="D196" s="23"/>
    </row>
    <row r="197" spans="1:4" ht="41.4" x14ac:dyDescent="0.3">
      <c r="A197" s="23" t="s">
        <v>136</v>
      </c>
      <c r="B197" s="10" t="s">
        <v>447</v>
      </c>
      <c r="C197" s="9"/>
      <c r="D197" s="23"/>
    </row>
    <row r="198" spans="1:4" ht="55.2" x14ac:dyDescent="0.3">
      <c r="A198" s="23" t="s">
        <v>136</v>
      </c>
      <c r="B198" s="10" t="s">
        <v>450</v>
      </c>
      <c r="C198" s="9"/>
      <c r="D198" s="23"/>
    </row>
    <row r="199" spans="1:4" ht="27.6" x14ac:dyDescent="0.3">
      <c r="A199" s="23" t="s">
        <v>136</v>
      </c>
      <c r="B199" s="10" t="s">
        <v>452</v>
      </c>
      <c r="C199" s="9"/>
      <c r="D199" s="23"/>
    </row>
    <row r="200" spans="1:4" ht="14.4" x14ac:dyDescent="0.3">
      <c r="A200" s="23" t="s">
        <v>136</v>
      </c>
      <c r="B200" s="10" t="s">
        <v>454</v>
      </c>
      <c r="C200" s="9"/>
      <c r="D200" s="23"/>
    </row>
    <row r="201" spans="1:4" ht="14.4" x14ac:dyDescent="0.3">
      <c r="A201" s="17"/>
      <c r="B201" s="14"/>
      <c r="C201" s="17"/>
      <c r="D201" s="17"/>
    </row>
    <row r="202" spans="1:4" ht="14.4" x14ac:dyDescent="0.3">
      <c r="A202" s="17"/>
      <c r="B202" s="15" t="s">
        <v>75</v>
      </c>
      <c r="C202" s="2">
        <f>COUNTIF($C$5:$C$200,"C")</f>
        <v>1</v>
      </c>
      <c r="D202" s="17"/>
    </row>
    <row r="203" spans="1:4" ht="14.4" x14ac:dyDescent="0.3">
      <c r="A203" s="17"/>
      <c r="B203" s="15" t="s">
        <v>81</v>
      </c>
      <c r="C203" s="2">
        <f>COUNTIF($C$5:$C$200,"NC")</f>
        <v>1</v>
      </c>
      <c r="D203" s="17"/>
    </row>
    <row r="204" spans="1:4" ht="14.4" x14ac:dyDescent="0.3">
      <c r="A204" s="17"/>
      <c r="B204" s="15" t="s">
        <v>84</v>
      </c>
      <c r="C204" s="2">
        <f>COUNTIF($C$5:$C$200,"NA")</f>
        <v>1</v>
      </c>
      <c r="D204" s="17"/>
    </row>
  </sheetData>
  <autoFilter ref="A3:D23" xr:uid="{00000000-0009-0000-0000-000003000000}"/>
  <mergeCells count="1">
    <mergeCell ref="H5:K5"/>
  </mergeCells>
  <conditionalFormatting sqref="C5:C13 C15:C16 C18 C20:C31 C33:C42 C44:C51 C53:C54 C56:C61 C64:C88 C90:C97 C99:C106 C108:C111 C113:C115 C117:C119 C121:C122 C124:C131 C133:C137 C139:C140 C142:C151 C153:C157 C160:C164 C167:C168 C170 C172:C181 C183:C187 C189:C193 C195:C200">
    <cfRule type="beginsWith" dxfId="131" priority="1" operator="beginsWith" text="C">
      <formula>LEFT((C5),LEN("C"))=("C")</formula>
    </cfRule>
    <cfRule type="beginsWith" dxfId="130" priority="2" operator="beginsWith" text="NC">
      <formula>LEFT((C5),LEN("NC"))=("NC")</formula>
    </cfRule>
    <cfRule type="beginsWith" dxfId="129" priority="3" operator="beginsWith" text="NA">
      <formula>LEFT((C5),LEN("NA"))=("NA")</formula>
    </cfRule>
  </conditionalFormatting>
  <dataValidations count="1">
    <dataValidation type="list" allowBlank="1" sqref="C5:C13 C15:C16 C18 C20:C31 C33:C42 C44:C51 C53:C54 C56:C61 C64:C88 C90:C97 C99:C106 C108:C111 C113:C115 C117:C119 C121:C122 C124:C131 C133:C137 C139:C140 C142:C151 C153:C157 C160:C168 C170 C172:C181 C183:C187 C189:C193 C195:C200" xr:uid="{00000000-0002-0000-0300-000000000000}">
      <formula1>"C,NC,NA"</formula1>
    </dataValidation>
  </dataValidations>
  <hyperlinks>
    <hyperlink ref="B1" location="'Tabla de contenido'!A1" display="VOLVER A TABLA DE CONTENIDO" xr:uid="{00000000-0004-0000-0300-000000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K70"/>
  <sheetViews>
    <sheetView showGridLines="0" workbookViewId="0">
      <selection activeCell="B1" sqref="B1"/>
    </sheetView>
  </sheetViews>
  <sheetFormatPr baseColWidth="10" defaultColWidth="14.44140625" defaultRowHeight="15" customHeight="1" outlineLevelCol="1" x14ac:dyDescent="0.3"/>
  <cols>
    <col min="1" max="1" width="12.6640625" customWidth="1"/>
    <col min="2" max="2" width="80.33203125" customWidth="1"/>
    <col min="3" max="3" width="11.44140625" customWidth="1"/>
    <col min="4" max="4" width="40.21875" customWidth="1" outlineLevel="1"/>
    <col min="5" max="11" width="11.44140625" customWidth="1"/>
    <col min="12" max="24" width="10.77734375" customWidth="1"/>
  </cols>
  <sheetData>
    <row r="1" spans="1:11" ht="14.4" x14ac:dyDescent="0.3">
      <c r="A1" s="269"/>
      <c r="B1" s="270" t="s">
        <v>0</v>
      </c>
      <c r="C1" s="269"/>
      <c r="D1" s="269"/>
      <c r="E1" s="17"/>
      <c r="F1" s="17"/>
      <c r="G1" s="17"/>
      <c r="H1" s="17"/>
      <c r="I1" s="17"/>
      <c r="J1" s="17"/>
      <c r="K1" s="17"/>
    </row>
    <row r="2" spans="1:11" ht="14.4" x14ac:dyDescent="0.3">
      <c r="A2" s="6"/>
      <c r="B2" s="40" t="s">
        <v>339</v>
      </c>
      <c r="C2" s="19"/>
      <c r="D2" s="19"/>
      <c r="E2" s="17"/>
      <c r="F2" s="17"/>
      <c r="G2" s="17"/>
      <c r="H2" s="17"/>
      <c r="I2" s="17"/>
      <c r="J2" s="17"/>
      <c r="K2" s="17"/>
    </row>
    <row r="3" spans="1:11" ht="14.4" x14ac:dyDescent="0.3">
      <c r="A3" s="6" t="s">
        <v>7</v>
      </c>
      <c r="B3" s="40" t="s">
        <v>9</v>
      </c>
      <c r="C3" s="6" t="s">
        <v>10</v>
      </c>
      <c r="D3" s="6" t="s">
        <v>11</v>
      </c>
      <c r="E3" s="17"/>
      <c r="F3" s="17"/>
      <c r="G3" s="17"/>
      <c r="H3" s="17"/>
      <c r="I3" s="17"/>
      <c r="J3" s="17"/>
      <c r="K3" s="17"/>
    </row>
    <row r="4" spans="1:11" ht="41.4" x14ac:dyDescent="0.3">
      <c r="A4" s="22" t="s">
        <v>342</v>
      </c>
      <c r="B4" s="21" t="s">
        <v>343</v>
      </c>
      <c r="C4" s="22"/>
      <c r="D4" s="22"/>
      <c r="E4" s="17"/>
      <c r="F4" s="17"/>
      <c r="G4" s="17"/>
      <c r="H4" s="17"/>
      <c r="I4" s="17"/>
      <c r="J4" s="17"/>
      <c r="K4" s="17"/>
    </row>
    <row r="5" spans="1:11" ht="14.4" x14ac:dyDescent="0.3">
      <c r="A5" s="23" t="s">
        <v>342</v>
      </c>
      <c r="B5" s="43" t="s">
        <v>345</v>
      </c>
      <c r="C5" s="9" t="s">
        <v>16</v>
      </c>
      <c r="D5" s="23"/>
      <c r="E5" s="17"/>
      <c r="F5" s="17"/>
      <c r="G5" s="17"/>
      <c r="H5" s="284"/>
      <c r="I5" s="279"/>
      <c r="J5" s="279"/>
      <c r="K5" s="279"/>
    </row>
    <row r="6" spans="1:11" ht="14.4" x14ac:dyDescent="0.3">
      <c r="A6" s="23" t="s">
        <v>342</v>
      </c>
      <c r="B6" s="43" t="s">
        <v>348</v>
      </c>
      <c r="C6" s="9" t="s">
        <v>20</v>
      </c>
      <c r="D6" s="23"/>
      <c r="E6" s="17"/>
      <c r="F6" s="17"/>
      <c r="G6" s="17"/>
      <c r="H6" s="17"/>
      <c r="I6" s="17"/>
      <c r="J6" s="17"/>
      <c r="K6" s="17"/>
    </row>
    <row r="7" spans="1:11" ht="14.4" x14ac:dyDescent="0.3">
      <c r="A7" s="23" t="s">
        <v>342</v>
      </c>
      <c r="B7" s="43" t="s">
        <v>350</v>
      </c>
      <c r="C7" s="9" t="s">
        <v>24</v>
      </c>
      <c r="D7" s="23"/>
      <c r="E7" s="17"/>
      <c r="F7" s="17"/>
      <c r="G7" s="17"/>
      <c r="H7" s="17"/>
      <c r="I7" s="17"/>
      <c r="J7" s="17"/>
      <c r="K7" s="17"/>
    </row>
    <row r="8" spans="1:11" ht="14.4" x14ac:dyDescent="0.3">
      <c r="A8" s="23" t="s">
        <v>342</v>
      </c>
      <c r="B8" s="43" t="s">
        <v>352</v>
      </c>
      <c r="C8" s="9"/>
      <c r="D8" s="23"/>
      <c r="E8" s="17"/>
      <c r="F8" s="17"/>
      <c r="G8" s="17"/>
      <c r="H8" s="17"/>
      <c r="I8" s="17"/>
      <c r="J8" s="17"/>
      <c r="K8" s="17"/>
    </row>
    <row r="9" spans="1:11" ht="27.6" x14ac:dyDescent="0.3">
      <c r="A9" s="23" t="s">
        <v>342</v>
      </c>
      <c r="B9" s="43" t="s">
        <v>354</v>
      </c>
      <c r="C9" s="9"/>
      <c r="D9" s="23"/>
      <c r="E9" s="17"/>
      <c r="F9" s="17"/>
      <c r="G9" s="17"/>
      <c r="H9" s="17"/>
      <c r="I9" s="17"/>
      <c r="J9" s="17"/>
      <c r="K9" s="17"/>
    </row>
    <row r="10" spans="1:11" ht="14.4" x14ac:dyDescent="0.3">
      <c r="A10" s="23" t="s">
        <v>342</v>
      </c>
      <c r="B10" s="44" t="s">
        <v>356</v>
      </c>
      <c r="C10" s="9"/>
      <c r="D10" s="24"/>
      <c r="E10" s="17"/>
      <c r="F10" s="17"/>
      <c r="G10" s="17"/>
      <c r="H10" s="17"/>
      <c r="I10" s="17"/>
      <c r="J10" s="17"/>
      <c r="K10" s="17"/>
    </row>
    <row r="11" spans="1:11" ht="27.6" x14ac:dyDescent="0.3">
      <c r="A11" s="22" t="s">
        <v>342</v>
      </c>
      <c r="B11" s="21" t="s">
        <v>358</v>
      </c>
      <c r="C11" s="22"/>
      <c r="D11" s="22"/>
      <c r="E11" s="17"/>
      <c r="F11" s="17"/>
      <c r="G11" s="17"/>
      <c r="H11" s="17"/>
      <c r="I11" s="17"/>
      <c r="J11" s="17"/>
      <c r="K11" s="17"/>
    </row>
    <row r="12" spans="1:11" ht="55.2" x14ac:dyDescent="0.3">
      <c r="A12" s="23" t="s">
        <v>342</v>
      </c>
      <c r="B12" s="43" t="s">
        <v>361</v>
      </c>
      <c r="C12" s="9"/>
      <c r="D12" s="23"/>
      <c r="E12" s="17"/>
      <c r="F12" s="17"/>
      <c r="G12" s="17"/>
      <c r="H12" s="17"/>
      <c r="I12" s="17"/>
      <c r="J12" s="17"/>
      <c r="K12" s="17"/>
    </row>
    <row r="13" spans="1:11" ht="27.6" x14ac:dyDescent="0.3">
      <c r="A13" s="23" t="s">
        <v>342</v>
      </c>
      <c r="B13" s="43" t="s">
        <v>363</v>
      </c>
      <c r="C13" s="9"/>
      <c r="D13" s="23"/>
      <c r="E13" s="17"/>
      <c r="F13" s="17"/>
      <c r="G13" s="17"/>
      <c r="H13" s="17"/>
      <c r="I13" s="17"/>
      <c r="J13" s="17"/>
      <c r="K13" s="17"/>
    </row>
    <row r="14" spans="1:11" ht="41.4" x14ac:dyDescent="0.3">
      <c r="A14" s="23" t="s">
        <v>342</v>
      </c>
      <c r="B14" s="43" t="s">
        <v>365</v>
      </c>
      <c r="C14" s="9"/>
      <c r="D14" s="23"/>
      <c r="E14" s="17"/>
      <c r="F14" s="17"/>
      <c r="G14" s="17"/>
      <c r="H14" s="17"/>
      <c r="I14" s="17"/>
      <c r="J14" s="17"/>
      <c r="K14" s="17"/>
    </row>
    <row r="15" spans="1:11" ht="27.6" x14ac:dyDescent="0.3">
      <c r="A15" s="23" t="s">
        <v>342</v>
      </c>
      <c r="B15" s="43" t="s">
        <v>367</v>
      </c>
      <c r="C15" s="9"/>
      <c r="D15" s="23"/>
      <c r="E15" s="17"/>
      <c r="F15" s="17"/>
      <c r="G15" s="17"/>
      <c r="H15" s="17"/>
      <c r="I15" s="17"/>
      <c r="J15" s="17"/>
      <c r="K15" s="17"/>
    </row>
    <row r="16" spans="1:11" ht="27.6" x14ac:dyDescent="0.3">
      <c r="A16" s="23" t="s">
        <v>342</v>
      </c>
      <c r="B16" s="43" t="s">
        <v>369</v>
      </c>
      <c r="C16" s="9"/>
      <c r="D16" s="23"/>
      <c r="E16" s="17"/>
      <c r="F16" s="17"/>
      <c r="G16" s="17"/>
      <c r="H16" s="17"/>
      <c r="I16" s="17"/>
      <c r="J16" s="17"/>
      <c r="K16" s="17"/>
    </row>
    <row r="17" spans="1:4" ht="55.2" x14ac:dyDescent="0.3">
      <c r="A17" s="23" t="s">
        <v>342</v>
      </c>
      <c r="B17" s="43" t="s">
        <v>370</v>
      </c>
      <c r="C17" s="9"/>
      <c r="D17" s="23"/>
    </row>
    <row r="18" spans="1:4" ht="27.6" x14ac:dyDescent="0.3">
      <c r="A18" s="23" t="s">
        <v>342</v>
      </c>
      <c r="B18" s="43" t="s">
        <v>372</v>
      </c>
      <c r="C18" s="9"/>
      <c r="D18" s="23"/>
    </row>
    <row r="19" spans="1:4" ht="27.6" x14ac:dyDescent="0.3">
      <c r="A19" s="22" t="s">
        <v>342</v>
      </c>
      <c r="B19" s="21" t="s">
        <v>374</v>
      </c>
      <c r="C19" s="22"/>
      <c r="D19" s="22"/>
    </row>
    <row r="20" spans="1:4" ht="41.4" x14ac:dyDescent="0.3">
      <c r="A20" s="23" t="s">
        <v>342</v>
      </c>
      <c r="B20" s="43" t="s">
        <v>375</v>
      </c>
      <c r="C20" s="9"/>
      <c r="D20" s="23"/>
    </row>
    <row r="21" spans="1:4" ht="14.4" x14ac:dyDescent="0.3">
      <c r="A21" s="23" t="s">
        <v>342</v>
      </c>
      <c r="B21" s="43" t="s">
        <v>376</v>
      </c>
      <c r="C21" s="9"/>
      <c r="D21" s="23"/>
    </row>
    <row r="22" spans="1:4" ht="14.4" x14ac:dyDescent="0.3">
      <c r="A22" s="23" t="s">
        <v>342</v>
      </c>
      <c r="B22" s="43" t="s">
        <v>378</v>
      </c>
      <c r="C22" s="9"/>
      <c r="D22" s="23"/>
    </row>
    <row r="23" spans="1:4" ht="14.4" x14ac:dyDescent="0.3">
      <c r="A23" s="22" t="s">
        <v>342</v>
      </c>
      <c r="B23" s="21" t="s">
        <v>379</v>
      </c>
      <c r="C23" s="22"/>
      <c r="D23" s="22"/>
    </row>
    <row r="24" spans="1:4" ht="14.4" x14ac:dyDescent="0.3">
      <c r="A24" s="23" t="s">
        <v>342</v>
      </c>
      <c r="B24" s="43" t="s">
        <v>381</v>
      </c>
      <c r="C24" s="9"/>
      <c r="D24" s="23"/>
    </row>
    <row r="25" spans="1:4" ht="14.4" x14ac:dyDescent="0.3">
      <c r="A25" s="23" t="s">
        <v>342</v>
      </c>
      <c r="B25" s="43" t="s">
        <v>382</v>
      </c>
      <c r="C25" s="9"/>
      <c r="D25" s="23"/>
    </row>
    <row r="26" spans="1:4" ht="14.4" x14ac:dyDescent="0.3">
      <c r="A26" s="23" t="s">
        <v>342</v>
      </c>
      <c r="B26" s="43" t="s">
        <v>384</v>
      </c>
      <c r="C26" s="9"/>
      <c r="D26" s="23"/>
    </row>
    <row r="27" spans="1:4" ht="14.4" x14ac:dyDescent="0.3">
      <c r="A27" s="23" t="s">
        <v>342</v>
      </c>
      <c r="B27" s="43" t="s">
        <v>386</v>
      </c>
      <c r="C27" s="9"/>
      <c r="D27" s="23"/>
    </row>
    <row r="28" spans="1:4" ht="14.4" x14ac:dyDescent="0.3">
      <c r="A28" s="23" t="s">
        <v>342</v>
      </c>
      <c r="B28" s="43" t="s">
        <v>388</v>
      </c>
      <c r="C28" s="9"/>
      <c r="D28" s="23"/>
    </row>
    <row r="29" spans="1:4" ht="14.4" x14ac:dyDescent="0.3">
      <c r="A29" s="23" t="s">
        <v>342</v>
      </c>
      <c r="B29" s="43" t="s">
        <v>390</v>
      </c>
      <c r="C29" s="9"/>
      <c r="D29" s="23"/>
    </row>
    <row r="30" spans="1:4" ht="69" x14ac:dyDescent="0.3">
      <c r="A30" s="23" t="s">
        <v>342</v>
      </c>
      <c r="B30" s="43" t="s">
        <v>392</v>
      </c>
      <c r="C30" s="9"/>
      <c r="D30" s="23"/>
    </row>
    <row r="31" spans="1:4" ht="69" x14ac:dyDescent="0.3">
      <c r="A31" s="23" t="s">
        <v>342</v>
      </c>
      <c r="B31" s="43" t="s">
        <v>394</v>
      </c>
      <c r="C31" s="9"/>
      <c r="D31" s="23"/>
    </row>
    <row r="32" spans="1:4" ht="27.6" x14ac:dyDescent="0.3">
      <c r="A32" s="23" t="s">
        <v>342</v>
      </c>
      <c r="B32" s="43" t="s">
        <v>396</v>
      </c>
      <c r="C32" s="9"/>
      <c r="D32" s="23"/>
    </row>
    <row r="33" spans="1:4" ht="41.4" x14ac:dyDescent="0.3">
      <c r="A33" s="23" t="s">
        <v>342</v>
      </c>
      <c r="B33" s="43" t="s">
        <v>399</v>
      </c>
      <c r="C33" s="9"/>
      <c r="D33" s="23"/>
    </row>
    <row r="34" spans="1:4" ht="41.4" x14ac:dyDescent="0.3">
      <c r="A34" s="22" t="s">
        <v>342</v>
      </c>
      <c r="B34" s="21" t="s">
        <v>401</v>
      </c>
      <c r="C34" s="22"/>
      <c r="D34" s="22"/>
    </row>
    <row r="35" spans="1:4" ht="55.2" x14ac:dyDescent="0.3">
      <c r="A35" s="23" t="s">
        <v>342</v>
      </c>
      <c r="B35" s="43" t="s">
        <v>403</v>
      </c>
      <c r="C35" s="9"/>
      <c r="D35" s="23"/>
    </row>
    <row r="36" spans="1:4" ht="27.6" x14ac:dyDescent="0.3">
      <c r="A36" s="23" t="s">
        <v>342</v>
      </c>
      <c r="B36" s="43" t="s">
        <v>405</v>
      </c>
      <c r="C36" s="9"/>
      <c r="D36" s="23"/>
    </row>
    <row r="37" spans="1:4" ht="55.2" x14ac:dyDescent="0.3">
      <c r="A37" s="23" t="s">
        <v>342</v>
      </c>
      <c r="B37" s="43" t="s">
        <v>407</v>
      </c>
      <c r="C37" s="9"/>
      <c r="D37" s="23"/>
    </row>
    <row r="38" spans="1:4" ht="27.6" x14ac:dyDescent="0.3">
      <c r="A38" s="23" t="s">
        <v>342</v>
      </c>
      <c r="B38" s="43" t="s">
        <v>409</v>
      </c>
      <c r="C38" s="9"/>
      <c r="D38" s="23"/>
    </row>
    <row r="39" spans="1:4" ht="27.6" x14ac:dyDescent="0.3">
      <c r="A39" s="23" t="s">
        <v>342</v>
      </c>
      <c r="B39" s="43" t="s">
        <v>411</v>
      </c>
      <c r="C39" s="9"/>
      <c r="D39" s="23"/>
    </row>
    <row r="40" spans="1:4" ht="41.4" x14ac:dyDescent="0.3">
      <c r="A40" s="23" t="s">
        <v>342</v>
      </c>
      <c r="B40" s="43" t="s">
        <v>412</v>
      </c>
      <c r="C40" s="9"/>
      <c r="D40" s="23"/>
    </row>
    <row r="41" spans="1:4" ht="55.2" x14ac:dyDescent="0.3">
      <c r="A41" s="23" t="s">
        <v>342</v>
      </c>
      <c r="B41" s="43" t="s">
        <v>414</v>
      </c>
      <c r="C41" s="9"/>
      <c r="D41" s="23"/>
    </row>
    <row r="42" spans="1:4" ht="14.4" x14ac:dyDescent="0.3">
      <c r="A42" s="22" t="s">
        <v>342</v>
      </c>
      <c r="B42" s="21" t="s">
        <v>416</v>
      </c>
      <c r="C42" s="26"/>
      <c r="D42" s="26"/>
    </row>
    <row r="43" spans="1:4" ht="27.6" x14ac:dyDescent="0.3">
      <c r="A43" s="23" t="s">
        <v>342</v>
      </c>
      <c r="B43" s="43" t="s">
        <v>418</v>
      </c>
      <c r="C43" s="9"/>
      <c r="D43" s="23"/>
    </row>
    <row r="44" spans="1:4" ht="14.4" x14ac:dyDescent="0.3">
      <c r="A44" s="23" t="s">
        <v>342</v>
      </c>
      <c r="B44" s="43" t="s">
        <v>420</v>
      </c>
      <c r="C44" s="9"/>
      <c r="D44" s="23"/>
    </row>
    <row r="45" spans="1:4" ht="27.6" x14ac:dyDescent="0.3">
      <c r="A45" s="22" t="s">
        <v>342</v>
      </c>
      <c r="B45" s="21" t="s">
        <v>422</v>
      </c>
      <c r="C45" s="22"/>
      <c r="D45" s="22"/>
    </row>
    <row r="46" spans="1:4" ht="14.4" x14ac:dyDescent="0.3">
      <c r="A46" s="23" t="s">
        <v>342</v>
      </c>
      <c r="B46" s="43" t="s">
        <v>423</v>
      </c>
      <c r="C46" s="9"/>
      <c r="D46" s="23"/>
    </row>
    <row r="47" spans="1:4" ht="14.4" x14ac:dyDescent="0.3">
      <c r="A47" s="23" t="s">
        <v>342</v>
      </c>
      <c r="B47" s="43" t="s">
        <v>425</v>
      </c>
      <c r="C47" s="9"/>
      <c r="D47" s="23"/>
    </row>
    <row r="48" spans="1:4" ht="14.4" x14ac:dyDescent="0.3">
      <c r="A48" s="23" t="s">
        <v>342</v>
      </c>
      <c r="B48" s="43" t="s">
        <v>427</v>
      </c>
      <c r="C48" s="9"/>
      <c r="D48" s="23"/>
    </row>
    <row r="49" spans="1:4" ht="14.4" x14ac:dyDescent="0.3">
      <c r="A49" s="26" t="s">
        <v>342</v>
      </c>
      <c r="B49" s="21" t="s">
        <v>428</v>
      </c>
      <c r="C49" s="26"/>
      <c r="D49" s="26"/>
    </row>
    <row r="50" spans="1:4" ht="41.4" x14ac:dyDescent="0.3">
      <c r="A50" s="23" t="s">
        <v>342</v>
      </c>
      <c r="B50" s="43" t="s">
        <v>430</v>
      </c>
      <c r="C50" s="9"/>
      <c r="D50" s="23"/>
    </row>
    <row r="51" spans="1:4" ht="14.4" x14ac:dyDescent="0.3">
      <c r="A51" s="22" t="s">
        <v>342</v>
      </c>
      <c r="B51" s="21" t="s">
        <v>432</v>
      </c>
      <c r="C51" s="22"/>
      <c r="D51" s="22"/>
    </row>
    <row r="52" spans="1:4" ht="27.6" x14ac:dyDescent="0.3">
      <c r="A52" s="23" t="s">
        <v>342</v>
      </c>
      <c r="B52" s="10" t="s">
        <v>433</v>
      </c>
      <c r="C52" s="23"/>
      <c r="D52" s="23"/>
    </row>
    <row r="53" spans="1:4" ht="41.4" x14ac:dyDescent="0.3">
      <c r="A53" s="23" t="s">
        <v>342</v>
      </c>
      <c r="B53" s="43" t="s">
        <v>435</v>
      </c>
      <c r="C53" s="9"/>
      <c r="D53" s="23"/>
    </row>
    <row r="54" spans="1:4" ht="41.4" x14ac:dyDescent="0.3">
      <c r="A54" s="23" t="s">
        <v>342</v>
      </c>
      <c r="B54" s="43" t="s">
        <v>437</v>
      </c>
      <c r="C54" s="9"/>
      <c r="D54" s="23"/>
    </row>
    <row r="55" spans="1:4" ht="41.4" x14ac:dyDescent="0.3">
      <c r="A55" s="23" t="s">
        <v>342</v>
      </c>
      <c r="B55" s="43" t="s">
        <v>439</v>
      </c>
      <c r="C55" s="9"/>
      <c r="D55" s="23"/>
    </row>
    <row r="56" spans="1:4" ht="55.2" x14ac:dyDescent="0.3">
      <c r="A56" s="23" t="s">
        <v>342</v>
      </c>
      <c r="B56" s="43" t="s">
        <v>441</v>
      </c>
      <c r="C56" s="9"/>
      <c r="D56" s="23"/>
    </row>
    <row r="57" spans="1:4" ht="27.6" x14ac:dyDescent="0.3">
      <c r="A57" s="26" t="s">
        <v>342</v>
      </c>
      <c r="B57" s="13" t="s">
        <v>443</v>
      </c>
      <c r="C57" s="13"/>
      <c r="D57" s="13"/>
    </row>
    <row r="58" spans="1:4" ht="41.4" x14ac:dyDescent="0.3">
      <c r="A58" s="23" t="s">
        <v>342</v>
      </c>
      <c r="B58" s="43" t="s">
        <v>444</v>
      </c>
      <c r="C58" s="9"/>
      <c r="D58" s="23"/>
    </row>
    <row r="59" spans="1:4" ht="55.2" x14ac:dyDescent="0.3">
      <c r="A59" s="23" t="s">
        <v>342</v>
      </c>
      <c r="B59" s="43" t="s">
        <v>446</v>
      </c>
      <c r="C59" s="9"/>
      <c r="D59" s="23"/>
    </row>
    <row r="60" spans="1:4" ht="41.4" x14ac:dyDescent="0.3">
      <c r="A60" s="23" t="s">
        <v>342</v>
      </c>
      <c r="B60" s="43" t="s">
        <v>448</v>
      </c>
      <c r="C60" s="9"/>
      <c r="D60" s="23"/>
    </row>
    <row r="61" spans="1:4" ht="14.4" x14ac:dyDescent="0.3">
      <c r="A61" s="22" t="s">
        <v>342</v>
      </c>
      <c r="B61" s="21" t="s">
        <v>449</v>
      </c>
      <c r="C61" s="22"/>
      <c r="D61" s="22"/>
    </row>
    <row r="62" spans="1:4" ht="27.6" x14ac:dyDescent="0.3">
      <c r="A62" s="23" t="s">
        <v>342</v>
      </c>
      <c r="B62" s="43" t="s">
        <v>451</v>
      </c>
      <c r="C62" s="9"/>
      <c r="D62" s="23"/>
    </row>
    <row r="63" spans="1:4" ht="41.4" x14ac:dyDescent="0.3">
      <c r="A63" s="23" t="s">
        <v>342</v>
      </c>
      <c r="B63" s="43" t="s">
        <v>453</v>
      </c>
      <c r="C63" s="9"/>
      <c r="D63" s="23"/>
    </row>
    <row r="64" spans="1:4" ht="27.6" x14ac:dyDescent="0.3">
      <c r="A64" s="23" t="s">
        <v>342</v>
      </c>
      <c r="B64" s="43" t="s">
        <v>455</v>
      </c>
      <c r="C64" s="9"/>
      <c r="D64" s="23"/>
    </row>
    <row r="65" spans="1:4" ht="41.4" x14ac:dyDescent="0.3">
      <c r="A65" s="23" t="s">
        <v>342</v>
      </c>
      <c r="B65" s="43" t="s">
        <v>456</v>
      </c>
      <c r="C65" s="9"/>
      <c r="D65" s="23"/>
    </row>
    <row r="66" spans="1:4" ht="69" x14ac:dyDescent="0.3">
      <c r="A66" s="23" t="s">
        <v>342</v>
      </c>
      <c r="B66" s="43" t="s">
        <v>457</v>
      </c>
      <c r="C66" s="9"/>
      <c r="D66" s="23"/>
    </row>
    <row r="67" spans="1:4" ht="14.4" x14ac:dyDescent="0.3">
      <c r="A67" s="17"/>
      <c r="B67" s="46"/>
      <c r="C67" s="17"/>
      <c r="D67" s="17"/>
    </row>
    <row r="68" spans="1:4" ht="14.4" x14ac:dyDescent="0.3">
      <c r="A68" s="17"/>
      <c r="B68" s="15" t="s">
        <v>75</v>
      </c>
      <c r="C68" s="2">
        <f>COUNTIF($C$5:$C$66,"C")</f>
        <v>1</v>
      </c>
      <c r="D68" s="17"/>
    </row>
    <row r="69" spans="1:4" ht="14.4" x14ac:dyDescent="0.3">
      <c r="A69" s="17"/>
      <c r="B69" s="15" t="s">
        <v>81</v>
      </c>
      <c r="C69" s="2">
        <f>COUNTIF($C$5:$C$66,"NC")</f>
        <v>1</v>
      </c>
      <c r="D69" s="17"/>
    </row>
    <row r="70" spans="1:4" ht="14.4" x14ac:dyDescent="0.3">
      <c r="A70" s="17"/>
      <c r="B70" s="15" t="s">
        <v>84</v>
      </c>
      <c r="C70" s="2">
        <f>COUNTIF($C$5:$C$66,"NA")</f>
        <v>1</v>
      </c>
      <c r="D70" s="17"/>
    </row>
  </sheetData>
  <autoFilter ref="A3:D66" xr:uid="{00000000-0009-0000-0000-000004000000}"/>
  <mergeCells count="1">
    <mergeCell ref="H5:K5"/>
  </mergeCells>
  <conditionalFormatting sqref="C5:C10 C12:C18 C20:C22 C24:C33 C35:C41 C43:C44 C46:C48 C50 C53:C56 C58:C60 C62:C66">
    <cfRule type="beginsWith" dxfId="128" priority="1" operator="beginsWith" text="C">
      <formula>LEFT((C5),LEN("C"))=("C")</formula>
    </cfRule>
    <cfRule type="beginsWith" dxfId="127" priority="2" operator="beginsWith" text="NC">
      <formula>LEFT((C5),LEN("NC"))=("NC")</formula>
    </cfRule>
    <cfRule type="beginsWith" dxfId="126" priority="3" operator="beginsWith" text="NA">
      <formula>LEFT((C5),LEN("NA"))=("NA")</formula>
    </cfRule>
  </conditionalFormatting>
  <dataValidations count="1">
    <dataValidation type="list" allowBlank="1" sqref="C5:C10 C12:C18 C20:C22 C24:C33 C35:C41 C43:C44 C46:C48 C50 C53:C56 C58:C60 C62:C66" xr:uid="{00000000-0002-0000-0400-000000000000}">
      <formula1>"C,NC,NA"</formula1>
    </dataValidation>
  </dataValidations>
  <hyperlinks>
    <hyperlink ref="B1" location="'Tabla de contenido'!A1" display="VOLVER A TABLA DE CONTENIDO" xr:uid="{00000000-0004-0000-0400-000000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496"/>
  </sheetPr>
  <dimension ref="A1:K67"/>
  <sheetViews>
    <sheetView showGridLines="0" workbookViewId="0"/>
  </sheetViews>
  <sheetFormatPr baseColWidth="10" defaultColWidth="14.44140625" defaultRowHeight="15" customHeight="1" outlineLevelCol="1" x14ac:dyDescent="0.3"/>
  <cols>
    <col min="1" max="1" width="13.21875" customWidth="1"/>
    <col min="2" max="2" width="80.33203125" customWidth="1"/>
    <col min="3" max="3" width="11.44140625" customWidth="1"/>
    <col min="4" max="4" width="40.21875" customWidth="1" outlineLevel="1"/>
    <col min="5" max="11" width="11.44140625" customWidth="1"/>
    <col min="12" max="24" width="10.77734375" customWidth="1"/>
  </cols>
  <sheetData>
    <row r="1" spans="1:11" ht="14.4" x14ac:dyDescent="0.3">
      <c r="A1" s="269"/>
      <c r="B1" s="270" t="s">
        <v>0</v>
      </c>
      <c r="C1" s="269"/>
      <c r="D1" s="269"/>
      <c r="E1" s="17"/>
      <c r="F1" s="17"/>
      <c r="G1" s="17"/>
      <c r="H1" s="17"/>
      <c r="I1" s="17"/>
      <c r="J1" s="17"/>
      <c r="K1" s="17"/>
    </row>
    <row r="2" spans="1:11" ht="14.4" x14ac:dyDescent="0.3">
      <c r="A2" s="6"/>
      <c r="B2" s="40" t="s">
        <v>458</v>
      </c>
      <c r="C2" s="19"/>
      <c r="D2" s="19"/>
      <c r="E2" s="17"/>
      <c r="F2" s="17"/>
      <c r="G2" s="17"/>
      <c r="H2" s="17"/>
      <c r="I2" s="17"/>
      <c r="J2" s="17"/>
      <c r="K2" s="17"/>
    </row>
    <row r="3" spans="1:11" ht="14.4" x14ac:dyDescent="0.3">
      <c r="A3" s="6" t="s">
        <v>7</v>
      </c>
      <c r="B3" s="40" t="s">
        <v>9</v>
      </c>
      <c r="C3" s="6" t="s">
        <v>10</v>
      </c>
      <c r="D3" s="6" t="s">
        <v>11</v>
      </c>
      <c r="E3" s="17"/>
      <c r="F3" s="17"/>
      <c r="G3" s="17"/>
      <c r="H3" s="17"/>
      <c r="I3" s="17"/>
      <c r="J3" s="17"/>
      <c r="K3" s="17"/>
    </row>
    <row r="4" spans="1:11" ht="41.4" x14ac:dyDescent="0.3">
      <c r="A4" s="22" t="s">
        <v>459</v>
      </c>
      <c r="B4" s="12" t="s">
        <v>460</v>
      </c>
      <c r="C4" s="12"/>
      <c r="D4" s="12"/>
      <c r="E4" s="17"/>
      <c r="F4" s="17"/>
      <c r="G4" s="17"/>
      <c r="H4" s="17"/>
      <c r="I4" s="17"/>
      <c r="J4" s="17"/>
      <c r="K4" s="17"/>
    </row>
    <row r="5" spans="1:11" ht="14.4" x14ac:dyDescent="0.3">
      <c r="A5" s="36" t="s">
        <v>459</v>
      </c>
      <c r="B5" s="47" t="s">
        <v>461</v>
      </c>
      <c r="C5" s="9" t="s">
        <v>16</v>
      </c>
      <c r="D5" s="36"/>
      <c r="E5" s="17"/>
      <c r="F5" s="17"/>
      <c r="G5" s="17"/>
      <c r="H5" s="284"/>
      <c r="I5" s="279"/>
      <c r="J5" s="279"/>
      <c r="K5" s="279"/>
    </row>
    <row r="6" spans="1:11" ht="14.4" x14ac:dyDescent="0.3">
      <c r="A6" s="36" t="s">
        <v>459</v>
      </c>
      <c r="B6" s="47" t="s">
        <v>462</v>
      </c>
      <c r="C6" s="9" t="s">
        <v>20</v>
      </c>
      <c r="D6" s="36"/>
      <c r="E6" s="17"/>
      <c r="F6" s="17"/>
      <c r="G6" s="17"/>
      <c r="H6" s="17"/>
      <c r="I6" s="17"/>
      <c r="J6" s="17"/>
      <c r="K6" s="17"/>
    </row>
    <row r="7" spans="1:11" ht="14.4" x14ac:dyDescent="0.3">
      <c r="A7" s="36" t="s">
        <v>459</v>
      </c>
      <c r="B7" s="47" t="s">
        <v>463</v>
      </c>
      <c r="C7" s="9" t="s">
        <v>24</v>
      </c>
      <c r="D7" s="36"/>
      <c r="E7" s="17"/>
      <c r="F7" s="17"/>
      <c r="G7" s="17"/>
      <c r="H7" s="17"/>
      <c r="I7" s="17"/>
      <c r="J7" s="17"/>
      <c r="K7" s="17"/>
    </row>
    <row r="8" spans="1:11" ht="14.4" x14ac:dyDescent="0.3">
      <c r="A8" s="36" t="s">
        <v>459</v>
      </c>
      <c r="B8" s="47" t="s">
        <v>464</v>
      </c>
      <c r="C8" s="9"/>
      <c r="D8" s="36"/>
      <c r="E8" s="17"/>
      <c r="F8" s="17"/>
      <c r="G8" s="17"/>
      <c r="H8" s="17"/>
      <c r="I8" s="17"/>
      <c r="J8" s="17"/>
      <c r="K8" s="17"/>
    </row>
    <row r="9" spans="1:11" ht="14.4" x14ac:dyDescent="0.3">
      <c r="A9" s="36" t="s">
        <v>459</v>
      </c>
      <c r="B9" s="47" t="s">
        <v>465</v>
      </c>
      <c r="C9" s="9"/>
      <c r="D9" s="36"/>
      <c r="E9" s="17"/>
      <c r="F9" s="17"/>
      <c r="G9" s="17"/>
      <c r="H9" s="17"/>
      <c r="I9" s="17"/>
      <c r="J9" s="17"/>
      <c r="K9" s="17"/>
    </row>
    <row r="10" spans="1:11" ht="14.4" x14ac:dyDescent="0.3">
      <c r="A10" s="36" t="s">
        <v>459</v>
      </c>
      <c r="B10" s="48" t="s">
        <v>466</v>
      </c>
      <c r="C10" s="9"/>
      <c r="D10" s="49"/>
      <c r="E10" s="17"/>
      <c r="F10" s="17"/>
      <c r="G10" s="17"/>
      <c r="H10" s="17"/>
      <c r="I10" s="17"/>
      <c r="J10" s="17"/>
      <c r="K10" s="17"/>
    </row>
    <row r="11" spans="1:11" ht="14.4" x14ac:dyDescent="0.3">
      <c r="A11" s="36" t="s">
        <v>459</v>
      </c>
      <c r="B11" s="47" t="s">
        <v>467</v>
      </c>
      <c r="C11" s="9"/>
      <c r="D11" s="50"/>
      <c r="E11" s="17"/>
      <c r="F11" s="17"/>
      <c r="G11" s="17"/>
      <c r="H11" s="17"/>
      <c r="I11" s="17"/>
      <c r="J11" s="17"/>
      <c r="K11" s="17"/>
    </row>
    <row r="12" spans="1:11" ht="19.5" customHeight="1" x14ac:dyDescent="0.3">
      <c r="A12" s="36" t="s">
        <v>459</v>
      </c>
      <c r="B12" s="47" t="s">
        <v>468</v>
      </c>
      <c r="C12" s="9"/>
      <c r="D12" s="36"/>
      <c r="E12" s="17"/>
      <c r="F12" s="17"/>
      <c r="G12" s="17"/>
      <c r="H12" s="17"/>
      <c r="I12" s="17"/>
      <c r="J12" s="17"/>
      <c r="K12" s="17"/>
    </row>
    <row r="13" spans="1:11" ht="41.4" x14ac:dyDescent="0.3">
      <c r="A13" s="22" t="s">
        <v>459</v>
      </c>
      <c r="B13" s="12" t="s">
        <v>469</v>
      </c>
      <c r="C13" s="12"/>
      <c r="D13" s="12"/>
      <c r="E13" s="17"/>
      <c r="F13" s="17"/>
      <c r="G13" s="17"/>
      <c r="H13" s="17"/>
      <c r="I13" s="17"/>
      <c r="J13" s="17"/>
      <c r="K13" s="17"/>
    </row>
    <row r="14" spans="1:11" ht="14.4" x14ac:dyDescent="0.3">
      <c r="A14" s="36" t="s">
        <v>459</v>
      </c>
      <c r="B14" s="47" t="s">
        <v>470</v>
      </c>
      <c r="C14" s="9"/>
      <c r="D14" s="36"/>
      <c r="E14" s="17"/>
      <c r="F14" s="17"/>
      <c r="G14" s="17"/>
      <c r="H14" s="17"/>
      <c r="I14" s="17"/>
      <c r="J14" s="17"/>
      <c r="K14" s="17"/>
    </row>
    <row r="15" spans="1:11" ht="14.4" x14ac:dyDescent="0.3">
      <c r="A15" s="36" t="s">
        <v>459</v>
      </c>
      <c r="B15" s="47" t="s">
        <v>471</v>
      </c>
      <c r="C15" s="9"/>
      <c r="D15" s="36"/>
      <c r="E15" s="17"/>
      <c r="F15" s="17"/>
      <c r="G15" s="17"/>
      <c r="H15" s="17"/>
      <c r="I15" s="17"/>
      <c r="J15" s="17"/>
      <c r="K15" s="17"/>
    </row>
    <row r="16" spans="1:11" ht="14.4" x14ac:dyDescent="0.3">
      <c r="A16" s="36" t="s">
        <v>459</v>
      </c>
      <c r="B16" s="47" t="s">
        <v>472</v>
      </c>
      <c r="C16" s="9"/>
      <c r="D16" s="36"/>
      <c r="E16" s="17"/>
      <c r="F16" s="17"/>
      <c r="G16" s="17"/>
      <c r="H16" s="17"/>
      <c r="I16" s="17"/>
      <c r="J16" s="17"/>
      <c r="K16" s="17"/>
    </row>
    <row r="17" spans="1:4" ht="14.4" x14ac:dyDescent="0.3">
      <c r="A17" s="36" t="s">
        <v>459</v>
      </c>
      <c r="B17" s="47" t="s">
        <v>473</v>
      </c>
      <c r="C17" s="9"/>
      <c r="D17" s="36"/>
    </row>
    <row r="18" spans="1:4" ht="14.4" x14ac:dyDescent="0.3">
      <c r="A18" s="36" t="s">
        <v>459</v>
      </c>
      <c r="B18" s="47" t="s">
        <v>474</v>
      </c>
      <c r="C18" s="9"/>
      <c r="D18" s="36"/>
    </row>
    <row r="19" spans="1:4" ht="27.6" x14ac:dyDescent="0.3">
      <c r="A19" s="36" t="s">
        <v>459</v>
      </c>
      <c r="B19" s="47" t="s">
        <v>475</v>
      </c>
      <c r="C19" s="9"/>
      <c r="D19" s="36"/>
    </row>
    <row r="20" spans="1:4" ht="14.4" x14ac:dyDescent="0.3">
      <c r="A20" s="36" t="s">
        <v>459</v>
      </c>
      <c r="B20" s="47" t="s">
        <v>476</v>
      </c>
      <c r="C20" s="9"/>
      <c r="D20" s="36"/>
    </row>
    <row r="21" spans="1:4" ht="14.4" x14ac:dyDescent="0.3">
      <c r="A21" s="36" t="s">
        <v>459</v>
      </c>
      <c r="B21" s="47" t="s">
        <v>477</v>
      </c>
      <c r="C21" s="9"/>
      <c r="D21" s="36"/>
    </row>
    <row r="22" spans="1:4" ht="14.4" x14ac:dyDescent="0.3">
      <c r="A22" s="36" t="s">
        <v>459</v>
      </c>
      <c r="B22" s="47" t="s">
        <v>478</v>
      </c>
      <c r="C22" s="9"/>
      <c r="D22" s="36"/>
    </row>
    <row r="23" spans="1:4" ht="41.4" x14ac:dyDescent="0.3">
      <c r="A23" s="22" t="s">
        <v>459</v>
      </c>
      <c r="B23" s="12" t="s">
        <v>479</v>
      </c>
      <c r="C23" s="12"/>
      <c r="D23" s="12"/>
    </row>
    <row r="24" spans="1:4" ht="14.4" x14ac:dyDescent="0.3">
      <c r="A24" s="36" t="s">
        <v>459</v>
      </c>
      <c r="B24" s="47" t="s">
        <v>480</v>
      </c>
      <c r="C24" s="9"/>
      <c r="D24" s="36"/>
    </row>
    <row r="25" spans="1:4" ht="14.4" x14ac:dyDescent="0.3">
      <c r="A25" s="36" t="s">
        <v>459</v>
      </c>
      <c r="B25" s="47" t="s">
        <v>481</v>
      </c>
      <c r="C25" s="9"/>
      <c r="D25" s="36"/>
    </row>
    <row r="26" spans="1:4" ht="14.4" x14ac:dyDescent="0.3">
      <c r="A26" s="36" t="s">
        <v>459</v>
      </c>
      <c r="B26" s="47" t="s">
        <v>482</v>
      </c>
      <c r="C26" s="9"/>
      <c r="D26" s="50"/>
    </row>
    <row r="27" spans="1:4" ht="14.4" x14ac:dyDescent="0.3">
      <c r="A27" s="36" t="s">
        <v>459</v>
      </c>
      <c r="B27" s="47" t="s">
        <v>483</v>
      </c>
      <c r="C27" s="9"/>
      <c r="D27" s="36"/>
    </row>
    <row r="28" spans="1:4" ht="14.4" x14ac:dyDescent="0.3">
      <c r="A28" s="36" t="s">
        <v>459</v>
      </c>
      <c r="B28" s="47" t="s">
        <v>484</v>
      </c>
      <c r="C28" s="9"/>
      <c r="D28" s="36"/>
    </row>
    <row r="29" spans="1:4" ht="14.4" x14ac:dyDescent="0.3">
      <c r="A29" s="36" t="s">
        <v>459</v>
      </c>
      <c r="B29" s="47" t="s">
        <v>485</v>
      </c>
      <c r="C29" s="9"/>
      <c r="D29" s="36"/>
    </row>
    <row r="30" spans="1:4" ht="14.4" x14ac:dyDescent="0.3">
      <c r="A30" s="36" t="s">
        <v>459</v>
      </c>
      <c r="B30" s="47" t="s">
        <v>486</v>
      </c>
      <c r="C30" s="9"/>
      <c r="D30" s="50"/>
    </row>
    <row r="31" spans="1:4" ht="27.6" x14ac:dyDescent="0.3">
      <c r="A31" s="22" t="s">
        <v>459</v>
      </c>
      <c r="B31" s="21" t="s">
        <v>487</v>
      </c>
      <c r="C31" s="22"/>
      <c r="D31" s="22"/>
    </row>
    <row r="32" spans="1:4" ht="14.4" x14ac:dyDescent="0.3">
      <c r="A32" s="36" t="s">
        <v>459</v>
      </c>
      <c r="B32" s="47" t="s">
        <v>488</v>
      </c>
      <c r="C32" s="9"/>
      <c r="D32" s="36"/>
    </row>
    <row r="33" spans="1:4" ht="14.4" x14ac:dyDescent="0.3">
      <c r="A33" s="36" t="s">
        <v>459</v>
      </c>
      <c r="B33" s="47" t="s">
        <v>489</v>
      </c>
      <c r="C33" s="9"/>
      <c r="D33" s="36"/>
    </row>
    <row r="34" spans="1:4" ht="14.4" x14ac:dyDescent="0.3">
      <c r="A34" s="36" t="s">
        <v>459</v>
      </c>
      <c r="B34" s="47" t="s">
        <v>490</v>
      </c>
      <c r="C34" s="9"/>
      <c r="D34" s="36"/>
    </row>
    <row r="35" spans="1:4" ht="14.4" x14ac:dyDescent="0.3">
      <c r="A35" s="36" t="s">
        <v>459</v>
      </c>
      <c r="B35" s="47" t="s">
        <v>491</v>
      </c>
      <c r="C35" s="9"/>
      <c r="D35" s="36"/>
    </row>
    <row r="36" spans="1:4" ht="14.4" x14ac:dyDescent="0.3">
      <c r="A36" s="36" t="s">
        <v>459</v>
      </c>
      <c r="B36" s="47" t="s">
        <v>492</v>
      </c>
      <c r="C36" s="9"/>
      <c r="D36" s="36"/>
    </row>
    <row r="37" spans="1:4" ht="14.4" x14ac:dyDescent="0.3">
      <c r="A37" s="36" t="s">
        <v>459</v>
      </c>
      <c r="B37" s="47" t="s">
        <v>493</v>
      </c>
      <c r="C37" s="9"/>
      <c r="D37" s="36"/>
    </row>
    <row r="38" spans="1:4" ht="14.4" x14ac:dyDescent="0.3">
      <c r="A38" s="36" t="s">
        <v>459</v>
      </c>
      <c r="B38" s="47" t="s">
        <v>494</v>
      </c>
      <c r="C38" s="9"/>
      <c r="D38" s="36"/>
    </row>
    <row r="39" spans="1:4" ht="14.4" x14ac:dyDescent="0.3">
      <c r="A39" s="36" t="s">
        <v>459</v>
      </c>
      <c r="B39" s="47" t="s">
        <v>495</v>
      </c>
      <c r="C39" s="9"/>
      <c r="D39" s="36"/>
    </row>
    <row r="40" spans="1:4" ht="14.4" x14ac:dyDescent="0.3">
      <c r="A40" s="36" t="s">
        <v>459</v>
      </c>
      <c r="B40" s="47" t="s">
        <v>496</v>
      </c>
      <c r="C40" s="9"/>
      <c r="D40" s="36"/>
    </row>
    <row r="41" spans="1:4" ht="14.4" x14ac:dyDescent="0.3">
      <c r="A41" s="36" t="s">
        <v>459</v>
      </c>
      <c r="B41" s="47" t="s">
        <v>497</v>
      </c>
      <c r="C41" s="9"/>
      <c r="D41" s="36"/>
    </row>
    <row r="42" spans="1:4" ht="14.4" x14ac:dyDescent="0.3">
      <c r="A42" s="36" t="s">
        <v>459</v>
      </c>
      <c r="B42" s="47" t="s">
        <v>499</v>
      </c>
      <c r="C42" s="9"/>
      <c r="D42" s="36"/>
    </row>
    <row r="43" spans="1:4" ht="14.4" x14ac:dyDescent="0.3">
      <c r="A43" s="36" t="s">
        <v>459</v>
      </c>
      <c r="B43" s="47" t="s">
        <v>501</v>
      </c>
      <c r="C43" s="9"/>
      <c r="D43" s="36"/>
    </row>
    <row r="44" spans="1:4" ht="82.8" x14ac:dyDescent="0.3">
      <c r="A44" s="36" t="s">
        <v>459</v>
      </c>
      <c r="B44" s="47" t="s">
        <v>503</v>
      </c>
      <c r="C44" s="9"/>
      <c r="D44" s="36"/>
    </row>
    <row r="45" spans="1:4" ht="55.2" x14ac:dyDescent="0.3">
      <c r="A45" s="36" t="s">
        <v>459</v>
      </c>
      <c r="B45" s="47" t="s">
        <v>507</v>
      </c>
      <c r="C45" s="9"/>
      <c r="D45" s="36"/>
    </row>
    <row r="46" spans="1:4" ht="55.2" x14ac:dyDescent="0.3">
      <c r="A46" s="36" t="s">
        <v>459</v>
      </c>
      <c r="B46" s="47" t="s">
        <v>509</v>
      </c>
      <c r="C46" s="9"/>
      <c r="D46" s="36"/>
    </row>
    <row r="47" spans="1:4" ht="110.4" x14ac:dyDescent="0.3">
      <c r="A47" s="36" t="s">
        <v>459</v>
      </c>
      <c r="B47" s="47" t="s">
        <v>512</v>
      </c>
      <c r="C47" s="9"/>
      <c r="D47" s="36"/>
    </row>
    <row r="48" spans="1:4" ht="41.4" x14ac:dyDescent="0.3">
      <c r="A48" s="36" t="s">
        <v>459</v>
      </c>
      <c r="B48" s="47" t="s">
        <v>515</v>
      </c>
      <c r="C48" s="9"/>
      <c r="D48" s="36"/>
    </row>
    <row r="49" spans="1:4" ht="29.25" customHeight="1" x14ac:dyDescent="0.3">
      <c r="A49" s="36" t="s">
        <v>459</v>
      </c>
      <c r="B49" s="47" t="s">
        <v>517</v>
      </c>
      <c r="C49" s="9"/>
      <c r="D49" s="36"/>
    </row>
    <row r="50" spans="1:4" ht="69" x14ac:dyDescent="0.3">
      <c r="A50" s="36" t="s">
        <v>459</v>
      </c>
      <c r="B50" s="47" t="s">
        <v>520</v>
      </c>
      <c r="C50" s="9"/>
      <c r="D50" s="54"/>
    </row>
    <row r="51" spans="1:4" ht="69" x14ac:dyDescent="0.3">
      <c r="A51" s="36" t="s">
        <v>459</v>
      </c>
      <c r="B51" s="47" t="s">
        <v>526</v>
      </c>
      <c r="C51" s="9"/>
      <c r="D51" s="54"/>
    </row>
    <row r="52" spans="1:4" ht="41.4" x14ac:dyDescent="0.3">
      <c r="A52" s="36" t="s">
        <v>459</v>
      </c>
      <c r="B52" s="47" t="s">
        <v>529</v>
      </c>
      <c r="C52" s="9"/>
      <c r="D52" s="54"/>
    </row>
    <row r="53" spans="1:4" ht="69" x14ac:dyDescent="0.3">
      <c r="A53" s="36" t="s">
        <v>459</v>
      </c>
      <c r="B53" s="47" t="s">
        <v>531</v>
      </c>
      <c r="C53" s="9"/>
      <c r="D53" s="36"/>
    </row>
    <row r="54" spans="1:4" ht="41.4" x14ac:dyDescent="0.3">
      <c r="A54" s="36" t="s">
        <v>459</v>
      </c>
      <c r="B54" s="47" t="s">
        <v>534</v>
      </c>
      <c r="C54" s="9"/>
      <c r="D54" s="36"/>
    </row>
    <row r="55" spans="1:4" ht="41.4" x14ac:dyDescent="0.3">
      <c r="A55" s="36" t="s">
        <v>459</v>
      </c>
      <c r="B55" s="47" t="s">
        <v>536</v>
      </c>
      <c r="C55" s="9"/>
      <c r="D55" s="36"/>
    </row>
    <row r="56" spans="1:4" ht="14.4" x14ac:dyDescent="0.3">
      <c r="A56" s="26" t="s">
        <v>459</v>
      </c>
      <c r="B56" s="21" t="s">
        <v>538</v>
      </c>
      <c r="C56" s="26"/>
      <c r="D56" s="26"/>
    </row>
    <row r="57" spans="1:4" ht="27.6" x14ac:dyDescent="0.3">
      <c r="A57" s="26" t="s">
        <v>459</v>
      </c>
      <c r="B57" s="56" t="s">
        <v>541</v>
      </c>
      <c r="C57" s="26"/>
      <c r="D57" s="26"/>
    </row>
    <row r="58" spans="1:4" ht="27.6" x14ac:dyDescent="0.3">
      <c r="A58" s="36" t="s">
        <v>459</v>
      </c>
      <c r="B58" s="47" t="s">
        <v>545</v>
      </c>
      <c r="C58" s="9"/>
      <c r="D58" s="36"/>
    </row>
    <row r="59" spans="1:4" ht="27.6" x14ac:dyDescent="0.3">
      <c r="A59" s="36" t="s">
        <v>459</v>
      </c>
      <c r="B59" s="47" t="s">
        <v>547</v>
      </c>
      <c r="C59" s="9"/>
      <c r="D59" s="36"/>
    </row>
    <row r="60" spans="1:4" ht="14.4" x14ac:dyDescent="0.3">
      <c r="A60" s="22" t="s">
        <v>459</v>
      </c>
      <c r="B60" s="21" t="s">
        <v>428</v>
      </c>
      <c r="C60" s="22"/>
      <c r="D60" s="22"/>
    </row>
    <row r="61" spans="1:4" ht="14.4" x14ac:dyDescent="0.3">
      <c r="A61" s="22" t="s">
        <v>459</v>
      </c>
      <c r="B61" s="21" t="s">
        <v>551</v>
      </c>
      <c r="C61" s="22"/>
      <c r="D61" s="22"/>
    </row>
    <row r="62" spans="1:4" ht="27.6" x14ac:dyDescent="0.3">
      <c r="A62" s="36" t="s">
        <v>459</v>
      </c>
      <c r="B62" s="47" t="s">
        <v>555</v>
      </c>
      <c r="C62" s="9"/>
      <c r="D62" s="36"/>
    </row>
    <row r="65" spans="2:3" ht="14.4" x14ac:dyDescent="0.3">
      <c r="B65" s="15" t="s">
        <v>75</v>
      </c>
      <c r="C65" s="2">
        <f>COUNTIF($C$5:$C$62,"C")</f>
        <v>1</v>
      </c>
    </row>
    <row r="66" spans="2:3" ht="14.4" x14ac:dyDescent="0.3">
      <c r="B66" s="15" t="s">
        <v>81</v>
      </c>
      <c r="C66" s="2">
        <f>COUNTIF($C$5:$C$62,"NC")</f>
        <v>1</v>
      </c>
    </row>
    <row r="67" spans="2:3" ht="14.4" x14ac:dyDescent="0.3">
      <c r="B67" s="15" t="s">
        <v>84</v>
      </c>
      <c r="C67" s="2">
        <f>COUNTIF($C$5:$C$62,"NA")</f>
        <v>1</v>
      </c>
    </row>
  </sheetData>
  <autoFilter ref="A3:D62" xr:uid="{00000000-0009-0000-0000-000005000000}"/>
  <mergeCells count="1">
    <mergeCell ref="H5:K5"/>
  </mergeCells>
  <conditionalFormatting sqref="C5:C12 C14:C22 C24:C30 C32:C55 C58:C59 C62">
    <cfRule type="beginsWith" dxfId="125" priority="1" operator="beginsWith" text="C">
      <formula>LEFT((C5),LEN("C"))=("C")</formula>
    </cfRule>
    <cfRule type="beginsWith" dxfId="124" priority="2" operator="beginsWith" text="NC">
      <formula>LEFT((C5),LEN("NC"))=("NC")</formula>
    </cfRule>
    <cfRule type="beginsWith" dxfId="123" priority="3" operator="beginsWith" text="NA">
      <formula>LEFT((C5),LEN("NA"))=("NA")</formula>
    </cfRule>
  </conditionalFormatting>
  <dataValidations count="1">
    <dataValidation type="list" allowBlank="1" sqref="C5:C12 C14:C22 C24:C30 C32:C55 C58:C59 C62" xr:uid="{00000000-0002-0000-0500-000000000000}">
      <formula1>"C,NC,NA"</formula1>
    </dataValidation>
  </dataValidations>
  <hyperlinks>
    <hyperlink ref="B1" location="'Tabla de contenido'!A1" display="VOLVER A TABLA DE CONTENIDO" xr:uid="{00000000-0004-0000-0500-000000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496"/>
  </sheetPr>
  <dimension ref="A1:K117"/>
  <sheetViews>
    <sheetView showGridLines="0" topLeftCell="A22" workbookViewId="0">
      <selection activeCell="B52" sqref="B52"/>
    </sheetView>
  </sheetViews>
  <sheetFormatPr baseColWidth="10" defaultColWidth="14.44140625" defaultRowHeight="15" customHeight="1" outlineLevelCol="1" x14ac:dyDescent="0.3"/>
  <cols>
    <col min="1" max="1" width="11.44140625" customWidth="1"/>
    <col min="2" max="2" width="80.33203125" customWidth="1"/>
    <col min="3" max="3" width="11.44140625" customWidth="1"/>
    <col min="4" max="4" width="40.21875" customWidth="1" outlineLevel="1"/>
    <col min="5" max="11" width="11.44140625" customWidth="1"/>
    <col min="12" max="24" width="10.77734375" customWidth="1"/>
  </cols>
  <sheetData>
    <row r="1" spans="1:11" ht="14.4" x14ac:dyDescent="0.3">
      <c r="A1" s="269"/>
      <c r="B1" s="270" t="s">
        <v>0</v>
      </c>
      <c r="C1" s="269"/>
      <c r="D1" s="269"/>
      <c r="E1" s="2"/>
      <c r="F1" s="2"/>
      <c r="G1" s="2"/>
      <c r="H1" s="2"/>
      <c r="I1" s="2"/>
      <c r="J1" s="2"/>
      <c r="K1" s="2"/>
    </row>
    <row r="2" spans="1:11" ht="14.4" x14ac:dyDescent="0.3">
      <c r="A2" s="5"/>
      <c r="B2" s="40" t="s">
        <v>498</v>
      </c>
      <c r="C2" s="5"/>
      <c r="D2" s="51"/>
      <c r="E2" s="2"/>
      <c r="F2" s="2"/>
      <c r="G2" s="2"/>
      <c r="H2" s="2"/>
      <c r="I2" s="2"/>
      <c r="J2" s="2"/>
      <c r="K2" s="2"/>
    </row>
    <row r="3" spans="1:11" ht="14.4" x14ac:dyDescent="0.3">
      <c r="A3" s="5" t="s">
        <v>7</v>
      </c>
      <c r="B3" s="40" t="s">
        <v>9</v>
      </c>
      <c r="C3" s="5" t="s">
        <v>10</v>
      </c>
      <c r="D3" s="5" t="s">
        <v>11</v>
      </c>
      <c r="E3" s="2"/>
      <c r="F3" s="2"/>
      <c r="G3" s="2"/>
      <c r="H3" s="2"/>
      <c r="I3" s="2"/>
      <c r="J3" s="2"/>
      <c r="K3" s="2"/>
    </row>
    <row r="4" spans="1:11" ht="27.6" x14ac:dyDescent="0.3">
      <c r="A4" s="38" t="s">
        <v>504</v>
      </c>
      <c r="B4" s="47" t="s">
        <v>505</v>
      </c>
      <c r="C4" s="9" t="s">
        <v>16</v>
      </c>
      <c r="D4" s="52"/>
      <c r="E4" s="2"/>
      <c r="F4" s="2"/>
      <c r="G4" s="2"/>
      <c r="H4" s="2"/>
      <c r="I4" s="2"/>
      <c r="J4" s="2"/>
      <c r="K4" s="2"/>
    </row>
    <row r="5" spans="1:11" ht="27.6" x14ac:dyDescent="0.3">
      <c r="A5" s="38" t="s">
        <v>504</v>
      </c>
      <c r="B5" s="47" t="s">
        <v>511</v>
      </c>
      <c r="C5" s="9" t="s">
        <v>20</v>
      </c>
      <c r="D5" s="38"/>
      <c r="E5" s="2"/>
      <c r="F5" s="2"/>
      <c r="G5" s="2"/>
      <c r="H5" s="278"/>
      <c r="I5" s="279"/>
      <c r="J5" s="279"/>
      <c r="K5" s="279"/>
    </row>
    <row r="6" spans="1:11" ht="55.2" x14ac:dyDescent="0.3">
      <c r="A6" s="38" t="s">
        <v>504</v>
      </c>
      <c r="B6" s="47" t="s">
        <v>514</v>
      </c>
      <c r="C6" s="9" t="s">
        <v>24</v>
      </c>
      <c r="D6" s="38"/>
      <c r="E6" s="2"/>
      <c r="F6" s="2"/>
      <c r="G6" s="2"/>
      <c r="H6" s="2"/>
      <c r="I6" s="2"/>
      <c r="J6" s="2"/>
      <c r="K6" s="2"/>
    </row>
    <row r="7" spans="1:11" ht="41.4" x14ac:dyDescent="0.3">
      <c r="A7" s="53" t="s">
        <v>504</v>
      </c>
      <c r="B7" s="21" t="s">
        <v>519</v>
      </c>
      <c r="C7" s="53"/>
      <c r="D7" s="53"/>
      <c r="E7" s="2"/>
      <c r="F7" s="2"/>
      <c r="G7" s="2"/>
      <c r="H7" s="2"/>
      <c r="I7" s="2"/>
      <c r="J7" s="2"/>
      <c r="K7" s="2"/>
    </row>
    <row r="8" spans="1:11" ht="27.6" x14ac:dyDescent="0.3">
      <c r="A8" s="38" t="s">
        <v>504</v>
      </c>
      <c r="B8" s="47" t="s">
        <v>522</v>
      </c>
      <c r="C8" s="9"/>
      <c r="D8" s="38"/>
      <c r="E8" s="2"/>
      <c r="F8" s="2"/>
      <c r="G8" s="2"/>
      <c r="H8" s="2"/>
      <c r="I8" s="2"/>
      <c r="J8" s="2"/>
      <c r="K8" s="2"/>
    </row>
    <row r="9" spans="1:11" ht="27.6" x14ac:dyDescent="0.3">
      <c r="A9" s="38" t="s">
        <v>504</v>
      </c>
      <c r="B9" s="47" t="s">
        <v>524</v>
      </c>
      <c r="C9" s="9"/>
      <c r="D9" s="38"/>
      <c r="E9" s="2"/>
      <c r="F9" s="2"/>
      <c r="G9" s="2"/>
      <c r="H9" s="2"/>
      <c r="I9" s="2"/>
      <c r="J9" s="2"/>
      <c r="K9" s="2"/>
    </row>
    <row r="10" spans="1:11" ht="41.4" x14ac:dyDescent="0.3">
      <c r="A10" s="38" t="s">
        <v>504</v>
      </c>
      <c r="B10" s="48" t="s">
        <v>527</v>
      </c>
      <c r="C10" s="9"/>
      <c r="D10" s="55"/>
      <c r="E10" s="2"/>
      <c r="F10" s="2"/>
      <c r="G10" s="2"/>
      <c r="H10" s="2"/>
      <c r="I10" s="2"/>
      <c r="J10" s="2"/>
      <c r="K10" s="2"/>
    </row>
    <row r="11" spans="1:11" ht="14.4" x14ac:dyDescent="0.3">
      <c r="A11" s="38" t="s">
        <v>504</v>
      </c>
      <c r="B11" s="272" t="s">
        <v>532</v>
      </c>
      <c r="C11" s="9"/>
      <c r="D11" s="52"/>
      <c r="E11" s="2"/>
      <c r="F11" s="2"/>
      <c r="G11" s="2"/>
      <c r="H11" s="2"/>
      <c r="I11" s="2"/>
      <c r="J11" s="2"/>
      <c r="K11" s="2"/>
    </row>
    <row r="12" spans="1:11" ht="14.4" x14ac:dyDescent="0.3">
      <c r="A12" s="38" t="s">
        <v>504</v>
      </c>
      <c r="B12" s="47" t="s">
        <v>535</v>
      </c>
      <c r="C12" s="9"/>
      <c r="D12" s="38"/>
      <c r="E12" s="2"/>
      <c r="F12" s="2"/>
      <c r="G12" s="2"/>
      <c r="H12" s="2"/>
      <c r="I12" s="2"/>
      <c r="J12" s="2"/>
      <c r="K12" s="2"/>
    </row>
    <row r="13" spans="1:11" ht="27.6" x14ac:dyDescent="0.3">
      <c r="A13" s="38" t="s">
        <v>504</v>
      </c>
      <c r="B13" s="47" t="s">
        <v>539</v>
      </c>
      <c r="C13" s="9"/>
      <c r="D13" s="38"/>
      <c r="E13" s="2"/>
      <c r="F13" s="2"/>
      <c r="G13" s="2"/>
      <c r="H13" s="2"/>
      <c r="I13" s="2"/>
      <c r="J13" s="2"/>
      <c r="K13" s="2"/>
    </row>
    <row r="14" spans="1:11" ht="14.4" x14ac:dyDescent="0.3">
      <c r="A14" s="38" t="s">
        <v>504</v>
      </c>
      <c r="B14" s="47" t="s">
        <v>543</v>
      </c>
      <c r="C14" s="9"/>
      <c r="D14" s="38"/>
      <c r="E14" s="2"/>
      <c r="F14" s="2"/>
      <c r="G14" s="2"/>
      <c r="H14" s="2"/>
      <c r="I14" s="2"/>
      <c r="J14" s="2"/>
      <c r="K14" s="2"/>
    </row>
    <row r="15" spans="1:11" ht="27.6" x14ac:dyDescent="0.3">
      <c r="A15" s="38" t="s">
        <v>504</v>
      </c>
      <c r="B15" s="47" t="s">
        <v>546</v>
      </c>
      <c r="C15" s="9"/>
      <c r="D15" s="38"/>
      <c r="E15" s="2"/>
      <c r="F15" s="2"/>
      <c r="G15" s="2"/>
      <c r="H15" s="2"/>
      <c r="I15" s="2"/>
      <c r="J15" s="2"/>
      <c r="K15" s="2"/>
    </row>
    <row r="16" spans="1:11" ht="27.6" x14ac:dyDescent="0.3">
      <c r="A16" s="38" t="s">
        <v>504</v>
      </c>
      <c r="B16" s="47" t="s">
        <v>549</v>
      </c>
      <c r="C16" s="9"/>
      <c r="D16" s="38"/>
      <c r="E16" s="2"/>
      <c r="F16" s="2"/>
      <c r="G16" s="2"/>
      <c r="H16" s="2"/>
      <c r="I16" s="2"/>
      <c r="J16" s="2"/>
      <c r="K16" s="2"/>
    </row>
    <row r="17" spans="1:4" ht="14.4" x14ac:dyDescent="0.3">
      <c r="A17" s="38" t="s">
        <v>504</v>
      </c>
      <c r="B17" s="47" t="s">
        <v>553</v>
      </c>
      <c r="C17" s="9"/>
      <c r="D17" s="38"/>
    </row>
    <row r="18" spans="1:4" ht="27.6" x14ac:dyDescent="0.3">
      <c r="A18" s="38" t="s">
        <v>504</v>
      </c>
      <c r="B18" s="47" t="s">
        <v>556</v>
      </c>
      <c r="C18" s="9" t="s">
        <v>16</v>
      </c>
      <c r="D18" s="38"/>
    </row>
    <row r="19" spans="1:4" ht="41.4" x14ac:dyDescent="0.3">
      <c r="A19" s="53" t="s">
        <v>504</v>
      </c>
      <c r="B19" s="21" t="s">
        <v>558</v>
      </c>
      <c r="C19" s="53"/>
      <c r="D19" s="53"/>
    </row>
    <row r="20" spans="1:4" ht="27.6" x14ac:dyDescent="0.3">
      <c r="A20" s="38" t="s">
        <v>504</v>
      </c>
      <c r="B20" s="47" t="s">
        <v>561</v>
      </c>
      <c r="C20" s="9"/>
      <c r="D20" s="38"/>
    </row>
    <row r="21" spans="1:4" ht="27.6" x14ac:dyDescent="0.3">
      <c r="A21" s="38" t="s">
        <v>504</v>
      </c>
      <c r="B21" s="47" t="s">
        <v>563</v>
      </c>
      <c r="C21" s="9"/>
      <c r="D21" s="38"/>
    </row>
    <row r="22" spans="1:4" ht="82.8" x14ac:dyDescent="0.3">
      <c r="A22" s="38" t="s">
        <v>504</v>
      </c>
      <c r="B22" s="47" t="s">
        <v>565</v>
      </c>
      <c r="C22" s="9"/>
      <c r="D22" s="38"/>
    </row>
    <row r="23" spans="1:4" ht="41.4" x14ac:dyDescent="0.3">
      <c r="A23" s="38" t="s">
        <v>504</v>
      </c>
      <c r="B23" s="47" t="s">
        <v>568</v>
      </c>
      <c r="C23" s="9"/>
      <c r="D23" s="38"/>
    </row>
    <row r="24" spans="1:4" ht="82.8" x14ac:dyDescent="0.3">
      <c r="A24" s="38" t="s">
        <v>504</v>
      </c>
      <c r="B24" s="47" t="s">
        <v>571</v>
      </c>
      <c r="C24" s="9"/>
      <c r="D24" s="38"/>
    </row>
    <row r="25" spans="1:4" ht="27.6" x14ac:dyDescent="0.3">
      <c r="A25" s="38" t="s">
        <v>504</v>
      </c>
      <c r="B25" s="47" t="s">
        <v>573</v>
      </c>
      <c r="C25" s="9"/>
      <c r="D25" s="38"/>
    </row>
    <row r="26" spans="1:4" ht="41.4" x14ac:dyDescent="0.3">
      <c r="A26" s="38" t="s">
        <v>504</v>
      </c>
      <c r="B26" s="47" t="s">
        <v>576</v>
      </c>
      <c r="C26" s="9"/>
      <c r="D26" s="38"/>
    </row>
    <row r="27" spans="1:4" ht="41.4" x14ac:dyDescent="0.3">
      <c r="A27" s="38" t="s">
        <v>504</v>
      </c>
      <c r="B27" s="47" t="s">
        <v>577</v>
      </c>
      <c r="C27" s="9"/>
      <c r="D27" s="38"/>
    </row>
    <row r="28" spans="1:4" ht="27.6" x14ac:dyDescent="0.3">
      <c r="A28" s="53" t="s">
        <v>504</v>
      </c>
      <c r="B28" s="21" t="s">
        <v>579</v>
      </c>
      <c r="C28" s="53"/>
      <c r="D28" s="53"/>
    </row>
    <row r="29" spans="1:4" ht="27.6" x14ac:dyDescent="0.3">
      <c r="A29" s="38" t="s">
        <v>504</v>
      </c>
      <c r="B29" s="271" t="s">
        <v>581</v>
      </c>
      <c r="C29" s="9"/>
      <c r="D29" s="38"/>
    </row>
    <row r="30" spans="1:4" ht="14.4" x14ac:dyDescent="0.3">
      <c r="A30" s="38" t="s">
        <v>504</v>
      </c>
      <c r="B30" s="47" t="s">
        <v>583</v>
      </c>
      <c r="C30" s="9"/>
      <c r="D30" s="38"/>
    </row>
    <row r="31" spans="1:4" ht="27.6" x14ac:dyDescent="0.3">
      <c r="A31" s="38" t="s">
        <v>504</v>
      </c>
      <c r="B31" s="47" t="s">
        <v>585</v>
      </c>
      <c r="C31" s="9"/>
      <c r="D31" s="38"/>
    </row>
    <row r="32" spans="1:4" ht="27.6" x14ac:dyDescent="0.3">
      <c r="A32" s="38" t="s">
        <v>504</v>
      </c>
      <c r="B32" s="47" t="s">
        <v>588</v>
      </c>
      <c r="C32" s="9"/>
      <c r="D32" s="38"/>
    </row>
    <row r="33" spans="1:4" ht="27.6" x14ac:dyDescent="0.3">
      <c r="A33" s="38" t="s">
        <v>504</v>
      </c>
      <c r="B33" s="47" t="s">
        <v>590</v>
      </c>
      <c r="C33" s="9"/>
      <c r="D33" s="38"/>
    </row>
    <row r="34" spans="1:4" ht="14.4" x14ac:dyDescent="0.3">
      <c r="A34" s="38" t="s">
        <v>504</v>
      </c>
      <c r="B34" s="47" t="s">
        <v>592</v>
      </c>
      <c r="C34" s="9"/>
      <c r="D34" s="38"/>
    </row>
    <row r="35" spans="1:4" ht="27.6" x14ac:dyDescent="0.3">
      <c r="A35" s="38" t="s">
        <v>504</v>
      </c>
      <c r="B35" s="47" t="s">
        <v>593</v>
      </c>
      <c r="C35" s="9"/>
      <c r="D35" s="38"/>
    </row>
    <row r="36" spans="1:4" ht="27.6" x14ac:dyDescent="0.3">
      <c r="A36" s="53" t="s">
        <v>504</v>
      </c>
      <c r="B36" s="21" t="s">
        <v>596</v>
      </c>
      <c r="C36" s="53"/>
      <c r="D36" s="53"/>
    </row>
    <row r="37" spans="1:4" ht="27.6" x14ac:dyDescent="0.3">
      <c r="A37" s="53" t="s">
        <v>504</v>
      </c>
      <c r="B37" s="21" t="s">
        <v>598</v>
      </c>
      <c r="C37" s="53"/>
      <c r="D37" s="53"/>
    </row>
    <row r="38" spans="1:4" ht="14.4" x14ac:dyDescent="0.3">
      <c r="A38" s="38" t="s">
        <v>504</v>
      </c>
      <c r="B38" s="47" t="s">
        <v>600</v>
      </c>
      <c r="C38" s="9"/>
      <c r="D38" s="57"/>
    </row>
    <row r="39" spans="1:4" ht="14.4" x14ac:dyDescent="0.3">
      <c r="A39" s="38" t="s">
        <v>504</v>
      </c>
      <c r="B39" s="47" t="s">
        <v>603</v>
      </c>
      <c r="C39" s="9"/>
      <c r="D39" s="57"/>
    </row>
    <row r="40" spans="1:4" ht="14.4" x14ac:dyDescent="0.3">
      <c r="A40" s="38" t="s">
        <v>504</v>
      </c>
      <c r="B40" s="47" t="s">
        <v>605</v>
      </c>
      <c r="C40" s="9"/>
      <c r="D40" s="57"/>
    </row>
    <row r="41" spans="1:4" ht="14.4" x14ac:dyDescent="0.3">
      <c r="A41" s="38" t="s">
        <v>504</v>
      </c>
      <c r="B41" s="47" t="s">
        <v>606</v>
      </c>
      <c r="C41" s="9"/>
      <c r="D41" s="57"/>
    </row>
    <row r="42" spans="1:4" ht="14.4" x14ac:dyDescent="0.3">
      <c r="A42" s="38" t="s">
        <v>504</v>
      </c>
      <c r="B42" s="47" t="s">
        <v>608</v>
      </c>
      <c r="C42" s="9"/>
      <c r="D42" s="57"/>
    </row>
    <row r="43" spans="1:4" ht="14.4" x14ac:dyDescent="0.3">
      <c r="A43" s="38" t="s">
        <v>504</v>
      </c>
      <c r="B43" s="47" t="s">
        <v>610</v>
      </c>
      <c r="C43" s="9"/>
      <c r="D43" s="57"/>
    </row>
    <row r="44" spans="1:4" ht="14.4" x14ac:dyDescent="0.3">
      <c r="A44" s="38" t="s">
        <v>504</v>
      </c>
      <c r="B44" s="47" t="s">
        <v>612</v>
      </c>
      <c r="C44" s="9"/>
      <c r="D44" s="57"/>
    </row>
    <row r="45" spans="1:4" ht="14.4" x14ac:dyDescent="0.3">
      <c r="A45" s="38" t="s">
        <v>504</v>
      </c>
      <c r="B45" s="47" t="s">
        <v>614</v>
      </c>
      <c r="C45" s="9"/>
      <c r="D45" s="57"/>
    </row>
    <row r="46" spans="1:4" ht="27.6" x14ac:dyDescent="0.3">
      <c r="A46" s="38" t="s">
        <v>504</v>
      </c>
      <c r="B46" s="47" t="s">
        <v>616</v>
      </c>
      <c r="C46" s="9"/>
      <c r="D46" s="57"/>
    </row>
    <row r="47" spans="1:4" ht="96.6" x14ac:dyDescent="0.3">
      <c r="A47" s="38" t="s">
        <v>504</v>
      </c>
      <c r="B47" s="47" t="s">
        <v>618</v>
      </c>
      <c r="C47" s="9"/>
      <c r="D47" s="38"/>
    </row>
    <row r="48" spans="1:4" ht="41.4" x14ac:dyDescent="0.3">
      <c r="A48" s="38" t="s">
        <v>504</v>
      </c>
      <c r="B48" s="47" t="s">
        <v>620</v>
      </c>
      <c r="C48" s="9"/>
      <c r="D48" s="38"/>
    </row>
    <row r="49" spans="1:4" ht="69" x14ac:dyDescent="0.3">
      <c r="A49" s="53" t="s">
        <v>504</v>
      </c>
      <c r="B49" s="21" t="s">
        <v>622</v>
      </c>
      <c r="C49" s="53"/>
      <c r="D49" s="53"/>
    </row>
    <row r="50" spans="1:4" ht="41.4" x14ac:dyDescent="0.3">
      <c r="A50" s="38" t="s">
        <v>504</v>
      </c>
      <c r="B50" s="47" t="s">
        <v>624</v>
      </c>
      <c r="C50" s="9"/>
      <c r="D50" s="38"/>
    </row>
    <row r="51" spans="1:4" ht="55.2" x14ac:dyDescent="0.3">
      <c r="A51" s="38" t="s">
        <v>504</v>
      </c>
      <c r="B51" s="47" t="s">
        <v>627</v>
      </c>
      <c r="C51" s="9"/>
      <c r="D51" s="38"/>
    </row>
    <row r="52" spans="1:4" ht="27.6" x14ac:dyDescent="0.3">
      <c r="A52" s="38" t="s">
        <v>504</v>
      </c>
      <c r="B52" s="47" t="s">
        <v>628</v>
      </c>
      <c r="C52" s="9"/>
      <c r="D52" s="38"/>
    </row>
    <row r="53" spans="1:4" ht="27.6" x14ac:dyDescent="0.3">
      <c r="A53" s="53" t="s">
        <v>504</v>
      </c>
      <c r="B53" s="21" t="s">
        <v>629</v>
      </c>
      <c r="C53" s="53"/>
      <c r="D53" s="53"/>
    </row>
    <row r="54" spans="1:4" ht="14.4" x14ac:dyDescent="0.3">
      <c r="A54" s="38" t="s">
        <v>504</v>
      </c>
      <c r="B54" s="47" t="s">
        <v>630</v>
      </c>
      <c r="C54" s="9"/>
      <c r="D54" s="38"/>
    </row>
    <row r="55" spans="1:4" ht="14.4" x14ac:dyDescent="0.3">
      <c r="A55" s="38" t="s">
        <v>504</v>
      </c>
      <c r="B55" s="47" t="s">
        <v>631</v>
      </c>
      <c r="C55" s="9"/>
      <c r="D55" s="38"/>
    </row>
    <row r="56" spans="1:4" ht="27.6" x14ac:dyDescent="0.3">
      <c r="A56" s="53" t="s">
        <v>504</v>
      </c>
      <c r="B56" s="21" t="s">
        <v>632</v>
      </c>
      <c r="C56" s="53"/>
      <c r="D56" s="53"/>
    </row>
    <row r="57" spans="1:4" ht="14.4" x14ac:dyDescent="0.3">
      <c r="A57" s="38" t="s">
        <v>504</v>
      </c>
      <c r="B57" s="47" t="s">
        <v>633</v>
      </c>
      <c r="C57" s="9"/>
      <c r="D57" s="38"/>
    </row>
    <row r="58" spans="1:4" ht="14.4" x14ac:dyDescent="0.3">
      <c r="A58" s="38" t="s">
        <v>504</v>
      </c>
      <c r="B58" s="47" t="s">
        <v>634</v>
      </c>
      <c r="C58" s="9"/>
      <c r="D58" s="38"/>
    </row>
    <row r="59" spans="1:4" ht="14.4" x14ac:dyDescent="0.3">
      <c r="A59" s="38" t="s">
        <v>504</v>
      </c>
      <c r="B59" s="47" t="s">
        <v>635</v>
      </c>
      <c r="C59" s="9"/>
      <c r="D59" s="38"/>
    </row>
    <row r="60" spans="1:4" ht="27.6" x14ac:dyDescent="0.3">
      <c r="A60" s="38" t="s">
        <v>504</v>
      </c>
      <c r="B60" s="47" t="s">
        <v>636</v>
      </c>
      <c r="C60" s="9"/>
      <c r="D60" s="38"/>
    </row>
    <row r="61" spans="1:4" ht="27.6" x14ac:dyDescent="0.3">
      <c r="A61" s="38" t="s">
        <v>504</v>
      </c>
      <c r="B61" s="47" t="s">
        <v>637</v>
      </c>
      <c r="C61" s="9"/>
      <c r="D61" s="38"/>
    </row>
    <row r="62" spans="1:4" ht="27.6" x14ac:dyDescent="0.3">
      <c r="A62" s="38" t="s">
        <v>504</v>
      </c>
      <c r="B62" s="47" t="s">
        <v>638</v>
      </c>
      <c r="C62" s="9"/>
      <c r="D62" s="38"/>
    </row>
    <row r="63" spans="1:4" ht="27.6" x14ac:dyDescent="0.3">
      <c r="A63" s="53" t="s">
        <v>504</v>
      </c>
      <c r="B63" s="21" t="s">
        <v>639</v>
      </c>
      <c r="C63" s="53"/>
      <c r="D63" s="53"/>
    </row>
    <row r="64" spans="1:4" ht="14.4" x14ac:dyDescent="0.3">
      <c r="A64" s="38" t="s">
        <v>504</v>
      </c>
      <c r="B64" s="47" t="s">
        <v>640</v>
      </c>
      <c r="C64" s="9"/>
      <c r="D64" s="38"/>
    </row>
    <row r="65" spans="1:4" ht="27.6" x14ac:dyDescent="0.3">
      <c r="A65" s="38" t="s">
        <v>504</v>
      </c>
      <c r="B65" s="47" t="s">
        <v>641</v>
      </c>
      <c r="C65" s="9"/>
      <c r="D65" s="38"/>
    </row>
    <row r="66" spans="1:4" ht="14.4" x14ac:dyDescent="0.3">
      <c r="A66" s="38" t="s">
        <v>504</v>
      </c>
      <c r="B66" s="47" t="s">
        <v>642</v>
      </c>
      <c r="C66" s="9"/>
      <c r="D66" s="38"/>
    </row>
    <row r="67" spans="1:4" ht="41.4" x14ac:dyDescent="0.3">
      <c r="A67" s="38" t="s">
        <v>504</v>
      </c>
      <c r="B67" s="271" t="s">
        <v>643</v>
      </c>
      <c r="C67" s="9"/>
      <c r="D67" s="38"/>
    </row>
    <row r="68" spans="1:4" ht="27.6" x14ac:dyDescent="0.3">
      <c r="A68" s="53" t="s">
        <v>504</v>
      </c>
      <c r="B68" s="21" t="s">
        <v>644</v>
      </c>
      <c r="C68" s="53"/>
      <c r="D68" s="53"/>
    </row>
    <row r="69" spans="1:4" ht="14.4" x14ac:dyDescent="0.3">
      <c r="A69" s="38" t="s">
        <v>504</v>
      </c>
      <c r="B69" s="47" t="s">
        <v>645</v>
      </c>
      <c r="C69" s="9"/>
      <c r="D69" s="38"/>
    </row>
    <row r="70" spans="1:4" ht="14.4" x14ac:dyDescent="0.3">
      <c r="A70" s="38" t="s">
        <v>504</v>
      </c>
      <c r="B70" s="47" t="s">
        <v>646</v>
      </c>
      <c r="C70" s="9"/>
      <c r="D70" s="52"/>
    </row>
    <row r="71" spans="1:4" ht="27.6" x14ac:dyDescent="0.3">
      <c r="A71" s="38" t="s">
        <v>504</v>
      </c>
      <c r="B71" s="47" t="s">
        <v>647</v>
      </c>
      <c r="C71" s="9"/>
      <c r="D71" s="38"/>
    </row>
    <row r="72" spans="1:4" ht="14.4" x14ac:dyDescent="0.3">
      <c r="A72" s="38" t="s">
        <v>504</v>
      </c>
      <c r="B72" s="47" t="s">
        <v>648</v>
      </c>
      <c r="C72" s="9"/>
      <c r="D72" s="38"/>
    </row>
    <row r="73" spans="1:4" ht="14.4" x14ac:dyDescent="0.3">
      <c r="A73" s="38" t="s">
        <v>504</v>
      </c>
      <c r="B73" s="47" t="s">
        <v>649</v>
      </c>
      <c r="C73" s="9"/>
      <c r="D73" s="38"/>
    </row>
    <row r="74" spans="1:4" ht="27.6" x14ac:dyDescent="0.3">
      <c r="A74" s="38" t="s">
        <v>504</v>
      </c>
      <c r="B74" s="47" t="s">
        <v>650</v>
      </c>
      <c r="C74" s="9"/>
      <c r="D74" s="38"/>
    </row>
    <row r="75" spans="1:4" ht="14.4" x14ac:dyDescent="0.3">
      <c r="A75" s="38" t="s">
        <v>504</v>
      </c>
      <c r="B75" s="47" t="s">
        <v>651</v>
      </c>
      <c r="C75" s="9"/>
      <c r="D75" s="38"/>
    </row>
    <row r="76" spans="1:4" ht="55.2" x14ac:dyDescent="0.3">
      <c r="A76" s="53" t="s">
        <v>504</v>
      </c>
      <c r="B76" s="21" t="s">
        <v>652</v>
      </c>
      <c r="C76" s="53"/>
      <c r="D76" s="53"/>
    </row>
    <row r="77" spans="1:4" ht="27.6" x14ac:dyDescent="0.3">
      <c r="A77" s="38" t="s">
        <v>504</v>
      </c>
      <c r="B77" s="47" t="s">
        <v>653</v>
      </c>
      <c r="C77" s="9"/>
      <c r="D77" s="38"/>
    </row>
    <row r="78" spans="1:4" ht="27.6" x14ac:dyDescent="0.3">
      <c r="A78" s="38" t="s">
        <v>504</v>
      </c>
      <c r="B78" s="47" t="s">
        <v>654</v>
      </c>
      <c r="C78" s="9"/>
      <c r="D78" s="52"/>
    </row>
    <row r="79" spans="1:4" ht="14.4" x14ac:dyDescent="0.3">
      <c r="A79" s="38" t="s">
        <v>504</v>
      </c>
      <c r="B79" s="47" t="s">
        <v>655</v>
      </c>
      <c r="C79" s="9"/>
      <c r="D79" s="38"/>
    </row>
    <row r="80" spans="1:4" ht="41.4" x14ac:dyDescent="0.3">
      <c r="A80" s="53" t="s">
        <v>504</v>
      </c>
      <c r="B80" s="21" t="s">
        <v>656</v>
      </c>
      <c r="C80" s="53"/>
      <c r="D80" s="53"/>
    </row>
    <row r="81" spans="1:4" ht="27.6" x14ac:dyDescent="0.3">
      <c r="A81" s="38" t="s">
        <v>504</v>
      </c>
      <c r="B81" s="47" t="s">
        <v>657</v>
      </c>
      <c r="C81" s="9"/>
      <c r="D81" s="38"/>
    </row>
    <row r="82" spans="1:4" ht="27.6" x14ac:dyDescent="0.3">
      <c r="A82" s="38" t="s">
        <v>504</v>
      </c>
      <c r="B82" s="47" t="s">
        <v>658</v>
      </c>
      <c r="C82" s="9"/>
      <c r="D82" s="38"/>
    </row>
    <row r="83" spans="1:4" ht="69" x14ac:dyDescent="0.3">
      <c r="A83" s="38" t="s">
        <v>504</v>
      </c>
      <c r="B83" s="47" t="s">
        <v>659</v>
      </c>
      <c r="C83" s="9"/>
      <c r="D83" s="38"/>
    </row>
    <row r="84" spans="1:4" ht="41.4" x14ac:dyDescent="0.3">
      <c r="A84" s="38" t="s">
        <v>504</v>
      </c>
      <c r="B84" s="47" t="s">
        <v>660</v>
      </c>
      <c r="C84" s="9"/>
      <c r="D84" s="38"/>
    </row>
    <row r="85" spans="1:4" ht="69" x14ac:dyDescent="0.3">
      <c r="A85" s="38" t="s">
        <v>504</v>
      </c>
      <c r="B85" s="47" t="s">
        <v>661</v>
      </c>
      <c r="C85" s="9"/>
      <c r="D85" s="38"/>
    </row>
    <row r="86" spans="1:4" ht="69" x14ac:dyDescent="0.3">
      <c r="A86" s="53" t="s">
        <v>504</v>
      </c>
      <c r="B86" s="21" t="s">
        <v>662</v>
      </c>
      <c r="C86" s="53"/>
      <c r="D86" s="53"/>
    </row>
    <row r="87" spans="1:4" ht="14.4" x14ac:dyDescent="0.3">
      <c r="A87" s="38" t="s">
        <v>504</v>
      </c>
      <c r="B87" s="47" t="s">
        <v>663</v>
      </c>
      <c r="C87" s="9"/>
      <c r="D87" s="38"/>
    </row>
    <row r="88" spans="1:4" ht="14.4" x14ac:dyDescent="0.3">
      <c r="A88" s="38" t="s">
        <v>504</v>
      </c>
      <c r="B88" s="47" t="s">
        <v>664</v>
      </c>
      <c r="C88" s="9"/>
      <c r="D88" s="38"/>
    </row>
    <row r="89" spans="1:4" ht="14.4" x14ac:dyDescent="0.3">
      <c r="A89" s="38" t="s">
        <v>504</v>
      </c>
      <c r="B89" s="47" t="s">
        <v>665</v>
      </c>
      <c r="C89" s="9"/>
      <c r="D89" s="38"/>
    </row>
    <row r="90" spans="1:4" ht="14.4" x14ac:dyDescent="0.3">
      <c r="A90" s="38" t="s">
        <v>504</v>
      </c>
      <c r="B90" s="47" t="s">
        <v>666</v>
      </c>
      <c r="C90" s="9"/>
      <c r="D90" s="38"/>
    </row>
    <row r="91" spans="1:4" ht="55.2" x14ac:dyDescent="0.3">
      <c r="A91" s="38" t="s">
        <v>504</v>
      </c>
      <c r="B91" s="47" t="s">
        <v>667</v>
      </c>
      <c r="C91" s="9"/>
      <c r="D91" s="38"/>
    </row>
    <row r="92" spans="1:4" ht="27.6" x14ac:dyDescent="0.3">
      <c r="A92" s="38" t="s">
        <v>504</v>
      </c>
      <c r="B92" s="47" t="s">
        <v>668</v>
      </c>
      <c r="C92" s="9"/>
      <c r="D92" s="38"/>
    </row>
    <row r="93" spans="1:4" ht="41.4" x14ac:dyDescent="0.3">
      <c r="A93" s="53" t="s">
        <v>504</v>
      </c>
      <c r="B93" s="21" t="s">
        <v>669</v>
      </c>
      <c r="C93" s="53"/>
      <c r="D93" s="53"/>
    </row>
    <row r="94" spans="1:4" ht="27.6" x14ac:dyDescent="0.3">
      <c r="A94" s="38" t="s">
        <v>504</v>
      </c>
      <c r="B94" s="47" t="s">
        <v>670</v>
      </c>
      <c r="C94" s="9"/>
      <c r="D94" s="52"/>
    </row>
    <row r="95" spans="1:4" ht="41.4" x14ac:dyDescent="0.3">
      <c r="A95" s="38" t="s">
        <v>504</v>
      </c>
      <c r="B95" s="47" t="s">
        <v>671</v>
      </c>
      <c r="C95" s="9"/>
      <c r="D95" s="52"/>
    </row>
    <row r="96" spans="1:4" ht="27.6" x14ac:dyDescent="0.3">
      <c r="A96" s="38" t="s">
        <v>504</v>
      </c>
      <c r="B96" s="47" t="s">
        <v>672</v>
      </c>
      <c r="C96" s="9"/>
      <c r="D96" s="52"/>
    </row>
    <row r="97" spans="1:4" ht="41.4" x14ac:dyDescent="0.3">
      <c r="A97" s="53" t="s">
        <v>504</v>
      </c>
      <c r="B97" s="21" t="s">
        <v>673</v>
      </c>
      <c r="C97" s="53"/>
      <c r="D97" s="53"/>
    </row>
    <row r="98" spans="1:4" ht="14.4" x14ac:dyDescent="0.3">
      <c r="A98" s="53" t="s">
        <v>504</v>
      </c>
      <c r="B98" s="21" t="s">
        <v>674</v>
      </c>
      <c r="C98" s="53"/>
      <c r="D98" s="53"/>
    </row>
    <row r="99" spans="1:4" ht="41.4" x14ac:dyDescent="0.3">
      <c r="A99" s="38" t="s">
        <v>504</v>
      </c>
      <c r="B99" s="47" t="s">
        <v>675</v>
      </c>
      <c r="C99" s="38"/>
      <c r="D99" s="38"/>
    </row>
    <row r="100" spans="1:4" ht="27.6" x14ac:dyDescent="0.3">
      <c r="A100" s="38" t="s">
        <v>504</v>
      </c>
      <c r="B100" s="47" t="s">
        <v>676</v>
      </c>
      <c r="C100" s="38"/>
      <c r="D100" s="38"/>
    </row>
    <row r="101" spans="1:4" ht="27.6" x14ac:dyDescent="0.3">
      <c r="A101" s="38" t="s">
        <v>504</v>
      </c>
      <c r="B101" s="47" t="s">
        <v>677</v>
      </c>
      <c r="C101" s="38"/>
      <c r="D101" s="38"/>
    </row>
    <row r="102" spans="1:4" ht="14.4" x14ac:dyDescent="0.3">
      <c r="A102" s="53" t="s">
        <v>504</v>
      </c>
      <c r="B102" s="21" t="s">
        <v>678</v>
      </c>
      <c r="C102" s="53"/>
      <c r="D102" s="53"/>
    </row>
    <row r="103" spans="1:4" ht="27.6" x14ac:dyDescent="0.3">
      <c r="A103" s="38" t="s">
        <v>504</v>
      </c>
      <c r="B103" s="47" t="s">
        <v>679</v>
      </c>
      <c r="C103" s="38"/>
      <c r="D103" s="38"/>
    </row>
    <row r="104" spans="1:4" ht="41.4" x14ac:dyDescent="0.3">
      <c r="A104" s="38" t="s">
        <v>504</v>
      </c>
      <c r="B104" s="47" t="s">
        <v>680</v>
      </c>
      <c r="C104" s="38"/>
      <c r="D104" s="38"/>
    </row>
    <row r="105" spans="1:4" ht="14.4" x14ac:dyDescent="0.3">
      <c r="A105" s="38" t="s">
        <v>504</v>
      </c>
      <c r="B105" s="47" t="s">
        <v>681</v>
      </c>
      <c r="C105" s="38"/>
      <c r="D105" s="38"/>
    </row>
    <row r="106" spans="1:4" ht="14.4" x14ac:dyDescent="0.3">
      <c r="A106" s="38" t="s">
        <v>504</v>
      </c>
      <c r="B106" s="47" t="s">
        <v>682</v>
      </c>
      <c r="C106" s="38"/>
      <c r="D106" s="38"/>
    </row>
    <row r="107" spans="1:4" ht="55.2" x14ac:dyDescent="0.3">
      <c r="A107" s="38" t="s">
        <v>504</v>
      </c>
      <c r="B107" s="47" t="s">
        <v>683</v>
      </c>
      <c r="C107" s="38"/>
      <c r="D107" s="38"/>
    </row>
    <row r="108" spans="1:4" ht="27.6" x14ac:dyDescent="0.3">
      <c r="A108" s="38" t="s">
        <v>504</v>
      </c>
      <c r="B108" s="47" t="s">
        <v>684</v>
      </c>
      <c r="C108" s="38"/>
      <c r="D108" s="38"/>
    </row>
    <row r="109" spans="1:4" ht="14.4" x14ac:dyDescent="0.3">
      <c r="A109" s="38" t="s">
        <v>504</v>
      </c>
      <c r="B109" s="47" t="s">
        <v>685</v>
      </c>
      <c r="C109" s="38"/>
      <c r="D109" s="38"/>
    </row>
    <row r="110" spans="1:4" ht="27.6" x14ac:dyDescent="0.3">
      <c r="A110" s="38" t="s">
        <v>504</v>
      </c>
      <c r="B110" s="47" t="s">
        <v>686</v>
      </c>
      <c r="C110" s="38"/>
      <c r="D110" s="38"/>
    </row>
    <row r="111" spans="1:4" ht="14.4" x14ac:dyDescent="0.3">
      <c r="A111" s="53" t="s">
        <v>504</v>
      </c>
      <c r="B111" s="21" t="s">
        <v>687</v>
      </c>
      <c r="C111" s="53"/>
      <c r="D111" s="53"/>
    </row>
    <row r="112" spans="1:4" ht="96.6" x14ac:dyDescent="0.3">
      <c r="A112" s="38" t="s">
        <v>504</v>
      </c>
      <c r="B112" s="47" t="s">
        <v>688</v>
      </c>
      <c r="C112" s="38"/>
      <c r="D112" s="38"/>
    </row>
    <row r="115" spans="2:3" ht="14.4" x14ac:dyDescent="0.3">
      <c r="B115" s="15" t="s">
        <v>75</v>
      </c>
      <c r="C115" s="2">
        <f>COUNTIF($C$4:$C$112,"C")</f>
        <v>2</v>
      </c>
    </row>
    <row r="116" spans="2:3" ht="14.4" x14ac:dyDescent="0.3">
      <c r="B116" s="15" t="s">
        <v>81</v>
      </c>
      <c r="C116" s="2">
        <f>COUNTIF($C$4:$C$112,"NC")</f>
        <v>1</v>
      </c>
    </row>
    <row r="117" spans="2:3" ht="14.4" x14ac:dyDescent="0.3">
      <c r="B117" s="15" t="s">
        <v>84</v>
      </c>
      <c r="C117" s="2">
        <f>COUNTIF($C$4:$C$112,"NA")</f>
        <v>1</v>
      </c>
    </row>
  </sheetData>
  <autoFilter ref="A3:D112" xr:uid="{00000000-0009-0000-0000-000006000000}"/>
  <mergeCells count="1">
    <mergeCell ref="H5:K5"/>
  </mergeCells>
  <conditionalFormatting sqref="C4:C6 C8:C18 C20:C27 C29:C35 C38:C48 C50:C52 C54:C55 C57:C62 C64:C67 C69:C75 C77:C79 C81:C85 C87:C92 C94:C96 C99:C101 C103:C110 C112">
    <cfRule type="beginsWith" dxfId="122" priority="1" operator="beginsWith" text="C">
      <formula>LEFT((C4),LEN("C"))=("C")</formula>
    </cfRule>
    <cfRule type="beginsWith" dxfId="121" priority="2" operator="beginsWith" text="NC">
      <formula>LEFT((C4),LEN("NC"))=("NC")</formula>
    </cfRule>
    <cfRule type="beginsWith" dxfId="120" priority="3" operator="beginsWith" text="NA">
      <formula>LEFT((C4),LEN("NA"))=("NA")</formula>
    </cfRule>
  </conditionalFormatting>
  <dataValidations count="1">
    <dataValidation type="list" allowBlank="1" sqref="C4:C6 C8:C18 C20:C27 C29:C35 C38:C48 C50:C52 C54:C55 C57:C62 C64:C67 C69:C75 C77:C79 C81:C85 C87:C92 C94:C96 C99:C101 C103:C110 C112" xr:uid="{00000000-0002-0000-0600-000000000000}">
      <formula1>"C,NC,NA"</formula1>
    </dataValidation>
  </dataValidations>
  <hyperlinks>
    <hyperlink ref="B1" location="'Tabla de contenido'!A1" display="VOLVER A TABLA DE CONTENIDO" xr:uid="{00000000-0004-0000-0600-00000000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5496"/>
  </sheetPr>
  <dimension ref="A1:K66"/>
  <sheetViews>
    <sheetView showGridLines="0" topLeftCell="A11" workbookViewId="0">
      <selection activeCell="D14" sqref="D14"/>
    </sheetView>
  </sheetViews>
  <sheetFormatPr baseColWidth="10" defaultColWidth="14.44140625" defaultRowHeight="15" customHeight="1" outlineLevelCol="1" x14ac:dyDescent="0.3"/>
  <cols>
    <col min="1" max="1" width="12.88671875" customWidth="1"/>
    <col min="2" max="2" width="80.33203125" customWidth="1"/>
    <col min="3" max="3" width="11.44140625" customWidth="1"/>
    <col min="4" max="4" width="40.21875" customWidth="1" outlineLevel="1"/>
    <col min="5" max="11" width="11.44140625" customWidth="1"/>
    <col min="12" max="24" width="10.77734375" customWidth="1"/>
  </cols>
  <sheetData>
    <row r="1" spans="1:11" ht="14.4" x14ac:dyDescent="0.3">
      <c r="A1" s="269"/>
      <c r="B1" s="270" t="s">
        <v>0</v>
      </c>
      <c r="C1" s="269"/>
      <c r="D1" s="269"/>
      <c r="E1" s="17"/>
      <c r="F1" s="17"/>
      <c r="G1" s="17"/>
      <c r="H1" s="17"/>
      <c r="I1" s="17"/>
      <c r="J1" s="17"/>
      <c r="K1" s="17"/>
    </row>
    <row r="2" spans="1:11" ht="14.4" x14ac:dyDescent="0.3">
      <c r="A2" s="6"/>
      <c r="B2" s="40" t="s">
        <v>500</v>
      </c>
      <c r="C2" s="19"/>
      <c r="D2" s="19"/>
      <c r="E2" s="17"/>
      <c r="F2" s="17"/>
      <c r="G2" s="17"/>
      <c r="H2" s="17"/>
      <c r="I2" s="17"/>
      <c r="J2" s="17"/>
      <c r="K2" s="17"/>
    </row>
    <row r="3" spans="1:11" ht="27.6" x14ac:dyDescent="0.3">
      <c r="A3" s="6"/>
      <c r="B3" s="40" t="s">
        <v>502</v>
      </c>
      <c r="C3" s="6"/>
      <c r="D3" s="6"/>
      <c r="E3" s="17"/>
      <c r="F3" s="17"/>
      <c r="G3" s="17"/>
      <c r="H3" s="17"/>
      <c r="I3" s="17"/>
      <c r="J3" s="17"/>
      <c r="K3" s="17"/>
    </row>
    <row r="4" spans="1:11" ht="14.4" x14ac:dyDescent="0.3">
      <c r="A4" s="6" t="s">
        <v>7</v>
      </c>
      <c r="B4" s="40" t="s">
        <v>9</v>
      </c>
      <c r="C4" s="6" t="s">
        <v>10</v>
      </c>
      <c r="D4" s="6" t="s">
        <v>11</v>
      </c>
      <c r="E4" s="17"/>
      <c r="F4" s="17"/>
      <c r="G4" s="17"/>
      <c r="H4" s="17"/>
      <c r="I4" s="17"/>
      <c r="J4" s="17"/>
      <c r="K4" s="17"/>
    </row>
    <row r="5" spans="1:11" ht="28.2" x14ac:dyDescent="0.3">
      <c r="A5" s="36" t="s">
        <v>506</v>
      </c>
      <c r="B5" s="47" t="s">
        <v>508</v>
      </c>
      <c r="C5" s="9" t="s">
        <v>16</v>
      </c>
      <c r="D5" s="50"/>
      <c r="E5" s="17"/>
      <c r="F5" s="17"/>
      <c r="G5" s="17"/>
      <c r="H5" s="17"/>
      <c r="I5" s="17"/>
      <c r="J5" s="17"/>
      <c r="K5" s="17"/>
    </row>
    <row r="6" spans="1:11" ht="57.6" x14ac:dyDescent="0.3">
      <c r="A6" s="36" t="s">
        <v>506</v>
      </c>
      <c r="B6" s="47" t="s">
        <v>510</v>
      </c>
      <c r="C6" s="9" t="s">
        <v>20</v>
      </c>
      <c r="D6" s="36"/>
      <c r="E6" s="17"/>
      <c r="F6" s="17"/>
      <c r="G6" s="17"/>
      <c r="H6" s="284"/>
      <c r="I6" s="279"/>
      <c r="J6" s="279"/>
      <c r="K6" s="279"/>
    </row>
    <row r="7" spans="1:11" ht="55.2" x14ac:dyDescent="0.3">
      <c r="A7" s="36" t="s">
        <v>506</v>
      </c>
      <c r="B7" s="47" t="s">
        <v>513</v>
      </c>
      <c r="C7" s="9" t="s">
        <v>24</v>
      </c>
      <c r="D7" s="36"/>
      <c r="E7" s="17"/>
      <c r="F7" s="17"/>
      <c r="G7" s="17"/>
      <c r="H7" s="17"/>
      <c r="I7" s="17"/>
      <c r="J7" s="17"/>
      <c r="K7" s="17"/>
    </row>
    <row r="8" spans="1:11" ht="28.8" x14ac:dyDescent="0.3">
      <c r="A8" s="36" t="s">
        <v>506</v>
      </c>
      <c r="B8" s="47" t="s">
        <v>516</v>
      </c>
      <c r="C8" s="9"/>
      <c r="D8" s="36"/>
      <c r="E8" s="17"/>
      <c r="F8" s="17"/>
      <c r="G8" s="17"/>
      <c r="H8" s="17"/>
      <c r="I8" s="17"/>
      <c r="J8" s="17"/>
      <c r="K8" s="17"/>
    </row>
    <row r="9" spans="1:11" ht="41.4" x14ac:dyDescent="0.3">
      <c r="A9" s="36" t="s">
        <v>506</v>
      </c>
      <c r="B9" s="47" t="s">
        <v>518</v>
      </c>
      <c r="C9" s="9"/>
      <c r="D9" s="36"/>
      <c r="E9" s="17"/>
      <c r="F9" s="17"/>
      <c r="G9" s="17"/>
      <c r="H9" s="17"/>
      <c r="I9" s="17"/>
      <c r="J9" s="17"/>
      <c r="K9" s="17"/>
    </row>
    <row r="10" spans="1:11" ht="27.6" x14ac:dyDescent="0.3">
      <c r="A10" s="36" t="s">
        <v>506</v>
      </c>
      <c r="B10" s="47" t="s">
        <v>521</v>
      </c>
      <c r="C10" s="9"/>
      <c r="D10" s="36"/>
      <c r="E10" s="17"/>
      <c r="F10" s="17"/>
      <c r="G10" s="17"/>
      <c r="H10" s="17"/>
      <c r="I10" s="17"/>
      <c r="J10" s="17"/>
      <c r="K10" s="17"/>
    </row>
    <row r="11" spans="1:11" ht="27.6" x14ac:dyDescent="0.3">
      <c r="A11" s="36" t="s">
        <v>506</v>
      </c>
      <c r="B11" s="48" t="s">
        <v>523</v>
      </c>
      <c r="C11" s="9"/>
      <c r="D11" s="49"/>
      <c r="E11" s="17"/>
      <c r="F11" s="17"/>
      <c r="G11" s="17"/>
      <c r="H11" s="17"/>
      <c r="I11" s="17"/>
      <c r="J11" s="17"/>
      <c r="K11" s="17"/>
    </row>
    <row r="12" spans="1:11" ht="41.4" x14ac:dyDescent="0.3">
      <c r="A12" s="36" t="s">
        <v>506</v>
      </c>
      <c r="B12" s="47" t="s">
        <v>525</v>
      </c>
      <c r="C12" s="9"/>
      <c r="D12" s="50"/>
      <c r="E12" s="17"/>
      <c r="F12" s="17"/>
      <c r="G12" s="17"/>
      <c r="H12" s="17"/>
      <c r="I12" s="17"/>
      <c r="J12" s="17"/>
      <c r="K12" s="17"/>
    </row>
    <row r="13" spans="1:11" ht="72" x14ac:dyDescent="0.3">
      <c r="A13" s="36" t="s">
        <v>506</v>
      </c>
      <c r="B13" s="47" t="s">
        <v>528</v>
      </c>
      <c r="C13" s="9"/>
      <c r="D13" s="36"/>
      <c r="E13" s="17"/>
      <c r="F13" s="17"/>
      <c r="G13" s="17"/>
      <c r="H13" s="17"/>
      <c r="I13" s="17"/>
      <c r="J13" s="17"/>
      <c r="K13" s="17"/>
    </row>
    <row r="14" spans="1:11" ht="124.2" x14ac:dyDescent="0.3">
      <c r="A14" s="36" t="s">
        <v>506</v>
      </c>
      <c r="B14" s="47" t="s">
        <v>530</v>
      </c>
      <c r="C14" s="9"/>
      <c r="D14" s="36"/>
      <c r="E14" s="17"/>
      <c r="F14" s="17"/>
      <c r="G14" s="17"/>
      <c r="H14" s="17"/>
      <c r="I14" s="17"/>
      <c r="J14" s="17"/>
      <c r="K14" s="17"/>
    </row>
    <row r="15" spans="1:11" ht="41.4" x14ac:dyDescent="0.3">
      <c r="A15" s="22" t="s">
        <v>506</v>
      </c>
      <c r="B15" s="12" t="s">
        <v>533</v>
      </c>
      <c r="C15" s="12"/>
      <c r="D15" s="12"/>
      <c r="E15" s="17"/>
      <c r="F15" s="17"/>
      <c r="G15" s="17"/>
      <c r="H15" s="17"/>
      <c r="I15" s="17"/>
      <c r="J15" s="17"/>
      <c r="K15" s="17"/>
    </row>
    <row r="16" spans="1:11" ht="41.4" x14ac:dyDescent="0.3">
      <c r="A16" s="36" t="s">
        <v>506</v>
      </c>
      <c r="B16" s="47" t="s">
        <v>537</v>
      </c>
      <c r="C16" s="9"/>
      <c r="D16" s="36"/>
      <c r="E16" s="17"/>
      <c r="F16" s="17"/>
      <c r="G16" s="17"/>
      <c r="H16" s="17"/>
      <c r="I16" s="17"/>
      <c r="J16" s="17"/>
      <c r="K16" s="17"/>
    </row>
    <row r="17" spans="1:4" ht="14.4" x14ac:dyDescent="0.3">
      <c r="A17" s="36" t="s">
        <v>506</v>
      </c>
      <c r="B17" s="47" t="s">
        <v>540</v>
      </c>
      <c r="C17" s="9"/>
      <c r="D17" s="36"/>
    </row>
    <row r="18" spans="1:4" ht="14.4" x14ac:dyDescent="0.3">
      <c r="A18" s="36" t="s">
        <v>506</v>
      </c>
      <c r="B18" s="47" t="s">
        <v>542</v>
      </c>
      <c r="C18" s="9"/>
      <c r="D18" s="36"/>
    </row>
    <row r="19" spans="1:4" ht="14.4" x14ac:dyDescent="0.3">
      <c r="A19" s="36" t="s">
        <v>506</v>
      </c>
      <c r="B19" s="47" t="s">
        <v>544</v>
      </c>
      <c r="C19" s="9"/>
      <c r="D19" s="36"/>
    </row>
    <row r="20" spans="1:4" ht="14.4" x14ac:dyDescent="0.3">
      <c r="A20" s="36" t="s">
        <v>506</v>
      </c>
      <c r="B20" s="47" t="s">
        <v>548</v>
      </c>
      <c r="C20" s="9"/>
      <c r="D20" s="36"/>
    </row>
    <row r="21" spans="1:4" ht="28.2" x14ac:dyDescent="0.3">
      <c r="A21" s="22" t="s">
        <v>506</v>
      </c>
      <c r="B21" s="12" t="s">
        <v>550</v>
      </c>
      <c r="C21" s="12"/>
      <c r="D21" s="12"/>
    </row>
    <row r="22" spans="1:4" ht="14.4" x14ac:dyDescent="0.3">
      <c r="A22" s="36" t="s">
        <v>506</v>
      </c>
      <c r="B22" s="47" t="s">
        <v>552</v>
      </c>
      <c r="C22" s="9"/>
      <c r="D22" s="36"/>
    </row>
    <row r="23" spans="1:4" ht="14.4" x14ac:dyDescent="0.3">
      <c r="A23" s="36" t="s">
        <v>506</v>
      </c>
      <c r="B23" s="47" t="s">
        <v>554</v>
      </c>
      <c r="C23" s="9"/>
      <c r="D23" s="36"/>
    </row>
    <row r="24" spans="1:4" ht="14.4" x14ac:dyDescent="0.3">
      <c r="A24" s="36" t="s">
        <v>506</v>
      </c>
      <c r="B24" s="47" t="s">
        <v>557</v>
      </c>
      <c r="C24" s="9"/>
      <c r="D24" s="36"/>
    </row>
    <row r="25" spans="1:4" ht="41.4" x14ac:dyDescent="0.3">
      <c r="A25" s="36" t="s">
        <v>506</v>
      </c>
      <c r="B25" s="47" t="s">
        <v>559</v>
      </c>
      <c r="C25" s="9"/>
      <c r="D25" s="36"/>
    </row>
    <row r="26" spans="1:4" ht="14.4" x14ac:dyDescent="0.3">
      <c r="A26" s="36" t="s">
        <v>506</v>
      </c>
      <c r="B26" s="47" t="s">
        <v>560</v>
      </c>
      <c r="C26" s="9"/>
      <c r="D26" s="36"/>
    </row>
    <row r="27" spans="1:4" ht="41.4" x14ac:dyDescent="0.3">
      <c r="A27" s="36" t="s">
        <v>506</v>
      </c>
      <c r="B27" s="47" t="s">
        <v>562</v>
      </c>
      <c r="C27" s="9"/>
      <c r="D27" s="50"/>
    </row>
    <row r="28" spans="1:4" ht="14.4" x14ac:dyDescent="0.3">
      <c r="A28" s="36" t="s">
        <v>506</v>
      </c>
      <c r="B28" s="47" t="s">
        <v>564</v>
      </c>
      <c r="C28" s="9"/>
      <c r="D28" s="36"/>
    </row>
    <row r="29" spans="1:4" ht="27.6" x14ac:dyDescent="0.3">
      <c r="A29" s="36" t="s">
        <v>506</v>
      </c>
      <c r="B29" s="47" t="s">
        <v>566</v>
      </c>
      <c r="C29" s="9"/>
      <c r="D29" s="36"/>
    </row>
    <row r="30" spans="1:4" ht="41.4" x14ac:dyDescent="0.3">
      <c r="A30" s="36" t="s">
        <v>506</v>
      </c>
      <c r="B30" s="47" t="s">
        <v>567</v>
      </c>
      <c r="C30" s="9"/>
      <c r="D30" s="36"/>
    </row>
    <row r="31" spans="1:4" ht="55.2" x14ac:dyDescent="0.3">
      <c r="A31" s="22" t="s">
        <v>506</v>
      </c>
      <c r="B31" s="12" t="s">
        <v>569</v>
      </c>
      <c r="C31" s="12"/>
      <c r="D31" s="12"/>
    </row>
    <row r="32" spans="1:4" ht="14.4" x14ac:dyDescent="0.3">
      <c r="A32" s="36" t="s">
        <v>506</v>
      </c>
      <c r="B32" s="47" t="s">
        <v>570</v>
      </c>
      <c r="C32" s="9"/>
      <c r="D32" s="50"/>
    </row>
    <row r="33" spans="1:4" ht="27.6" x14ac:dyDescent="0.3">
      <c r="A33" s="36"/>
      <c r="B33" s="47" t="s">
        <v>572</v>
      </c>
      <c r="C33" s="9"/>
      <c r="D33" s="50"/>
    </row>
    <row r="34" spans="1:4" ht="27.6" x14ac:dyDescent="0.3">
      <c r="A34" s="36" t="s">
        <v>506</v>
      </c>
      <c r="B34" s="47" t="s">
        <v>574</v>
      </c>
      <c r="C34" s="9"/>
      <c r="D34" s="50"/>
    </row>
    <row r="35" spans="1:4" ht="14.4" x14ac:dyDescent="0.3">
      <c r="A35" s="22" t="s">
        <v>506</v>
      </c>
      <c r="B35" s="12" t="s">
        <v>575</v>
      </c>
      <c r="C35" s="12"/>
      <c r="D35" s="12"/>
    </row>
    <row r="36" spans="1:4" ht="42" x14ac:dyDescent="0.3">
      <c r="A36" s="36" t="s">
        <v>506</v>
      </c>
      <c r="B36" s="47" t="s">
        <v>578</v>
      </c>
      <c r="C36" s="9"/>
      <c r="D36" s="36"/>
    </row>
    <row r="37" spans="1:4" ht="14.4" x14ac:dyDescent="0.3">
      <c r="A37" s="22" t="s">
        <v>506</v>
      </c>
      <c r="B37" s="12" t="s">
        <v>580</v>
      </c>
      <c r="C37" s="12"/>
      <c r="D37" s="12"/>
    </row>
    <row r="38" spans="1:4" ht="14.4" x14ac:dyDescent="0.3">
      <c r="A38" s="36" t="s">
        <v>506</v>
      </c>
      <c r="B38" s="47" t="s">
        <v>582</v>
      </c>
      <c r="C38" s="9"/>
      <c r="D38" s="36"/>
    </row>
    <row r="39" spans="1:4" ht="14.4" x14ac:dyDescent="0.3">
      <c r="A39" s="36" t="s">
        <v>506</v>
      </c>
      <c r="B39" s="47" t="s">
        <v>584</v>
      </c>
      <c r="C39" s="9"/>
      <c r="D39" s="36"/>
    </row>
    <row r="40" spans="1:4" ht="14.4" x14ac:dyDescent="0.3">
      <c r="A40" s="36" t="s">
        <v>506</v>
      </c>
      <c r="B40" s="47" t="s">
        <v>586</v>
      </c>
      <c r="C40" s="9"/>
      <c r="D40" s="36"/>
    </row>
    <row r="41" spans="1:4" ht="14.4" x14ac:dyDescent="0.3">
      <c r="A41" s="36" t="s">
        <v>506</v>
      </c>
      <c r="B41" s="47" t="s">
        <v>587</v>
      </c>
      <c r="C41" s="9"/>
      <c r="D41" s="36"/>
    </row>
    <row r="42" spans="1:4" ht="14.4" x14ac:dyDescent="0.3">
      <c r="A42" s="36" t="s">
        <v>506</v>
      </c>
      <c r="B42" s="47" t="s">
        <v>589</v>
      </c>
      <c r="C42" s="9"/>
      <c r="D42" s="36"/>
    </row>
    <row r="43" spans="1:4" ht="14.4" x14ac:dyDescent="0.3">
      <c r="A43" s="22" t="s">
        <v>506</v>
      </c>
      <c r="B43" s="12" t="s">
        <v>591</v>
      </c>
      <c r="C43" s="12"/>
      <c r="D43" s="12"/>
    </row>
    <row r="44" spans="1:4" ht="27.6" x14ac:dyDescent="0.3">
      <c r="A44" s="36" t="s">
        <v>506</v>
      </c>
      <c r="B44" s="47" t="s">
        <v>594</v>
      </c>
      <c r="C44" s="9"/>
      <c r="D44" s="36"/>
    </row>
    <row r="45" spans="1:4" ht="14.4" x14ac:dyDescent="0.3">
      <c r="A45" s="36" t="s">
        <v>506</v>
      </c>
      <c r="B45" s="47" t="s">
        <v>595</v>
      </c>
      <c r="C45" s="9"/>
      <c r="D45" s="36"/>
    </row>
    <row r="46" spans="1:4" ht="14.4" x14ac:dyDescent="0.3">
      <c r="A46" s="36" t="s">
        <v>506</v>
      </c>
      <c r="B46" s="47" t="s">
        <v>597</v>
      </c>
      <c r="C46" s="9"/>
      <c r="D46" s="36"/>
    </row>
    <row r="47" spans="1:4" ht="14.4" x14ac:dyDescent="0.3">
      <c r="A47" s="36" t="s">
        <v>506</v>
      </c>
      <c r="B47" s="47" t="s">
        <v>599</v>
      </c>
      <c r="C47" s="9"/>
      <c r="D47" s="36"/>
    </row>
    <row r="48" spans="1:4" ht="14.4" x14ac:dyDescent="0.3">
      <c r="A48" s="36" t="s">
        <v>506</v>
      </c>
      <c r="B48" s="47" t="s">
        <v>601</v>
      </c>
      <c r="C48" s="9"/>
      <c r="D48" s="54"/>
    </row>
    <row r="49" spans="1:4" ht="14.4" x14ac:dyDescent="0.3">
      <c r="A49" s="36" t="s">
        <v>506</v>
      </c>
      <c r="B49" s="47" t="s">
        <v>602</v>
      </c>
      <c r="C49" s="9"/>
      <c r="D49" s="36"/>
    </row>
    <row r="50" spans="1:4" ht="14.4" x14ac:dyDescent="0.3">
      <c r="A50" s="36" t="s">
        <v>506</v>
      </c>
      <c r="B50" s="47" t="s">
        <v>604</v>
      </c>
      <c r="C50" s="9"/>
      <c r="D50" s="54"/>
    </row>
    <row r="51" spans="1:4" ht="14.4" x14ac:dyDescent="0.3">
      <c r="A51" s="36" t="s">
        <v>506</v>
      </c>
      <c r="B51" s="47" t="s">
        <v>607</v>
      </c>
      <c r="C51" s="9"/>
      <c r="D51" s="36"/>
    </row>
    <row r="52" spans="1:4" ht="27.6" x14ac:dyDescent="0.3">
      <c r="A52" s="22" t="s">
        <v>506</v>
      </c>
      <c r="B52" s="12" t="s">
        <v>609</v>
      </c>
      <c r="C52" s="12"/>
      <c r="D52" s="12"/>
    </row>
    <row r="53" spans="1:4" ht="27.6" x14ac:dyDescent="0.3">
      <c r="A53" s="36" t="s">
        <v>506</v>
      </c>
      <c r="B53" s="47" t="s">
        <v>611</v>
      </c>
      <c r="C53" s="9"/>
      <c r="D53" s="36"/>
    </row>
    <row r="54" spans="1:4" ht="55.2" x14ac:dyDescent="0.3">
      <c r="A54" s="36" t="s">
        <v>506</v>
      </c>
      <c r="B54" s="47" t="s">
        <v>613</v>
      </c>
      <c r="C54" s="9"/>
      <c r="D54" s="36"/>
    </row>
    <row r="55" spans="1:4" ht="41.4" x14ac:dyDescent="0.3">
      <c r="A55" s="36" t="s">
        <v>506</v>
      </c>
      <c r="B55" s="47" t="s">
        <v>615</v>
      </c>
      <c r="C55" s="9"/>
      <c r="D55" s="36"/>
    </row>
    <row r="56" spans="1:4" ht="14.4" x14ac:dyDescent="0.3">
      <c r="A56" s="36" t="s">
        <v>506</v>
      </c>
      <c r="B56" s="47" t="s">
        <v>617</v>
      </c>
      <c r="C56" s="9"/>
      <c r="D56" s="36"/>
    </row>
    <row r="57" spans="1:4" ht="27.6" x14ac:dyDescent="0.3">
      <c r="A57" s="36" t="s">
        <v>506</v>
      </c>
      <c r="B57" s="47" t="s">
        <v>619</v>
      </c>
      <c r="C57" s="9"/>
      <c r="D57" s="36"/>
    </row>
    <row r="58" spans="1:4" ht="27.6" x14ac:dyDescent="0.3">
      <c r="A58" s="36" t="s">
        <v>506</v>
      </c>
      <c r="B58" s="47" t="s">
        <v>621</v>
      </c>
      <c r="C58" s="9"/>
      <c r="D58" s="36"/>
    </row>
    <row r="59" spans="1:4" ht="14.4" x14ac:dyDescent="0.3">
      <c r="A59" s="36" t="s">
        <v>506</v>
      </c>
      <c r="B59" s="47" t="s">
        <v>623</v>
      </c>
      <c r="C59" s="9"/>
      <c r="D59" s="36"/>
    </row>
    <row r="60" spans="1:4" ht="41.4" x14ac:dyDescent="0.3">
      <c r="A60" s="36" t="s">
        <v>506</v>
      </c>
      <c r="B60" s="47" t="s">
        <v>625</v>
      </c>
      <c r="C60" s="9"/>
      <c r="D60" s="36"/>
    </row>
    <row r="61" spans="1:4" ht="14.4" x14ac:dyDescent="0.3">
      <c r="A61" s="36" t="s">
        <v>506</v>
      </c>
      <c r="B61" s="47" t="s">
        <v>626</v>
      </c>
      <c r="C61" s="9"/>
      <c r="D61" s="36"/>
    </row>
    <row r="62" spans="1:4" ht="14.4" x14ac:dyDescent="0.3">
      <c r="A62" s="17"/>
      <c r="B62" s="46"/>
      <c r="C62" s="17"/>
      <c r="D62" s="17"/>
    </row>
    <row r="63" spans="1:4" ht="14.4" x14ac:dyDescent="0.3">
      <c r="A63" s="17"/>
      <c r="B63" s="46"/>
      <c r="C63" s="17"/>
      <c r="D63" s="17"/>
    </row>
    <row r="64" spans="1:4" ht="14.4" x14ac:dyDescent="0.3">
      <c r="A64" s="17"/>
      <c r="B64" s="15" t="s">
        <v>75</v>
      </c>
      <c r="C64" s="2">
        <f>COUNTIF($C$5:$C$61,"C")</f>
        <v>1</v>
      </c>
      <c r="D64" s="17"/>
    </row>
    <row r="65" spans="2:3" ht="14.4" x14ac:dyDescent="0.3">
      <c r="B65" s="15" t="s">
        <v>81</v>
      </c>
      <c r="C65" s="2">
        <f>COUNTIF($C$5:$C$61,"NC")</f>
        <v>1</v>
      </c>
    </row>
    <row r="66" spans="2:3" ht="14.4" x14ac:dyDescent="0.3">
      <c r="B66" s="15" t="s">
        <v>84</v>
      </c>
      <c r="C66" s="2">
        <f>COUNTIF($C$5:$C$61,"NA")</f>
        <v>1</v>
      </c>
    </row>
  </sheetData>
  <autoFilter ref="A4:D30" xr:uid="{00000000-0009-0000-0000-000007000000}"/>
  <mergeCells count="1">
    <mergeCell ref="H6:K6"/>
  </mergeCells>
  <conditionalFormatting sqref="C5:C14 C16:C20 C22:C30 C32:C34 C36 C38:C42 C44:C51 C53:C61">
    <cfRule type="beginsWith" dxfId="119" priority="1" operator="beginsWith" text="C">
      <formula>LEFT((C5),LEN("C"))=("C")</formula>
    </cfRule>
    <cfRule type="beginsWith" dxfId="118" priority="2" operator="beginsWith" text="NC">
      <formula>LEFT((C5),LEN("NC"))=("NC")</formula>
    </cfRule>
    <cfRule type="beginsWith" dxfId="117" priority="3" operator="beginsWith" text="NA">
      <formula>LEFT((C5),LEN("NA"))=("NA")</formula>
    </cfRule>
  </conditionalFormatting>
  <dataValidations count="1">
    <dataValidation type="list" allowBlank="1" sqref="C5:C14 C16:C30 C32:C34 C36 C38:C42 C44:C51 C53:C61" xr:uid="{00000000-0002-0000-0700-000000000000}">
      <formula1>"C,NC,NA"</formula1>
    </dataValidation>
  </dataValidations>
  <hyperlinks>
    <hyperlink ref="B1" location="'Tabla de contenido'!A1" display="VOLVER A TABLA DE CONTENIDO" xr:uid="{00000000-0004-0000-0700-000000000000}"/>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5496"/>
  </sheetPr>
  <dimension ref="A1:K14"/>
  <sheetViews>
    <sheetView showGridLines="0" topLeftCell="A1048576" workbookViewId="0">
      <selection activeCell="B1" sqref="A1:XFD1048576"/>
    </sheetView>
  </sheetViews>
  <sheetFormatPr baseColWidth="10" defaultColWidth="14.44140625" defaultRowHeight="15" customHeight="1" zeroHeight="1" outlineLevelCol="1" x14ac:dyDescent="0.3"/>
  <cols>
    <col min="1" max="1" width="11.44140625" customWidth="1"/>
    <col min="2" max="2" width="80.33203125" customWidth="1"/>
    <col min="3" max="3" width="11.44140625" customWidth="1"/>
    <col min="4" max="4" width="40.21875" customWidth="1" outlineLevel="1"/>
    <col min="5" max="11" width="11.44140625" customWidth="1"/>
    <col min="12" max="24" width="10.77734375" customWidth="1"/>
  </cols>
  <sheetData>
    <row r="1" spans="1:11" ht="15" hidden="1" customHeight="1" x14ac:dyDescent="0.3">
      <c r="A1" s="269"/>
      <c r="B1" s="270" t="s">
        <v>0</v>
      </c>
      <c r="C1" s="269"/>
      <c r="D1" s="269"/>
      <c r="E1" s="2"/>
      <c r="F1" s="2"/>
      <c r="G1" s="2"/>
      <c r="H1" s="2"/>
      <c r="I1" s="2"/>
      <c r="J1" s="2"/>
      <c r="K1" s="2"/>
    </row>
    <row r="2" spans="1:11" ht="15" hidden="1" customHeight="1" x14ac:dyDescent="0.3">
      <c r="A2" s="5"/>
      <c r="B2" s="40" t="s">
        <v>689</v>
      </c>
      <c r="C2" s="51"/>
      <c r="D2" s="51"/>
      <c r="E2" s="2"/>
      <c r="F2" s="2"/>
      <c r="G2" s="2"/>
      <c r="H2" s="2"/>
      <c r="I2" s="2"/>
      <c r="J2" s="2"/>
      <c r="K2" s="2"/>
    </row>
    <row r="3" spans="1:11" ht="15" hidden="1" customHeight="1" x14ac:dyDescent="0.3">
      <c r="A3" s="5" t="s">
        <v>7</v>
      </c>
      <c r="B3" s="40" t="s">
        <v>9</v>
      </c>
      <c r="C3" s="5" t="s">
        <v>10</v>
      </c>
      <c r="D3" s="5" t="s">
        <v>11</v>
      </c>
      <c r="E3" s="2"/>
      <c r="F3" s="2"/>
      <c r="G3" s="2"/>
      <c r="H3" s="2"/>
      <c r="I3" s="2"/>
      <c r="J3" s="2"/>
      <c r="K3" s="2"/>
    </row>
    <row r="4" spans="1:11" ht="39.75" hidden="1" customHeight="1" x14ac:dyDescent="0.3">
      <c r="A4" s="12" t="s">
        <v>690</v>
      </c>
      <c r="B4" s="12" t="s">
        <v>691</v>
      </c>
      <c r="C4" s="12"/>
      <c r="D4" s="12"/>
      <c r="E4" s="2"/>
      <c r="F4" s="2"/>
      <c r="G4" s="2"/>
      <c r="H4" s="2"/>
      <c r="I4" s="2"/>
      <c r="J4" s="2"/>
      <c r="K4" s="2"/>
    </row>
    <row r="5" spans="1:11" ht="15" hidden="1" customHeight="1" x14ac:dyDescent="0.3">
      <c r="A5" s="55" t="s">
        <v>690</v>
      </c>
      <c r="B5" s="47" t="s">
        <v>692</v>
      </c>
      <c r="C5" s="9" t="s">
        <v>16</v>
      </c>
      <c r="D5" s="38"/>
      <c r="E5" s="2"/>
      <c r="F5" s="2"/>
      <c r="G5" s="2"/>
      <c r="H5" s="278"/>
      <c r="I5" s="279"/>
      <c r="J5" s="279"/>
      <c r="K5" s="279"/>
    </row>
    <row r="6" spans="1:11" ht="15" hidden="1" customHeight="1" x14ac:dyDescent="0.3">
      <c r="A6" s="55" t="s">
        <v>690</v>
      </c>
      <c r="B6" s="47" t="s">
        <v>693</v>
      </c>
      <c r="C6" s="9" t="s">
        <v>20</v>
      </c>
      <c r="D6" s="38"/>
      <c r="E6" s="2"/>
      <c r="F6" s="2"/>
      <c r="G6" s="2"/>
      <c r="H6" s="2"/>
      <c r="I6" s="2"/>
      <c r="J6" s="2"/>
      <c r="K6" s="2"/>
    </row>
    <row r="7" spans="1:11" ht="15" hidden="1" customHeight="1" x14ac:dyDescent="0.3">
      <c r="A7" s="55" t="s">
        <v>690</v>
      </c>
      <c r="B7" s="47" t="s">
        <v>694</v>
      </c>
      <c r="C7" s="9" t="s">
        <v>24</v>
      </c>
      <c r="D7" s="38"/>
      <c r="E7" s="2"/>
      <c r="F7" s="2"/>
      <c r="G7" s="2"/>
      <c r="H7" s="2"/>
      <c r="I7" s="2"/>
      <c r="J7" s="2"/>
      <c r="K7" s="2"/>
    </row>
    <row r="8" spans="1:11" ht="27" hidden="1" customHeight="1" x14ac:dyDescent="0.3">
      <c r="A8" s="55" t="s">
        <v>690</v>
      </c>
      <c r="B8" s="47" t="s">
        <v>695</v>
      </c>
      <c r="C8" s="9"/>
      <c r="D8" s="38"/>
      <c r="E8" s="2"/>
      <c r="F8" s="2"/>
      <c r="G8" s="2"/>
      <c r="H8" s="2"/>
      <c r="I8" s="2"/>
      <c r="J8" s="2"/>
      <c r="K8" s="2"/>
    </row>
    <row r="9" spans="1:11" ht="39.75" hidden="1" customHeight="1" x14ac:dyDescent="0.3">
      <c r="A9" s="58" t="s">
        <v>690</v>
      </c>
      <c r="B9" s="47" t="s">
        <v>696</v>
      </c>
      <c r="C9" s="9"/>
      <c r="D9" s="38"/>
      <c r="E9" s="2"/>
      <c r="F9" s="2"/>
      <c r="G9" s="2"/>
      <c r="H9" s="2"/>
      <c r="I9" s="2"/>
      <c r="J9" s="2"/>
      <c r="K9" s="2"/>
    </row>
    <row r="10" spans="1:11" ht="15" hidden="1" customHeight="1" x14ac:dyDescent="0.3">
      <c r="A10" s="2"/>
      <c r="B10" s="46"/>
      <c r="C10" s="2"/>
      <c r="D10" s="2"/>
      <c r="E10" s="2"/>
      <c r="F10" s="2"/>
      <c r="G10" s="2"/>
      <c r="H10" s="2"/>
      <c r="I10" s="2"/>
      <c r="J10" s="2"/>
      <c r="K10" s="2"/>
    </row>
    <row r="11" spans="1:11" ht="15" hidden="1" customHeight="1" x14ac:dyDescent="0.3">
      <c r="A11" s="2"/>
      <c r="B11" s="46"/>
      <c r="C11" s="2"/>
      <c r="D11" s="2"/>
      <c r="E11" s="2"/>
      <c r="F11" s="2"/>
      <c r="G11" s="2"/>
      <c r="H11" s="2"/>
      <c r="I11" s="2"/>
      <c r="J11" s="2"/>
      <c r="K11" s="2"/>
    </row>
    <row r="12" spans="1:11" ht="15" hidden="1" customHeight="1" x14ac:dyDescent="0.3">
      <c r="A12" s="2"/>
      <c r="B12" s="15" t="s">
        <v>75</v>
      </c>
      <c r="C12" s="2">
        <f>COUNTIF($C$5:$C$9,"C")</f>
        <v>1</v>
      </c>
      <c r="D12" s="2"/>
      <c r="E12" s="2"/>
      <c r="F12" s="2"/>
      <c r="G12" s="2"/>
      <c r="H12" s="2"/>
      <c r="I12" s="2"/>
      <c r="J12" s="2"/>
      <c r="K12" s="2"/>
    </row>
    <row r="13" spans="1:11" ht="15" hidden="1" customHeight="1" x14ac:dyDescent="0.3">
      <c r="A13" s="2"/>
      <c r="B13" s="15" t="s">
        <v>81</v>
      </c>
      <c r="C13" s="2">
        <f>COUNTIF($C$5:$C$9,"NC")</f>
        <v>1</v>
      </c>
      <c r="D13" s="2"/>
      <c r="E13" s="2"/>
      <c r="F13" s="2"/>
      <c r="G13" s="2"/>
      <c r="H13" s="2"/>
      <c r="I13" s="2"/>
      <c r="J13" s="2"/>
      <c r="K13" s="2"/>
    </row>
    <row r="14" spans="1:11" ht="15" hidden="1" customHeight="1" x14ac:dyDescent="0.3">
      <c r="A14" s="2"/>
      <c r="B14" s="15" t="s">
        <v>84</v>
      </c>
      <c r="C14" s="2">
        <f>COUNTIF($C$5:$C$9,"NA")</f>
        <v>1</v>
      </c>
      <c r="D14" s="2"/>
      <c r="E14" s="2"/>
      <c r="F14" s="2"/>
      <c r="G14" s="2"/>
      <c r="H14" s="2"/>
      <c r="I14" s="2"/>
      <c r="J14" s="2"/>
      <c r="K14" s="2"/>
    </row>
  </sheetData>
  <autoFilter ref="A3:D8" xr:uid="{00000000-0009-0000-0000-000008000000}"/>
  <mergeCells count="1">
    <mergeCell ref="H5:K5"/>
  </mergeCells>
  <conditionalFormatting sqref="C5:C9">
    <cfRule type="beginsWith" dxfId="116" priority="1" operator="beginsWith" text="C">
      <formula>LEFT((C5),LEN("C"))=("C")</formula>
    </cfRule>
    <cfRule type="beginsWith" dxfId="115" priority="2" operator="beginsWith" text="NC">
      <formula>LEFT((C5),LEN("NC"))=("NC")</formula>
    </cfRule>
    <cfRule type="beginsWith" dxfId="114" priority="3" operator="beginsWith" text="NA">
      <formula>LEFT((C5),LEN("NA"))=("NA")</formula>
    </cfRule>
  </conditionalFormatting>
  <dataValidations count="1">
    <dataValidation type="list" allowBlank="1" sqref="C5:C9" xr:uid="{00000000-0002-0000-0800-000000000000}">
      <formula1>"C,NC,NA"</formula1>
    </dataValidation>
  </dataValidations>
  <hyperlinks>
    <hyperlink ref="B1" location="'Tabla de contenido'!A1" display="VOLVER A TABLA DE CONTENIDO" xr:uid="{00000000-0004-0000-0800-000000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9000"/>
  </sheetPr>
  <dimension ref="A1:D163"/>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73.33203125" customWidth="1"/>
    <col min="3" max="3" width="18.109375" customWidth="1"/>
    <col min="4" max="4" width="46.6640625" customWidth="1" outlineLevel="1"/>
    <col min="5" max="5" width="2.33203125" customWidth="1"/>
    <col min="6" max="6" width="14.44140625" customWidth="1"/>
  </cols>
  <sheetData>
    <row r="1" spans="1:4" ht="14.4" x14ac:dyDescent="0.3">
      <c r="A1" s="269"/>
      <c r="B1" s="270" t="s">
        <v>0</v>
      </c>
      <c r="C1" s="269"/>
      <c r="D1" s="269"/>
    </row>
    <row r="2" spans="1:4" ht="14.4" x14ac:dyDescent="0.3">
      <c r="A2" s="59"/>
      <c r="B2" s="60" t="s">
        <v>697</v>
      </c>
      <c r="C2" s="61"/>
      <c r="D2" s="62"/>
    </row>
    <row r="3" spans="1:4" ht="14.4" x14ac:dyDescent="0.3">
      <c r="A3" s="59"/>
      <c r="B3" s="60" t="s">
        <v>698</v>
      </c>
      <c r="C3" s="61"/>
      <c r="D3" s="62"/>
    </row>
    <row r="4" spans="1:4" ht="14.4" x14ac:dyDescent="0.3">
      <c r="A4" s="59" t="s">
        <v>7</v>
      </c>
      <c r="B4" s="60" t="s">
        <v>9</v>
      </c>
      <c r="C4" s="59" t="s">
        <v>10</v>
      </c>
      <c r="D4" s="59" t="s">
        <v>11</v>
      </c>
    </row>
    <row r="5" spans="1:4" ht="14.4" x14ac:dyDescent="0.3">
      <c r="A5" s="63" t="s">
        <v>699</v>
      </c>
      <c r="B5" s="64" t="s">
        <v>700</v>
      </c>
      <c r="C5" s="64"/>
      <c r="D5" s="64"/>
    </row>
    <row r="6" spans="1:4" ht="27.6" x14ac:dyDescent="0.3">
      <c r="A6" s="22" t="s">
        <v>699</v>
      </c>
      <c r="B6" s="12" t="s">
        <v>701</v>
      </c>
      <c r="C6" s="12"/>
      <c r="D6" s="12"/>
    </row>
    <row r="7" spans="1:4" ht="27.6" x14ac:dyDescent="0.3">
      <c r="A7" s="38" t="s">
        <v>699</v>
      </c>
      <c r="B7" s="37" t="s">
        <v>702</v>
      </c>
      <c r="C7" s="9" t="s">
        <v>16</v>
      </c>
      <c r="D7" s="38"/>
    </row>
    <row r="8" spans="1:4" ht="14.4" x14ac:dyDescent="0.3">
      <c r="A8" s="38" t="s">
        <v>699</v>
      </c>
      <c r="B8" s="37" t="s">
        <v>703</v>
      </c>
      <c r="C8" s="9" t="s">
        <v>20</v>
      </c>
      <c r="D8" s="38"/>
    </row>
    <row r="9" spans="1:4" ht="27.6" x14ac:dyDescent="0.3">
      <c r="A9" s="11" t="s">
        <v>699</v>
      </c>
      <c r="B9" s="13" t="s">
        <v>704</v>
      </c>
      <c r="C9" s="11"/>
      <c r="D9" s="11"/>
    </row>
    <row r="10" spans="1:4" ht="14.4" x14ac:dyDescent="0.3">
      <c r="A10" s="38" t="s">
        <v>699</v>
      </c>
      <c r="B10" s="37" t="s">
        <v>705</v>
      </c>
      <c r="C10" s="9" t="s">
        <v>24</v>
      </c>
      <c r="D10" s="38"/>
    </row>
    <row r="11" spans="1:4" ht="14.4" x14ac:dyDescent="0.3">
      <c r="A11" s="38" t="s">
        <v>699</v>
      </c>
      <c r="B11" s="37" t="s">
        <v>706</v>
      </c>
      <c r="C11" s="9"/>
      <c r="D11" s="38"/>
    </row>
    <row r="12" spans="1:4" ht="14.4" x14ac:dyDescent="0.3">
      <c r="A12" s="22" t="s">
        <v>699</v>
      </c>
      <c r="B12" s="12" t="s">
        <v>707</v>
      </c>
      <c r="C12" s="12"/>
      <c r="D12" s="12"/>
    </row>
    <row r="13" spans="1:4" ht="14.4" x14ac:dyDescent="0.3">
      <c r="A13" s="22" t="s">
        <v>699</v>
      </c>
      <c r="B13" s="12" t="s">
        <v>708</v>
      </c>
      <c r="C13" s="12"/>
      <c r="D13" s="12"/>
    </row>
    <row r="14" spans="1:4" ht="27.6" x14ac:dyDescent="0.3">
      <c r="A14" s="38" t="s">
        <v>699</v>
      </c>
      <c r="B14" s="37" t="s">
        <v>709</v>
      </c>
      <c r="C14" s="37"/>
      <c r="D14" s="37"/>
    </row>
    <row r="15" spans="1:4" ht="14.4" x14ac:dyDescent="0.3">
      <c r="A15" s="38" t="s">
        <v>699</v>
      </c>
      <c r="B15" s="37" t="s">
        <v>710</v>
      </c>
      <c r="C15" s="37"/>
      <c r="D15" s="37"/>
    </row>
    <row r="16" spans="1:4" ht="14.4" x14ac:dyDescent="0.3">
      <c r="A16" s="22" t="s">
        <v>699</v>
      </c>
      <c r="B16" s="12" t="s">
        <v>711</v>
      </c>
      <c r="C16" s="12"/>
      <c r="D16" s="12"/>
    </row>
    <row r="17" spans="1:4" ht="27.6" x14ac:dyDescent="0.3">
      <c r="A17" s="37" t="s">
        <v>699</v>
      </c>
      <c r="B17" s="37" t="s">
        <v>712</v>
      </c>
      <c r="C17" s="37"/>
      <c r="D17" s="38"/>
    </row>
    <row r="18" spans="1:4" ht="27.6" x14ac:dyDescent="0.3">
      <c r="A18" s="37" t="s">
        <v>699</v>
      </c>
      <c r="B18" s="37" t="s">
        <v>713</v>
      </c>
      <c r="C18" s="37"/>
      <c r="D18" s="38"/>
    </row>
    <row r="19" spans="1:4" ht="41.4" x14ac:dyDescent="0.3">
      <c r="A19" s="37" t="s">
        <v>699</v>
      </c>
      <c r="B19" s="37" t="s">
        <v>714</v>
      </c>
      <c r="C19" s="37"/>
      <c r="D19" s="38"/>
    </row>
    <row r="20" spans="1:4" ht="14.4" x14ac:dyDescent="0.3">
      <c r="A20" s="22" t="s">
        <v>699</v>
      </c>
      <c r="B20" s="12" t="s">
        <v>715</v>
      </c>
      <c r="C20" s="12"/>
      <c r="D20" s="12"/>
    </row>
    <row r="21" spans="1:4" ht="41.4" x14ac:dyDescent="0.3">
      <c r="A21" s="38" t="s">
        <v>699</v>
      </c>
      <c r="B21" s="37" t="s">
        <v>716</v>
      </c>
      <c r="C21" s="37"/>
      <c r="D21" s="37"/>
    </row>
    <row r="22" spans="1:4" ht="14.4" x14ac:dyDescent="0.3">
      <c r="A22" s="22" t="s">
        <v>699</v>
      </c>
      <c r="B22" s="12" t="s">
        <v>717</v>
      </c>
      <c r="C22" s="12"/>
      <c r="D22" s="12"/>
    </row>
    <row r="23" spans="1:4" ht="55.2" x14ac:dyDescent="0.3">
      <c r="A23" s="65" t="s">
        <v>699</v>
      </c>
      <c r="B23" s="66" t="s">
        <v>718</v>
      </c>
      <c r="C23" s="66"/>
      <c r="D23" s="66"/>
    </row>
    <row r="24" spans="1:4" ht="14.4" x14ac:dyDescent="0.3">
      <c r="A24" s="67" t="s">
        <v>719</v>
      </c>
      <c r="B24" s="68" t="s">
        <v>700</v>
      </c>
      <c r="C24" s="68"/>
      <c r="D24" s="68"/>
    </row>
    <row r="25" spans="1:4" ht="14.4" x14ac:dyDescent="0.3">
      <c r="A25" s="67" t="s">
        <v>719</v>
      </c>
      <c r="B25" s="68" t="s">
        <v>720</v>
      </c>
      <c r="C25" s="68"/>
      <c r="D25" s="68"/>
    </row>
    <row r="26" spans="1:4" ht="27.6" x14ac:dyDescent="0.3">
      <c r="A26" s="69" t="s">
        <v>719</v>
      </c>
      <c r="B26" s="70" t="s">
        <v>721</v>
      </c>
      <c r="C26" s="70"/>
      <c r="D26" s="70"/>
    </row>
    <row r="27" spans="1:4" ht="14.4" x14ac:dyDescent="0.3">
      <c r="A27" s="22" t="s">
        <v>719</v>
      </c>
      <c r="B27" s="12" t="s">
        <v>722</v>
      </c>
      <c r="C27" s="12"/>
      <c r="D27" s="12"/>
    </row>
    <row r="28" spans="1:4" ht="14.4" x14ac:dyDescent="0.3">
      <c r="A28" s="71" t="s">
        <v>719</v>
      </c>
      <c r="B28" s="13" t="s">
        <v>723</v>
      </c>
      <c r="C28" s="13"/>
      <c r="D28" s="13"/>
    </row>
    <row r="29" spans="1:4" ht="14.4" x14ac:dyDescent="0.3">
      <c r="A29" s="65" t="s">
        <v>719</v>
      </c>
      <c r="B29" s="37" t="s">
        <v>724</v>
      </c>
      <c r="C29" s="37"/>
      <c r="D29" s="37"/>
    </row>
    <row r="30" spans="1:4" ht="27.6" x14ac:dyDescent="0.3">
      <c r="A30" s="65" t="s">
        <v>719</v>
      </c>
      <c r="B30" s="37" t="s">
        <v>725</v>
      </c>
      <c r="C30" s="37"/>
      <c r="D30" s="37"/>
    </row>
    <row r="31" spans="1:4" ht="14.4" x14ac:dyDescent="0.3">
      <c r="A31" s="65" t="s">
        <v>719</v>
      </c>
      <c r="B31" s="37" t="s">
        <v>726</v>
      </c>
      <c r="C31" s="37"/>
      <c r="D31" s="37"/>
    </row>
    <row r="32" spans="1:4" ht="14.4" x14ac:dyDescent="0.3">
      <c r="A32" s="65" t="s">
        <v>719</v>
      </c>
      <c r="B32" s="37" t="s">
        <v>727</v>
      </c>
      <c r="C32" s="37"/>
      <c r="D32" s="37"/>
    </row>
    <row r="33" spans="1:4" ht="14.4" x14ac:dyDescent="0.3">
      <c r="A33" s="65" t="s">
        <v>719</v>
      </c>
      <c r="B33" s="37" t="s">
        <v>728</v>
      </c>
      <c r="C33" s="37"/>
      <c r="D33" s="37"/>
    </row>
    <row r="34" spans="1:4" ht="14.4" x14ac:dyDescent="0.3">
      <c r="A34" s="22" t="s">
        <v>719</v>
      </c>
      <c r="B34" s="12" t="s">
        <v>729</v>
      </c>
      <c r="C34" s="12"/>
      <c r="D34" s="12"/>
    </row>
    <row r="35" spans="1:4" ht="14.4" x14ac:dyDescent="0.3">
      <c r="A35" s="65" t="s">
        <v>719</v>
      </c>
      <c r="B35" s="37" t="s">
        <v>730</v>
      </c>
      <c r="C35" s="37"/>
      <c r="D35" s="37"/>
    </row>
    <row r="36" spans="1:4" ht="41.4" x14ac:dyDescent="0.3">
      <c r="A36" s="65" t="s">
        <v>719</v>
      </c>
      <c r="B36" s="37" t="s">
        <v>731</v>
      </c>
      <c r="C36" s="37"/>
      <c r="D36" s="37"/>
    </row>
    <row r="37" spans="1:4" ht="69" x14ac:dyDescent="0.3">
      <c r="A37" s="65" t="s">
        <v>719</v>
      </c>
      <c r="B37" s="37" t="s">
        <v>732</v>
      </c>
      <c r="C37" s="37"/>
      <c r="D37" s="37"/>
    </row>
    <row r="38" spans="1:4" ht="27.6" x14ac:dyDescent="0.3">
      <c r="A38" s="71" t="s">
        <v>719</v>
      </c>
      <c r="B38" s="13" t="s">
        <v>733</v>
      </c>
      <c r="C38" s="13"/>
      <c r="D38" s="13"/>
    </row>
    <row r="39" spans="1:4" ht="14.4" x14ac:dyDescent="0.3">
      <c r="A39" s="65" t="s">
        <v>719</v>
      </c>
      <c r="B39" s="37" t="s">
        <v>734</v>
      </c>
      <c r="C39" s="37"/>
      <c r="D39" s="37"/>
    </row>
    <row r="40" spans="1:4" ht="14.4" x14ac:dyDescent="0.3">
      <c r="A40" s="65" t="s">
        <v>719</v>
      </c>
      <c r="B40" s="37" t="s">
        <v>735</v>
      </c>
      <c r="C40" s="37"/>
      <c r="D40" s="37"/>
    </row>
    <row r="41" spans="1:4" ht="14.4" x14ac:dyDescent="0.3">
      <c r="A41" s="65" t="s">
        <v>719</v>
      </c>
      <c r="B41" s="37" t="s">
        <v>736</v>
      </c>
      <c r="C41" s="37"/>
      <c r="D41" s="37"/>
    </row>
    <row r="42" spans="1:4" ht="14.4" x14ac:dyDescent="0.3">
      <c r="A42" s="65" t="s">
        <v>719</v>
      </c>
      <c r="B42" s="37" t="s">
        <v>737</v>
      </c>
      <c r="C42" s="37"/>
      <c r="D42" s="37"/>
    </row>
    <row r="43" spans="1:4" ht="41.4" x14ac:dyDescent="0.3">
      <c r="A43" s="71" t="s">
        <v>719</v>
      </c>
      <c r="B43" s="13" t="s">
        <v>738</v>
      </c>
      <c r="C43" s="13"/>
      <c r="D43" s="13"/>
    </row>
    <row r="44" spans="1:4" ht="27.6" x14ac:dyDescent="0.3">
      <c r="A44" s="65" t="s">
        <v>719</v>
      </c>
      <c r="B44" s="37" t="s">
        <v>739</v>
      </c>
      <c r="C44" s="37"/>
      <c r="D44" s="37"/>
    </row>
    <row r="45" spans="1:4" ht="14.4" x14ac:dyDescent="0.3">
      <c r="A45" s="22" t="s">
        <v>719</v>
      </c>
      <c r="B45" s="12" t="s">
        <v>740</v>
      </c>
      <c r="C45" s="12"/>
      <c r="D45" s="12"/>
    </row>
    <row r="46" spans="1:4" ht="14.4" x14ac:dyDescent="0.3">
      <c r="A46" s="65" t="s">
        <v>719</v>
      </c>
      <c r="B46" s="37" t="s">
        <v>741</v>
      </c>
      <c r="C46" s="37"/>
      <c r="D46" s="37"/>
    </row>
    <row r="47" spans="1:4" ht="14.4" x14ac:dyDescent="0.3">
      <c r="A47" s="22" t="s">
        <v>719</v>
      </c>
      <c r="B47" s="12" t="s">
        <v>707</v>
      </c>
      <c r="C47" s="12"/>
      <c r="D47" s="12"/>
    </row>
    <row r="48" spans="1:4" ht="14.4" x14ac:dyDescent="0.3">
      <c r="A48" s="22" t="s">
        <v>719</v>
      </c>
      <c r="B48" s="12" t="s">
        <v>708</v>
      </c>
      <c r="C48" s="12"/>
      <c r="D48" s="12"/>
    </row>
    <row r="49" spans="1:4" ht="14.4" x14ac:dyDescent="0.3">
      <c r="A49" s="65" t="s">
        <v>719</v>
      </c>
      <c r="B49" s="37" t="s">
        <v>742</v>
      </c>
      <c r="C49" s="37"/>
      <c r="D49" s="37"/>
    </row>
    <row r="50" spans="1:4" ht="14.4" x14ac:dyDescent="0.3">
      <c r="A50" s="22" t="s">
        <v>719</v>
      </c>
      <c r="B50" s="12" t="s">
        <v>743</v>
      </c>
      <c r="C50" s="12"/>
      <c r="D50" s="12"/>
    </row>
    <row r="51" spans="1:4" ht="27.6" x14ac:dyDescent="0.3">
      <c r="A51" s="65" t="s">
        <v>719</v>
      </c>
      <c r="B51" s="37" t="s">
        <v>744</v>
      </c>
      <c r="C51" s="37"/>
      <c r="D51" s="37"/>
    </row>
    <row r="52" spans="1:4" ht="14.4" x14ac:dyDescent="0.3">
      <c r="A52" s="22" t="s">
        <v>719</v>
      </c>
      <c r="B52" s="12" t="s">
        <v>745</v>
      </c>
      <c r="C52" s="12"/>
      <c r="D52" s="12"/>
    </row>
    <row r="53" spans="1:4" ht="14.4" x14ac:dyDescent="0.3">
      <c r="A53" s="65" t="s">
        <v>719</v>
      </c>
      <c r="B53" s="37" t="s">
        <v>746</v>
      </c>
      <c r="C53" s="37"/>
      <c r="D53" s="37"/>
    </row>
    <row r="54" spans="1:4" ht="14.4" x14ac:dyDescent="0.3">
      <c r="A54" s="22" t="s">
        <v>719</v>
      </c>
      <c r="B54" s="12" t="s">
        <v>717</v>
      </c>
      <c r="C54" s="12"/>
      <c r="D54" s="12"/>
    </row>
    <row r="55" spans="1:4" ht="14.4" x14ac:dyDescent="0.3">
      <c r="A55" s="65" t="s">
        <v>719</v>
      </c>
      <c r="B55" s="37" t="s">
        <v>747</v>
      </c>
      <c r="C55" s="37"/>
      <c r="D55" s="37"/>
    </row>
    <row r="56" spans="1:4" ht="14.4" x14ac:dyDescent="0.3">
      <c r="A56" s="22" t="s">
        <v>748</v>
      </c>
      <c r="B56" s="12" t="s">
        <v>700</v>
      </c>
      <c r="C56" s="12"/>
      <c r="D56" s="12"/>
    </row>
    <row r="57" spans="1:4" ht="14.4" x14ac:dyDescent="0.3">
      <c r="A57" s="22" t="s">
        <v>748</v>
      </c>
      <c r="B57" s="12" t="s">
        <v>749</v>
      </c>
      <c r="C57" s="12"/>
      <c r="D57" s="12"/>
    </row>
    <row r="58" spans="1:4" ht="27.6" x14ac:dyDescent="0.3">
      <c r="A58" s="72" t="s">
        <v>748</v>
      </c>
      <c r="B58" s="73" t="s">
        <v>750</v>
      </c>
      <c r="C58" s="12"/>
      <c r="D58" s="12"/>
    </row>
    <row r="59" spans="1:4" ht="14.4" x14ac:dyDescent="0.3">
      <c r="A59" s="65" t="s">
        <v>748</v>
      </c>
      <c r="B59" s="37" t="s">
        <v>751</v>
      </c>
      <c r="C59" s="37"/>
      <c r="D59" s="37"/>
    </row>
    <row r="60" spans="1:4" ht="14.4" x14ac:dyDescent="0.3">
      <c r="A60" s="65" t="s">
        <v>748</v>
      </c>
      <c r="B60" s="37" t="s">
        <v>752</v>
      </c>
      <c r="C60" s="37"/>
      <c r="D60" s="37"/>
    </row>
    <row r="61" spans="1:4" ht="14.4" x14ac:dyDescent="0.3">
      <c r="A61" s="65" t="s">
        <v>748</v>
      </c>
      <c r="B61" s="37" t="s">
        <v>753</v>
      </c>
      <c r="C61" s="37"/>
      <c r="D61" s="37"/>
    </row>
    <row r="62" spans="1:4" ht="14.4" x14ac:dyDescent="0.3">
      <c r="A62" s="65" t="s">
        <v>748</v>
      </c>
      <c r="B62" s="37" t="s">
        <v>754</v>
      </c>
      <c r="C62" s="37"/>
      <c r="D62" s="37"/>
    </row>
    <row r="63" spans="1:4" ht="14.4" x14ac:dyDescent="0.3">
      <c r="A63" s="65" t="s">
        <v>748</v>
      </c>
      <c r="B63" s="37" t="s">
        <v>755</v>
      </c>
      <c r="C63" s="37"/>
      <c r="D63" s="37"/>
    </row>
    <row r="64" spans="1:4" ht="14.4" x14ac:dyDescent="0.3">
      <c r="A64" s="65" t="s">
        <v>748</v>
      </c>
      <c r="B64" s="37" t="s">
        <v>756</v>
      </c>
      <c r="C64" s="37"/>
      <c r="D64" s="37"/>
    </row>
    <row r="65" spans="1:4" ht="14.4" x14ac:dyDescent="0.3">
      <c r="A65" s="65" t="s">
        <v>748</v>
      </c>
      <c r="B65" s="37" t="s">
        <v>757</v>
      </c>
      <c r="C65" s="37"/>
      <c r="D65" s="37"/>
    </row>
    <row r="66" spans="1:4" ht="14.4" x14ac:dyDescent="0.3">
      <c r="A66" s="65" t="s">
        <v>748</v>
      </c>
      <c r="B66" s="37" t="s">
        <v>758</v>
      </c>
      <c r="C66" s="37"/>
      <c r="D66" s="37"/>
    </row>
    <row r="67" spans="1:4" ht="14.4" x14ac:dyDescent="0.3">
      <c r="A67" s="65" t="s">
        <v>748</v>
      </c>
      <c r="B67" s="37" t="s">
        <v>759</v>
      </c>
      <c r="C67" s="37"/>
      <c r="D67" s="37"/>
    </row>
    <row r="68" spans="1:4" ht="14.4" x14ac:dyDescent="0.3">
      <c r="A68" s="65" t="s">
        <v>748</v>
      </c>
      <c r="B68" s="37" t="s">
        <v>760</v>
      </c>
      <c r="C68" s="37"/>
      <c r="D68" s="37"/>
    </row>
    <row r="69" spans="1:4" ht="27.6" x14ac:dyDescent="0.3">
      <c r="A69" s="65" t="s">
        <v>748</v>
      </c>
      <c r="B69" s="37" t="s">
        <v>761</v>
      </c>
      <c r="C69" s="37"/>
      <c r="D69" s="37"/>
    </row>
    <row r="70" spans="1:4" ht="55.2" x14ac:dyDescent="0.3">
      <c r="A70" s="65" t="s">
        <v>748</v>
      </c>
      <c r="B70" s="37" t="s">
        <v>762</v>
      </c>
      <c r="C70" s="37"/>
      <c r="D70" s="37"/>
    </row>
    <row r="71" spans="1:4" ht="55.2" x14ac:dyDescent="0.3">
      <c r="A71" s="65" t="s">
        <v>748</v>
      </c>
      <c r="B71" s="37" t="s">
        <v>763</v>
      </c>
      <c r="C71" s="37"/>
      <c r="D71" s="37"/>
    </row>
    <row r="72" spans="1:4" ht="14.4" x14ac:dyDescent="0.3">
      <c r="A72" s="71" t="s">
        <v>748</v>
      </c>
      <c r="B72" s="13" t="s">
        <v>764</v>
      </c>
      <c r="C72" s="13"/>
      <c r="D72" s="13"/>
    </row>
    <row r="73" spans="1:4" ht="27.6" x14ac:dyDescent="0.3">
      <c r="A73" s="65" t="s">
        <v>748</v>
      </c>
      <c r="B73" s="37" t="s">
        <v>765</v>
      </c>
      <c r="C73" s="37"/>
      <c r="D73" s="37"/>
    </row>
    <row r="74" spans="1:4" ht="27.6" x14ac:dyDescent="0.3">
      <c r="A74" s="65" t="s">
        <v>748</v>
      </c>
      <c r="B74" s="37" t="s">
        <v>766</v>
      </c>
      <c r="C74" s="37"/>
      <c r="D74" s="37"/>
    </row>
    <row r="75" spans="1:4" ht="14.4" x14ac:dyDescent="0.3">
      <c r="A75" s="71" t="s">
        <v>748</v>
      </c>
      <c r="B75" s="13" t="s">
        <v>767</v>
      </c>
      <c r="C75" s="13"/>
      <c r="D75" s="13"/>
    </row>
    <row r="76" spans="1:4" ht="14.4" x14ac:dyDescent="0.3">
      <c r="A76" s="65" t="s">
        <v>748</v>
      </c>
      <c r="B76" s="37" t="s">
        <v>768</v>
      </c>
      <c r="C76" s="37"/>
      <c r="D76" s="37"/>
    </row>
    <row r="77" spans="1:4" ht="14.4" x14ac:dyDescent="0.3">
      <c r="A77" s="65" t="s">
        <v>748</v>
      </c>
      <c r="B77" s="37" t="s">
        <v>769</v>
      </c>
      <c r="C77" s="37"/>
      <c r="D77" s="37"/>
    </row>
    <row r="78" spans="1:4" ht="27.6" x14ac:dyDescent="0.3">
      <c r="A78" s="65" t="s">
        <v>748</v>
      </c>
      <c r="B78" s="37" t="s">
        <v>770</v>
      </c>
      <c r="C78" s="37"/>
      <c r="D78" s="37"/>
    </row>
    <row r="79" spans="1:4" ht="27.6" x14ac:dyDescent="0.3">
      <c r="A79" s="65" t="s">
        <v>748</v>
      </c>
      <c r="B79" s="37" t="s">
        <v>771</v>
      </c>
      <c r="C79" s="37"/>
      <c r="D79" s="37"/>
    </row>
    <row r="80" spans="1:4" ht="14.4" x14ac:dyDescent="0.3">
      <c r="A80" s="65" t="s">
        <v>748</v>
      </c>
      <c r="B80" s="37" t="s">
        <v>772</v>
      </c>
      <c r="C80" s="37"/>
      <c r="D80" s="37"/>
    </row>
    <row r="81" spans="1:4" ht="55.2" x14ac:dyDescent="0.3">
      <c r="A81" s="65" t="s">
        <v>748</v>
      </c>
      <c r="B81" s="37" t="s">
        <v>773</v>
      </c>
      <c r="C81" s="37"/>
      <c r="D81" s="37"/>
    </row>
    <row r="82" spans="1:4" ht="41.4" x14ac:dyDescent="0.3">
      <c r="A82" s="65" t="s">
        <v>748</v>
      </c>
      <c r="B82" s="37" t="s">
        <v>774</v>
      </c>
      <c r="C82" s="37"/>
      <c r="D82" s="37"/>
    </row>
    <row r="83" spans="1:4" ht="14.4" x14ac:dyDescent="0.3">
      <c r="A83" s="22" t="s">
        <v>748</v>
      </c>
      <c r="B83" s="12" t="s">
        <v>538</v>
      </c>
      <c r="C83" s="12"/>
      <c r="D83" s="12"/>
    </row>
    <row r="84" spans="1:4" ht="14.4" x14ac:dyDescent="0.3">
      <c r="A84" s="71" t="s">
        <v>748</v>
      </c>
      <c r="B84" s="13" t="s">
        <v>775</v>
      </c>
      <c r="C84" s="13"/>
      <c r="D84" s="13"/>
    </row>
    <row r="85" spans="1:4" ht="14.4" x14ac:dyDescent="0.3">
      <c r="A85" s="65" t="s">
        <v>748</v>
      </c>
      <c r="B85" s="37" t="s">
        <v>776</v>
      </c>
      <c r="C85" s="37"/>
      <c r="D85" s="37"/>
    </row>
    <row r="86" spans="1:4" ht="14.4" x14ac:dyDescent="0.3">
      <c r="A86" s="65" t="s">
        <v>748</v>
      </c>
      <c r="B86" s="37" t="s">
        <v>777</v>
      </c>
      <c r="C86" s="37"/>
      <c r="D86" s="37"/>
    </row>
    <row r="87" spans="1:4" ht="14.4" x14ac:dyDescent="0.3">
      <c r="A87" s="65" t="s">
        <v>748</v>
      </c>
      <c r="B87" s="37" t="s">
        <v>778</v>
      </c>
      <c r="C87" s="37"/>
      <c r="D87" s="37"/>
    </row>
    <row r="88" spans="1:4" ht="14.4" x14ac:dyDescent="0.3">
      <c r="A88" s="65" t="s">
        <v>748</v>
      </c>
      <c r="B88" s="37" t="s">
        <v>779</v>
      </c>
      <c r="C88" s="37"/>
      <c r="D88" s="37"/>
    </row>
    <row r="89" spans="1:4" ht="14.4" x14ac:dyDescent="0.3">
      <c r="A89" s="65" t="s">
        <v>748</v>
      </c>
      <c r="B89" s="37" t="s">
        <v>780</v>
      </c>
      <c r="C89" s="37"/>
      <c r="D89" s="37"/>
    </row>
    <row r="90" spans="1:4" ht="14.4" x14ac:dyDescent="0.3">
      <c r="A90" s="65" t="s">
        <v>748</v>
      </c>
      <c r="B90" s="37" t="s">
        <v>781</v>
      </c>
      <c r="C90" s="37"/>
      <c r="D90" s="37"/>
    </row>
    <row r="91" spans="1:4" ht="14.4" x14ac:dyDescent="0.3">
      <c r="A91" s="65" t="s">
        <v>748</v>
      </c>
      <c r="B91" s="37" t="s">
        <v>782</v>
      </c>
      <c r="C91" s="37"/>
      <c r="D91" s="37"/>
    </row>
    <row r="92" spans="1:4" ht="14.4" x14ac:dyDescent="0.3">
      <c r="A92" s="65" t="s">
        <v>748</v>
      </c>
      <c r="B92" s="37" t="s">
        <v>783</v>
      </c>
      <c r="C92" s="37"/>
      <c r="D92" s="37"/>
    </row>
    <row r="93" spans="1:4" ht="14.4" x14ac:dyDescent="0.3">
      <c r="A93" s="65" t="s">
        <v>748</v>
      </c>
      <c r="B93" s="37" t="s">
        <v>784</v>
      </c>
      <c r="C93" s="37"/>
      <c r="D93" s="37"/>
    </row>
    <row r="94" spans="1:4" ht="41.4" x14ac:dyDescent="0.3">
      <c r="A94" s="65" t="s">
        <v>748</v>
      </c>
      <c r="B94" s="37" t="s">
        <v>785</v>
      </c>
      <c r="C94" s="37"/>
      <c r="D94" s="37"/>
    </row>
    <row r="95" spans="1:4" ht="14.4" x14ac:dyDescent="0.3">
      <c r="A95" s="72" t="s">
        <v>748</v>
      </c>
      <c r="B95" s="73" t="s">
        <v>786</v>
      </c>
      <c r="C95" s="73"/>
      <c r="D95" s="73"/>
    </row>
    <row r="96" spans="1:4" ht="14.4" x14ac:dyDescent="0.3">
      <c r="A96" s="65" t="s">
        <v>748</v>
      </c>
      <c r="B96" s="37" t="s">
        <v>787</v>
      </c>
      <c r="C96" s="37"/>
      <c r="D96" s="37"/>
    </row>
    <row r="97" spans="1:4" ht="14.4" x14ac:dyDescent="0.3">
      <c r="A97" s="65" t="s">
        <v>748</v>
      </c>
      <c r="B97" s="37" t="s">
        <v>788</v>
      </c>
      <c r="C97" s="37"/>
      <c r="D97" s="37"/>
    </row>
    <row r="98" spans="1:4" ht="27.6" x14ac:dyDescent="0.3">
      <c r="A98" s="65" t="s">
        <v>748</v>
      </c>
      <c r="B98" s="37" t="s">
        <v>789</v>
      </c>
      <c r="C98" s="37"/>
      <c r="D98" s="37"/>
    </row>
    <row r="99" spans="1:4" ht="27.6" x14ac:dyDescent="0.3">
      <c r="A99" s="65" t="s">
        <v>748</v>
      </c>
      <c r="B99" s="37" t="s">
        <v>790</v>
      </c>
      <c r="C99" s="37"/>
      <c r="D99" s="37"/>
    </row>
    <row r="100" spans="1:4" ht="14.4" x14ac:dyDescent="0.3">
      <c r="A100" s="65" t="s">
        <v>748</v>
      </c>
      <c r="B100" s="37" t="s">
        <v>791</v>
      </c>
      <c r="C100" s="37"/>
      <c r="D100" s="37"/>
    </row>
    <row r="101" spans="1:4" ht="41.4" x14ac:dyDescent="0.3">
      <c r="A101" s="65" t="s">
        <v>748</v>
      </c>
      <c r="B101" s="37" t="s">
        <v>792</v>
      </c>
      <c r="C101" s="37"/>
      <c r="D101" s="37"/>
    </row>
    <row r="102" spans="1:4" ht="14.4" x14ac:dyDescent="0.3">
      <c r="A102" s="65" t="s">
        <v>748</v>
      </c>
      <c r="B102" s="37" t="s">
        <v>793</v>
      </c>
      <c r="C102" s="37"/>
      <c r="D102" s="37"/>
    </row>
    <row r="103" spans="1:4" ht="14.4" x14ac:dyDescent="0.3">
      <c r="A103" s="22" t="s">
        <v>748</v>
      </c>
      <c r="B103" s="12" t="s">
        <v>707</v>
      </c>
      <c r="C103" s="12"/>
      <c r="D103" s="12"/>
    </row>
    <row r="104" spans="1:4" ht="14.4" x14ac:dyDescent="0.3">
      <c r="A104" s="22" t="s">
        <v>748</v>
      </c>
      <c r="B104" s="12" t="s">
        <v>708</v>
      </c>
      <c r="C104" s="12"/>
      <c r="D104" s="12"/>
    </row>
    <row r="105" spans="1:4" ht="14.4" x14ac:dyDescent="0.3">
      <c r="A105" s="65" t="s">
        <v>748</v>
      </c>
      <c r="B105" s="66" t="s">
        <v>794</v>
      </c>
      <c r="C105" s="66"/>
      <c r="D105" s="66"/>
    </row>
    <row r="106" spans="1:4" ht="14.4" x14ac:dyDescent="0.3">
      <c r="A106" s="80" t="s">
        <v>748</v>
      </c>
      <c r="B106" s="83" t="s">
        <v>797</v>
      </c>
      <c r="C106" s="83"/>
      <c r="D106" s="83"/>
    </row>
    <row r="107" spans="1:4" ht="27.6" x14ac:dyDescent="0.3">
      <c r="A107" s="69" t="s">
        <v>748</v>
      </c>
      <c r="B107" s="70" t="s">
        <v>798</v>
      </c>
      <c r="C107" s="70"/>
      <c r="D107" s="70"/>
    </row>
    <row r="108" spans="1:4" ht="14.4" x14ac:dyDescent="0.3">
      <c r="A108" s="22" t="s">
        <v>748</v>
      </c>
      <c r="B108" s="12" t="s">
        <v>799</v>
      </c>
      <c r="C108" s="12"/>
      <c r="D108" s="12"/>
    </row>
    <row r="109" spans="1:4" ht="14.4" x14ac:dyDescent="0.3">
      <c r="A109" s="65" t="s">
        <v>748</v>
      </c>
      <c r="B109" s="37" t="s">
        <v>800</v>
      </c>
      <c r="C109" s="37"/>
      <c r="D109" s="37"/>
    </row>
    <row r="110" spans="1:4" ht="14.4" x14ac:dyDescent="0.3">
      <c r="A110" s="22" t="s">
        <v>748</v>
      </c>
      <c r="B110" s="12" t="s">
        <v>717</v>
      </c>
      <c r="C110" s="12"/>
      <c r="D110" s="12"/>
    </row>
    <row r="111" spans="1:4" ht="14.4" x14ac:dyDescent="0.3">
      <c r="A111" s="65" t="s">
        <v>748</v>
      </c>
      <c r="B111" s="37" t="s">
        <v>804</v>
      </c>
      <c r="C111" s="37"/>
      <c r="D111" s="37"/>
    </row>
    <row r="112" spans="1:4" ht="14.4" x14ac:dyDescent="0.3">
      <c r="A112" s="22" t="s">
        <v>806</v>
      </c>
      <c r="B112" s="12" t="s">
        <v>700</v>
      </c>
      <c r="C112" s="12"/>
      <c r="D112" s="12"/>
    </row>
    <row r="113" spans="1:4" ht="27.6" x14ac:dyDescent="0.3">
      <c r="A113" s="22" t="s">
        <v>806</v>
      </c>
      <c r="B113" s="12" t="s">
        <v>807</v>
      </c>
      <c r="C113" s="12"/>
      <c r="D113" s="12"/>
    </row>
    <row r="114" spans="1:4" ht="14.4" x14ac:dyDescent="0.3">
      <c r="A114" s="65" t="s">
        <v>806</v>
      </c>
      <c r="B114" s="37" t="s">
        <v>808</v>
      </c>
      <c r="C114" s="37"/>
      <c r="D114" s="37"/>
    </row>
    <row r="115" spans="1:4" ht="27.6" x14ac:dyDescent="0.3">
      <c r="A115" s="65" t="s">
        <v>806</v>
      </c>
      <c r="B115" s="37" t="s">
        <v>809</v>
      </c>
      <c r="C115" s="37"/>
      <c r="D115" s="37"/>
    </row>
    <row r="116" spans="1:4" ht="14.4" x14ac:dyDescent="0.3">
      <c r="A116" s="22" t="s">
        <v>806</v>
      </c>
      <c r="B116" s="12" t="s">
        <v>707</v>
      </c>
      <c r="C116" s="12"/>
      <c r="D116" s="12"/>
    </row>
    <row r="117" spans="1:4" ht="14.4" x14ac:dyDescent="0.3">
      <c r="A117" s="22" t="s">
        <v>806</v>
      </c>
      <c r="B117" s="12" t="s">
        <v>708</v>
      </c>
      <c r="C117" s="12"/>
      <c r="D117" s="12"/>
    </row>
    <row r="118" spans="1:4" ht="14.4" x14ac:dyDescent="0.3">
      <c r="A118" s="22" t="s">
        <v>806</v>
      </c>
      <c r="B118" s="12" t="s">
        <v>812</v>
      </c>
      <c r="C118" s="12"/>
      <c r="D118" s="12"/>
    </row>
    <row r="119" spans="1:4" ht="14.4" x14ac:dyDescent="0.3">
      <c r="A119" s="22" t="s">
        <v>806</v>
      </c>
      <c r="B119" s="12" t="s">
        <v>717</v>
      </c>
      <c r="C119" s="12"/>
      <c r="D119" s="12"/>
    </row>
    <row r="120" spans="1:4" ht="14.4" x14ac:dyDescent="0.3">
      <c r="A120" s="65" t="s">
        <v>806</v>
      </c>
      <c r="B120" s="37" t="s">
        <v>813</v>
      </c>
      <c r="C120" s="37"/>
      <c r="D120" s="37"/>
    </row>
    <row r="121" spans="1:4" ht="14.4" x14ac:dyDescent="0.3">
      <c r="A121" s="22" t="s">
        <v>815</v>
      </c>
      <c r="B121" s="12" t="s">
        <v>700</v>
      </c>
      <c r="C121" s="12"/>
      <c r="D121" s="12"/>
    </row>
    <row r="122" spans="1:4" ht="27.6" x14ac:dyDescent="0.3">
      <c r="A122" s="22" t="s">
        <v>815</v>
      </c>
      <c r="B122" s="12" t="s">
        <v>816</v>
      </c>
      <c r="C122" s="12"/>
      <c r="D122" s="12"/>
    </row>
    <row r="123" spans="1:4" ht="41.4" x14ac:dyDescent="0.3">
      <c r="A123" s="65" t="s">
        <v>815</v>
      </c>
      <c r="B123" s="37" t="s">
        <v>819</v>
      </c>
      <c r="C123" s="37"/>
      <c r="D123" s="37"/>
    </row>
    <row r="124" spans="1:4" ht="27.6" x14ac:dyDescent="0.3">
      <c r="A124" s="65" t="s">
        <v>815</v>
      </c>
      <c r="B124" s="37" t="s">
        <v>821</v>
      </c>
      <c r="C124" s="37"/>
      <c r="D124" s="37"/>
    </row>
    <row r="125" spans="1:4" ht="14.4" x14ac:dyDescent="0.3">
      <c r="A125" s="65" t="s">
        <v>815</v>
      </c>
      <c r="B125" s="37" t="s">
        <v>822</v>
      </c>
      <c r="C125" s="37"/>
      <c r="D125" s="37"/>
    </row>
    <row r="126" spans="1:4" ht="14.4" x14ac:dyDescent="0.3">
      <c r="A126" s="65" t="s">
        <v>815</v>
      </c>
      <c r="B126" s="37" t="s">
        <v>823</v>
      </c>
      <c r="C126" s="37"/>
      <c r="D126" s="37"/>
    </row>
    <row r="127" spans="1:4" ht="14.4" x14ac:dyDescent="0.3">
      <c r="A127" s="65" t="s">
        <v>815</v>
      </c>
      <c r="B127" s="37" t="s">
        <v>825</v>
      </c>
      <c r="C127" s="37"/>
      <c r="D127" s="37"/>
    </row>
    <row r="128" spans="1:4" ht="14.4" x14ac:dyDescent="0.3">
      <c r="A128" s="65" t="s">
        <v>815</v>
      </c>
      <c r="B128" s="37" t="s">
        <v>826</v>
      </c>
      <c r="C128" s="37"/>
      <c r="D128" s="37"/>
    </row>
    <row r="129" spans="1:4" ht="14.4" x14ac:dyDescent="0.3">
      <c r="A129" s="65" t="s">
        <v>815</v>
      </c>
      <c r="B129" s="37" t="s">
        <v>828</v>
      </c>
      <c r="C129" s="37"/>
      <c r="D129" s="37"/>
    </row>
    <row r="130" spans="1:4" ht="41.4" x14ac:dyDescent="0.3">
      <c r="A130" s="65" t="s">
        <v>815</v>
      </c>
      <c r="B130" s="37" t="s">
        <v>829</v>
      </c>
      <c r="C130" s="37"/>
      <c r="D130" s="37"/>
    </row>
    <row r="131" spans="1:4" ht="27.6" x14ac:dyDescent="0.3">
      <c r="A131" s="65" t="s">
        <v>815</v>
      </c>
      <c r="B131" s="37" t="s">
        <v>831</v>
      </c>
      <c r="C131" s="37"/>
      <c r="D131" s="37"/>
    </row>
    <row r="132" spans="1:4" ht="41.4" x14ac:dyDescent="0.3">
      <c r="A132" s="65" t="s">
        <v>815</v>
      </c>
      <c r="B132" s="37" t="s">
        <v>833</v>
      </c>
      <c r="C132" s="37"/>
      <c r="D132" s="37"/>
    </row>
    <row r="133" spans="1:4" ht="27.6" x14ac:dyDescent="0.3">
      <c r="A133" s="65" t="s">
        <v>815</v>
      </c>
      <c r="B133" s="37" t="s">
        <v>835</v>
      </c>
      <c r="C133" s="37"/>
      <c r="D133" s="37"/>
    </row>
    <row r="134" spans="1:4" ht="14.4" x14ac:dyDescent="0.3">
      <c r="A134" s="22" t="s">
        <v>815</v>
      </c>
      <c r="B134" s="12" t="s">
        <v>707</v>
      </c>
      <c r="C134" s="12"/>
      <c r="D134" s="12"/>
    </row>
    <row r="135" spans="1:4" ht="14.4" x14ac:dyDescent="0.3">
      <c r="A135" s="22" t="s">
        <v>815</v>
      </c>
      <c r="B135" s="12" t="s">
        <v>839</v>
      </c>
      <c r="C135" s="12"/>
      <c r="D135" s="12"/>
    </row>
    <row r="136" spans="1:4" ht="14.4" x14ac:dyDescent="0.3">
      <c r="A136" s="65" t="s">
        <v>815</v>
      </c>
      <c r="B136" s="37" t="s">
        <v>841</v>
      </c>
      <c r="C136" s="37"/>
      <c r="D136" s="37"/>
    </row>
    <row r="137" spans="1:4" ht="14.4" x14ac:dyDescent="0.3">
      <c r="A137" s="22" t="s">
        <v>815</v>
      </c>
      <c r="B137" s="12" t="s">
        <v>797</v>
      </c>
      <c r="C137" s="12"/>
      <c r="D137" s="12"/>
    </row>
    <row r="138" spans="1:4" ht="27.6" x14ac:dyDescent="0.3">
      <c r="A138" s="65" t="s">
        <v>815</v>
      </c>
      <c r="B138" s="66" t="s">
        <v>844</v>
      </c>
      <c r="C138" s="66"/>
      <c r="D138" s="66"/>
    </row>
    <row r="139" spans="1:4" ht="14.4" x14ac:dyDescent="0.3">
      <c r="A139" s="93" t="s">
        <v>815</v>
      </c>
      <c r="B139" s="68" t="s">
        <v>745</v>
      </c>
      <c r="C139" s="68"/>
      <c r="D139" s="68"/>
    </row>
    <row r="140" spans="1:4" ht="14.4" x14ac:dyDescent="0.3">
      <c r="A140" s="80" t="s">
        <v>815</v>
      </c>
      <c r="B140" s="94" t="s">
        <v>846</v>
      </c>
      <c r="C140" s="87"/>
      <c r="D140" s="95"/>
    </row>
    <row r="141" spans="1:4" ht="14.4" x14ac:dyDescent="0.3">
      <c r="A141" s="93" t="s">
        <v>815</v>
      </c>
      <c r="B141" s="68" t="s">
        <v>717</v>
      </c>
      <c r="C141" s="68"/>
      <c r="D141" s="68"/>
    </row>
    <row r="142" spans="1:4" ht="14.4" x14ac:dyDescent="0.3">
      <c r="A142" s="80" t="s">
        <v>815</v>
      </c>
      <c r="B142" s="94" t="s">
        <v>849</v>
      </c>
      <c r="C142" s="87"/>
      <c r="D142" s="95"/>
    </row>
    <row r="143" spans="1:4" ht="14.4" x14ac:dyDescent="0.3">
      <c r="A143" s="93" t="s">
        <v>852</v>
      </c>
      <c r="B143" s="68" t="s">
        <v>700</v>
      </c>
      <c r="C143" s="68"/>
      <c r="D143" s="68"/>
    </row>
    <row r="144" spans="1:4" ht="27.6" x14ac:dyDescent="0.3">
      <c r="A144" s="93" t="s">
        <v>852</v>
      </c>
      <c r="B144" s="68" t="s">
        <v>854</v>
      </c>
      <c r="C144" s="68"/>
      <c r="D144" s="68"/>
    </row>
    <row r="145" spans="1:4" ht="14.4" x14ac:dyDescent="0.3">
      <c r="A145" s="80" t="s">
        <v>852</v>
      </c>
      <c r="B145" s="94" t="s">
        <v>857</v>
      </c>
      <c r="C145" s="87"/>
      <c r="D145" s="95"/>
    </row>
    <row r="146" spans="1:4" ht="14.4" x14ac:dyDescent="0.3">
      <c r="A146" s="93" t="s">
        <v>852</v>
      </c>
      <c r="B146" s="68" t="s">
        <v>707</v>
      </c>
      <c r="C146" s="68"/>
      <c r="D146" s="68"/>
    </row>
    <row r="147" spans="1:4" ht="14.4" x14ac:dyDescent="0.3">
      <c r="A147" s="93" t="s">
        <v>852</v>
      </c>
      <c r="B147" s="68" t="s">
        <v>708</v>
      </c>
      <c r="C147" s="68"/>
      <c r="D147" s="68"/>
    </row>
    <row r="148" spans="1:4" ht="14.4" x14ac:dyDescent="0.3">
      <c r="A148" s="93" t="s">
        <v>852</v>
      </c>
      <c r="B148" s="68" t="s">
        <v>812</v>
      </c>
      <c r="C148" s="68"/>
      <c r="D148" s="68"/>
    </row>
    <row r="149" spans="1:4" ht="14.4" x14ac:dyDescent="0.3">
      <c r="A149" s="93" t="s">
        <v>852</v>
      </c>
      <c r="B149" s="68" t="s">
        <v>717</v>
      </c>
      <c r="C149" s="68"/>
      <c r="D149" s="68"/>
    </row>
    <row r="150" spans="1:4" ht="14.4" x14ac:dyDescent="0.3">
      <c r="A150" s="80" t="s">
        <v>852</v>
      </c>
      <c r="B150" s="94" t="s">
        <v>860</v>
      </c>
      <c r="C150" s="87"/>
      <c r="D150" s="95"/>
    </row>
    <row r="151" spans="1:4" ht="14.4" x14ac:dyDescent="0.3">
      <c r="A151" s="93" t="s">
        <v>862</v>
      </c>
      <c r="B151" s="68" t="s">
        <v>700</v>
      </c>
      <c r="C151" s="68"/>
      <c r="D151" s="68"/>
    </row>
    <row r="152" spans="1:4" ht="27.6" x14ac:dyDescent="0.3">
      <c r="A152" s="93" t="s">
        <v>862</v>
      </c>
      <c r="B152" s="68" t="s">
        <v>803</v>
      </c>
      <c r="C152" s="68"/>
      <c r="D152" s="68"/>
    </row>
    <row r="153" spans="1:4" ht="14.4" x14ac:dyDescent="0.3">
      <c r="A153" s="80" t="s">
        <v>862</v>
      </c>
      <c r="B153" s="94" t="s">
        <v>864</v>
      </c>
      <c r="C153" s="87"/>
      <c r="D153" s="95"/>
    </row>
    <row r="154" spans="1:4" ht="14.4" x14ac:dyDescent="0.3">
      <c r="A154" s="93" t="s">
        <v>862</v>
      </c>
      <c r="B154" s="68" t="s">
        <v>707</v>
      </c>
      <c r="C154" s="68"/>
      <c r="D154" s="68"/>
    </row>
    <row r="155" spans="1:4" ht="14.4" x14ac:dyDescent="0.3">
      <c r="A155" s="93" t="s">
        <v>862</v>
      </c>
      <c r="B155" s="68" t="s">
        <v>708</v>
      </c>
      <c r="C155" s="68"/>
      <c r="D155" s="68"/>
    </row>
    <row r="156" spans="1:4" ht="14.4" x14ac:dyDescent="0.3">
      <c r="A156" s="93" t="s">
        <v>862</v>
      </c>
      <c r="B156" s="68" t="s">
        <v>812</v>
      </c>
      <c r="C156" s="68"/>
      <c r="D156" s="68"/>
    </row>
    <row r="157" spans="1:4" ht="14.4" x14ac:dyDescent="0.3">
      <c r="A157" s="93" t="s">
        <v>862</v>
      </c>
      <c r="B157" s="68" t="s">
        <v>717</v>
      </c>
      <c r="C157" s="68"/>
      <c r="D157" s="68"/>
    </row>
    <row r="158" spans="1:4" ht="14.4" x14ac:dyDescent="0.3">
      <c r="A158" s="80" t="s">
        <v>862</v>
      </c>
      <c r="B158" s="94" t="s">
        <v>867</v>
      </c>
      <c r="C158" s="87"/>
      <c r="D158" s="95"/>
    </row>
    <row r="161" spans="2:3" ht="14.4" x14ac:dyDescent="0.3">
      <c r="B161" s="15" t="s">
        <v>75</v>
      </c>
      <c r="C161" s="2">
        <f>COUNTIF($C$5:$C$158,"C")</f>
        <v>1</v>
      </c>
    </row>
    <row r="162" spans="2:3" ht="14.4" x14ac:dyDescent="0.3">
      <c r="B162" s="15" t="s">
        <v>81</v>
      </c>
      <c r="C162" s="2">
        <f>COUNTIF($C$5:$C$158,"NC")</f>
        <v>1</v>
      </c>
    </row>
    <row r="163" spans="2:3" ht="14.4" x14ac:dyDescent="0.3">
      <c r="B163" s="15" t="s">
        <v>84</v>
      </c>
      <c r="C163" s="2">
        <f>COUNTIF($C$5:$C$158,"NA")</f>
        <v>1</v>
      </c>
    </row>
  </sheetData>
  <autoFilter ref="A4:D158" xr:uid="{00000000-0009-0000-0000-000009000000}"/>
  <conditionalFormatting sqref="C7:C8 C10:C11">
    <cfRule type="beginsWith" dxfId="113" priority="1" operator="beginsWith" text="C">
      <formula>LEFT((C7),LEN("C"))=("C")</formula>
    </cfRule>
    <cfRule type="beginsWith" dxfId="112" priority="2" operator="beginsWith" text="NC">
      <formula>LEFT((C7),LEN("NC"))=("NC")</formula>
    </cfRule>
    <cfRule type="beginsWith" dxfId="111" priority="3" operator="beginsWith" text="NA">
      <formula>LEFT((C7),LEN("NA"))=("NA")</formula>
    </cfRule>
  </conditionalFormatting>
  <dataValidations count="1">
    <dataValidation type="list" allowBlank="1" sqref="C7:C8 C10:C11 C14:C15 C17:C19 C21 C23 C26 C29:C33 C35:C37 C39:C40 C42 C44 C46 C49 C51 C53 C55 C59:C71 C73:C74 C76:C82 C88:C94 C96:C97 C99:C102 C105 C107 C109 C111 C114:C115 C120 C123:C133 C136 C138 C140 C142 C145 C150 C153 C158" xr:uid="{00000000-0002-0000-0900-000000000000}">
      <formula1>"C,NC,NA"</formula1>
    </dataValidation>
  </dataValidations>
  <hyperlinks>
    <hyperlink ref="B1" location="'Tabla de contenido'!A1" display="VOLVER A TABLA DE CONTENIDO" xr:uid="{00000000-0004-0000-0900-000000000000}"/>
  </hyperlinks>
  <pageMargins left="0.7" right="0.7" top="0.75" bottom="0.75" header="0" footer="0"/>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9000"/>
  </sheetPr>
  <dimension ref="A1:D96"/>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59.44140625" customWidth="1"/>
    <col min="3" max="3" width="14.44140625" customWidth="1"/>
    <col min="4" max="4" width="36.33203125" customWidth="1" outlineLevel="1"/>
  </cols>
  <sheetData>
    <row r="1" spans="1:4" ht="14.4" x14ac:dyDescent="0.3">
      <c r="A1" s="269"/>
      <c r="B1" s="270" t="s">
        <v>0</v>
      </c>
      <c r="C1" s="269"/>
      <c r="D1" s="269"/>
    </row>
    <row r="2" spans="1:4" ht="14.4" x14ac:dyDescent="0.3">
      <c r="A2" s="74"/>
      <c r="B2" s="75" t="s">
        <v>697</v>
      </c>
      <c r="C2" s="76"/>
      <c r="D2" s="77"/>
    </row>
    <row r="3" spans="1:4" ht="14.4" x14ac:dyDescent="0.3">
      <c r="A3" s="78"/>
      <c r="B3" s="79" t="s">
        <v>795</v>
      </c>
      <c r="C3" s="81" t="s">
        <v>796</v>
      </c>
      <c r="D3" s="82"/>
    </row>
    <row r="4" spans="1:4" ht="14.4" x14ac:dyDescent="0.3">
      <c r="A4" s="84" t="s">
        <v>7</v>
      </c>
      <c r="B4" s="85" t="s">
        <v>9</v>
      </c>
      <c r="C4" s="84" t="s">
        <v>10</v>
      </c>
      <c r="D4" s="84" t="s">
        <v>11</v>
      </c>
    </row>
    <row r="5" spans="1:4" ht="14.4" x14ac:dyDescent="0.3">
      <c r="A5" s="67" t="s">
        <v>801</v>
      </c>
      <c r="B5" s="83" t="s">
        <v>802</v>
      </c>
      <c r="C5" s="86"/>
      <c r="D5" s="86"/>
    </row>
    <row r="6" spans="1:4" ht="27.6" x14ac:dyDescent="0.3">
      <c r="A6" s="67" t="s">
        <v>801</v>
      </c>
      <c r="B6" s="83" t="s">
        <v>803</v>
      </c>
      <c r="C6" s="86"/>
      <c r="D6" s="86"/>
    </row>
    <row r="7" spans="1:4" ht="27.6" x14ac:dyDescent="0.3">
      <c r="A7" s="80" t="s">
        <v>801</v>
      </c>
      <c r="B7" s="87" t="s">
        <v>805</v>
      </c>
      <c r="C7" s="88" t="s">
        <v>16</v>
      </c>
      <c r="D7" s="89"/>
    </row>
    <row r="8" spans="1:4" ht="41.4" x14ac:dyDescent="0.3">
      <c r="A8" s="80" t="s">
        <v>801</v>
      </c>
      <c r="B8" s="87" t="s">
        <v>810</v>
      </c>
      <c r="C8" s="88" t="s">
        <v>20</v>
      </c>
      <c r="D8" s="89"/>
    </row>
    <row r="9" spans="1:4" ht="110.4" x14ac:dyDescent="0.3">
      <c r="A9" s="80" t="s">
        <v>801</v>
      </c>
      <c r="B9" s="87" t="s">
        <v>811</v>
      </c>
      <c r="C9" s="88" t="s">
        <v>24</v>
      </c>
      <c r="D9" s="89"/>
    </row>
    <row r="10" spans="1:4" ht="14.4" x14ac:dyDescent="0.3">
      <c r="A10" s="67" t="s">
        <v>801</v>
      </c>
      <c r="B10" s="83" t="s">
        <v>428</v>
      </c>
      <c r="C10" s="86"/>
      <c r="D10" s="86"/>
    </row>
    <row r="11" spans="1:4" ht="27.6" x14ac:dyDescent="0.3">
      <c r="A11" s="67" t="s">
        <v>801</v>
      </c>
      <c r="B11" s="83" t="s">
        <v>708</v>
      </c>
      <c r="C11" s="86"/>
      <c r="D11" s="86"/>
    </row>
    <row r="12" spans="1:4" ht="27.6" x14ac:dyDescent="0.3">
      <c r="A12" s="80" t="s">
        <v>801</v>
      </c>
      <c r="B12" s="90" t="s">
        <v>814</v>
      </c>
      <c r="C12" s="91"/>
      <c r="D12" s="91"/>
    </row>
    <row r="13" spans="1:4" ht="27.6" x14ac:dyDescent="0.3">
      <c r="A13" s="80" t="s">
        <v>801</v>
      </c>
      <c r="B13" s="90" t="s">
        <v>817</v>
      </c>
      <c r="C13" s="91"/>
      <c r="D13" s="91"/>
    </row>
    <row r="14" spans="1:4" ht="14.4" x14ac:dyDescent="0.3">
      <c r="A14" s="67" t="s">
        <v>801</v>
      </c>
      <c r="B14" s="83" t="s">
        <v>818</v>
      </c>
      <c r="C14" s="86"/>
      <c r="D14" s="86"/>
    </row>
    <row r="15" spans="1:4" ht="27.6" x14ac:dyDescent="0.3">
      <c r="A15" s="80" t="s">
        <v>801</v>
      </c>
      <c r="B15" s="90" t="s">
        <v>820</v>
      </c>
      <c r="C15" s="88"/>
      <c r="D15" s="80"/>
    </row>
    <row r="16" spans="1:4" ht="41.4" x14ac:dyDescent="0.3">
      <c r="A16" s="80" t="s">
        <v>801</v>
      </c>
      <c r="B16" s="92" t="s">
        <v>824</v>
      </c>
      <c r="C16" s="88"/>
      <c r="D16" s="80"/>
    </row>
    <row r="17" spans="1:4" ht="55.2" x14ac:dyDescent="0.3">
      <c r="A17" s="80" t="s">
        <v>801</v>
      </c>
      <c r="B17" s="92" t="s">
        <v>827</v>
      </c>
      <c r="C17" s="88"/>
      <c r="D17" s="80"/>
    </row>
    <row r="18" spans="1:4" ht="14.4" x14ac:dyDescent="0.3">
      <c r="A18" s="67" t="s">
        <v>801</v>
      </c>
      <c r="B18" s="83" t="s">
        <v>745</v>
      </c>
      <c r="C18" s="86"/>
      <c r="D18" s="86"/>
    </row>
    <row r="19" spans="1:4" ht="55.2" x14ac:dyDescent="0.3">
      <c r="A19" s="80" t="s">
        <v>801</v>
      </c>
      <c r="B19" s="92" t="s">
        <v>830</v>
      </c>
      <c r="C19" s="88"/>
      <c r="D19" s="80"/>
    </row>
    <row r="20" spans="1:4" ht="14.4" x14ac:dyDescent="0.3">
      <c r="A20" s="67" t="s">
        <v>801</v>
      </c>
      <c r="B20" s="83" t="s">
        <v>832</v>
      </c>
      <c r="C20" s="86"/>
      <c r="D20" s="86"/>
    </row>
    <row r="21" spans="1:4" ht="82.8" x14ac:dyDescent="0.3">
      <c r="A21" s="80" t="s">
        <v>801</v>
      </c>
      <c r="B21" s="92" t="s">
        <v>834</v>
      </c>
      <c r="C21" s="88"/>
      <c r="D21" s="80"/>
    </row>
    <row r="22" spans="1:4" ht="14.4" x14ac:dyDescent="0.3">
      <c r="A22" s="67" t="s">
        <v>836</v>
      </c>
      <c r="B22" s="83" t="s">
        <v>802</v>
      </c>
      <c r="C22" s="86"/>
      <c r="D22" s="86"/>
    </row>
    <row r="23" spans="1:4" ht="14.4" x14ac:dyDescent="0.3">
      <c r="A23" s="67" t="s">
        <v>836</v>
      </c>
      <c r="B23" s="83" t="s">
        <v>837</v>
      </c>
      <c r="C23" s="86"/>
      <c r="D23" s="86"/>
    </row>
    <row r="24" spans="1:4" ht="27.6" x14ac:dyDescent="0.3">
      <c r="A24" s="80" t="s">
        <v>836</v>
      </c>
      <c r="B24" s="92" t="s">
        <v>838</v>
      </c>
      <c r="C24" s="88"/>
      <c r="D24" s="88"/>
    </row>
    <row r="25" spans="1:4" ht="27.6" x14ac:dyDescent="0.3">
      <c r="A25" s="80" t="s">
        <v>836</v>
      </c>
      <c r="B25" s="92" t="s">
        <v>840</v>
      </c>
      <c r="C25" s="88"/>
      <c r="D25" s="88"/>
    </row>
    <row r="26" spans="1:4" ht="27.6" x14ac:dyDescent="0.3">
      <c r="A26" s="67" t="s">
        <v>836</v>
      </c>
      <c r="B26" s="83" t="s">
        <v>842</v>
      </c>
      <c r="C26" s="86"/>
      <c r="D26" s="86"/>
    </row>
    <row r="27" spans="1:4" ht="27.6" x14ac:dyDescent="0.3">
      <c r="A27" s="80" t="s">
        <v>836</v>
      </c>
      <c r="B27" s="92" t="s">
        <v>843</v>
      </c>
      <c r="C27" s="88"/>
      <c r="D27" s="88"/>
    </row>
    <row r="28" spans="1:4" ht="14.4" x14ac:dyDescent="0.3">
      <c r="A28" s="67" t="s">
        <v>836</v>
      </c>
      <c r="B28" s="83" t="s">
        <v>428</v>
      </c>
      <c r="C28" s="86"/>
      <c r="D28" s="86"/>
    </row>
    <row r="29" spans="1:4" ht="27.6" x14ac:dyDescent="0.3">
      <c r="A29" s="67" t="s">
        <v>836</v>
      </c>
      <c r="B29" s="83" t="s">
        <v>708</v>
      </c>
      <c r="C29" s="86"/>
      <c r="D29" s="86"/>
    </row>
    <row r="30" spans="1:4" ht="27.6" x14ac:dyDescent="0.3">
      <c r="A30" s="80" t="s">
        <v>836</v>
      </c>
      <c r="B30" s="92" t="s">
        <v>845</v>
      </c>
      <c r="C30" s="88"/>
      <c r="D30" s="88"/>
    </row>
    <row r="31" spans="1:4" ht="14.4" x14ac:dyDescent="0.3">
      <c r="A31" s="67" t="s">
        <v>836</v>
      </c>
      <c r="B31" s="83" t="s">
        <v>797</v>
      </c>
      <c r="C31" s="86"/>
      <c r="D31" s="86"/>
    </row>
    <row r="32" spans="1:4" ht="27.6" x14ac:dyDescent="0.3">
      <c r="A32" s="80" t="s">
        <v>836</v>
      </c>
      <c r="B32" s="92" t="s">
        <v>847</v>
      </c>
      <c r="C32" s="88"/>
      <c r="D32" s="88"/>
    </row>
    <row r="33" spans="1:4" ht="14.4" x14ac:dyDescent="0.3">
      <c r="A33" s="67" t="s">
        <v>836</v>
      </c>
      <c r="B33" s="83" t="s">
        <v>799</v>
      </c>
      <c r="C33" s="86"/>
      <c r="D33" s="86"/>
    </row>
    <row r="34" spans="1:4" ht="27.6" x14ac:dyDescent="0.3">
      <c r="A34" s="80" t="s">
        <v>836</v>
      </c>
      <c r="B34" s="92" t="s">
        <v>848</v>
      </c>
      <c r="C34" s="88"/>
      <c r="D34" s="88"/>
    </row>
    <row r="35" spans="1:4" ht="14.4" x14ac:dyDescent="0.3">
      <c r="A35" s="67" t="s">
        <v>836</v>
      </c>
      <c r="B35" s="83" t="s">
        <v>832</v>
      </c>
      <c r="C35" s="86"/>
      <c r="D35" s="86"/>
    </row>
    <row r="36" spans="1:4" ht="27.6" x14ac:dyDescent="0.3">
      <c r="A36" s="80" t="s">
        <v>836</v>
      </c>
      <c r="B36" s="92" t="s">
        <v>850</v>
      </c>
      <c r="C36" s="88"/>
      <c r="D36" s="88"/>
    </row>
    <row r="37" spans="1:4" ht="14.4" x14ac:dyDescent="0.3">
      <c r="A37" s="67" t="s">
        <v>851</v>
      </c>
      <c r="B37" s="83" t="s">
        <v>802</v>
      </c>
      <c r="C37" s="86"/>
      <c r="D37" s="86"/>
    </row>
    <row r="38" spans="1:4" ht="27.6" x14ac:dyDescent="0.3">
      <c r="A38" s="67" t="s">
        <v>851</v>
      </c>
      <c r="B38" s="83" t="s">
        <v>853</v>
      </c>
      <c r="C38" s="86"/>
      <c r="D38" s="86"/>
    </row>
    <row r="39" spans="1:4" ht="27.6" x14ac:dyDescent="0.3">
      <c r="A39" s="80" t="s">
        <v>851</v>
      </c>
      <c r="B39" s="92" t="s">
        <v>855</v>
      </c>
      <c r="C39" s="88"/>
      <c r="D39" s="88"/>
    </row>
    <row r="40" spans="1:4" ht="41.4" x14ac:dyDescent="0.3">
      <c r="A40" s="80" t="s">
        <v>851</v>
      </c>
      <c r="B40" s="92" t="s">
        <v>856</v>
      </c>
      <c r="C40" s="88"/>
      <c r="D40" s="88"/>
    </row>
    <row r="41" spans="1:4" ht="14.4" x14ac:dyDescent="0.3">
      <c r="A41" s="67" t="s">
        <v>851</v>
      </c>
      <c r="B41" s="83" t="s">
        <v>428</v>
      </c>
      <c r="C41" s="86"/>
      <c r="D41" s="86"/>
    </row>
    <row r="42" spans="1:4" ht="27.6" x14ac:dyDescent="0.3">
      <c r="A42" s="67" t="s">
        <v>851</v>
      </c>
      <c r="B42" s="83" t="s">
        <v>708</v>
      </c>
      <c r="C42" s="86"/>
      <c r="D42" s="86"/>
    </row>
    <row r="43" spans="1:4" ht="27.6" x14ac:dyDescent="0.3">
      <c r="A43" s="80" t="s">
        <v>851</v>
      </c>
      <c r="B43" s="92" t="s">
        <v>741</v>
      </c>
      <c r="C43" s="88"/>
      <c r="D43" s="88"/>
    </row>
    <row r="44" spans="1:4" ht="14.4" x14ac:dyDescent="0.3">
      <c r="A44" s="67" t="s">
        <v>851</v>
      </c>
      <c r="B44" s="83" t="s">
        <v>858</v>
      </c>
      <c r="C44" s="86"/>
      <c r="D44" s="86"/>
    </row>
    <row r="45" spans="1:4" ht="41.4" x14ac:dyDescent="0.3">
      <c r="A45" s="80" t="s">
        <v>851</v>
      </c>
      <c r="B45" s="92" t="s">
        <v>859</v>
      </c>
      <c r="C45" s="88"/>
      <c r="D45" s="88"/>
    </row>
    <row r="46" spans="1:4" ht="14.4" x14ac:dyDescent="0.3">
      <c r="A46" s="67" t="s">
        <v>851</v>
      </c>
      <c r="B46" s="83" t="s">
        <v>799</v>
      </c>
      <c r="C46" s="86"/>
      <c r="D46" s="86"/>
    </row>
    <row r="47" spans="1:4" ht="27.6" x14ac:dyDescent="0.3">
      <c r="A47" s="80" t="s">
        <v>851</v>
      </c>
      <c r="B47" s="90" t="s">
        <v>861</v>
      </c>
      <c r="C47" s="88"/>
      <c r="D47" s="88"/>
    </row>
    <row r="48" spans="1:4" ht="14.4" x14ac:dyDescent="0.3">
      <c r="A48" s="67" t="s">
        <v>851</v>
      </c>
      <c r="B48" s="83" t="s">
        <v>832</v>
      </c>
      <c r="C48" s="86"/>
      <c r="D48" s="86"/>
    </row>
    <row r="49" spans="1:4" ht="27.6" x14ac:dyDescent="0.3">
      <c r="A49" s="80" t="s">
        <v>851</v>
      </c>
      <c r="B49" s="90" t="s">
        <v>746</v>
      </c>
      <c r="C49" s="88"/>
      <c r="D49" s="88"/>
    </row>
    <row r="50" spans="1:4" ht="14.4" x14ac:dyDescent="0.3">
      <c r="A50" s="67" t="s">
        <v>863</v>
      </c>
      <c r="B50" s="83" t="s">
        <v>802</v>
      </c>
      <c r="C50" s="86"/>
      <c r="D50" s="86"/>
    </row>
    <row r="51" spans="1:4" ht="27.6" x14ac:dyDescent="0.3">
      <c r="A51" s="67" t="s">
        <v>863</v>
      </c>
      <c r="B51" s="83" t="s">
        <v>803</v>
      </c>
      <c r="C51" s="86"/>
      <c r="D51" s="86"/>
    </row>
    <row r="52" spans="1:4" ht="27.6" x14ac:dyDescent="0.3">
      <c r="A52" s="80" t="s">
        <v>863</v>
      </c>
      <c r="B52" s="90" t="s">
        <v>865</v>
      </c>
      <c r="C52" s="88"/>
      <c r="D52" s="88"/>
    </row>
    <row r="53" spans="1:4" ht="14.4" x14ac:dyDescent="0.3">
      <c r="A53" s="67" t="s">
        <v>863</v>
      </c>
      <c r="B53" s="83" t="s">
        <v>428</v>
      </c>
      <c r="C53" s="86"/>
      <c r="D53" s="86"/>
    </row>
    <row r="54" spans="1:4" ht="27.6" x14ac:dyDescent="0.3">
      <c r="A54" s="67" t="s">
        <v>863</v>
      </c>
      <c r="B54" s="83" t="s">
        <v>708</v>
      </c>
      <c r="C54" s="86"/>
      <c r="D54" s="86"/>
    </row>
    <row r="55" spans="1:4" ht="27.6" x14ac:dyDescent="0.3">
      <c r="A55" s="67" t="s">
        <v>863</v>
      </c>
      <c r="B55" s="83" t="s">
        <v>866</v>
      </c>
      <c r="C55" s="86"/>
      <c r="D55" s="86"/>
    </row>
    <row r="56" spans="1:4" ht="14.4" x14ac:dyDescent="0.3">
      <c r="A56" s="67" t="s">
        <v>863</v>
      </c>
      <c r="B56" s="83" t="s">
        <v>832</v>
      </c>
      <c r="C56" s="86"/>
      <c r="D56" s="86"/>
    </row>
    <row r="57" spans="1:4" ht="27.6" x14ac:dyDescent="0.3">
      <c r="A57" s="80" t="s">
        <v>863</v>
      </c>
      <c r="B57" s="90" t="s">
        <v>868</v>
      </c>
      <c r="C57" s="88"/>
      <c r="D57" s="88"/>
    </row>
    <row r="58" spans="1:4" ht="14.4" x14ac:dyDescent="0.3">
      <c r="A58" s="67" t="s">
        <v>869</v>
      </c>
      <c r="B58" s="83" t="s">
        <v>802</v>
      </c>
      <c r="C58" s="86"/>
      <c r="D58" s="86"/>
    </row>
    <row r="59" spans="1:4" ht="27.6" x14ac:dyDescent="0.3">
      <c r="A59" s="67" t="s">
        <v>869</v>
      </c>
      <c r="B59" s="83" t="s">
        <v>803</v>
      </c>
      <c r="C59" s="86"/>
      <c r="D59" s="86"/>
    </row>
    <row r="60" spans="1:4" ht="27.6" x14ac:dyDescent="0.3">
      <c r="A60" s="80" t="s">
        <v>869</v>
      </c>
      <c r="B60" s="90" t="s">
        <v>870</v>
      </c>
      <c r="C60" s="88"/>
      <c r="D60" s="88"/>
    </row>
    <row r="61" spans="1:4" ht="41.4" x14ac:dyDescent="0.3">
      <c r="A61" s="80" t="s">
        <v>869</v>
      </c>
      <c r="B61" s="90" t="s">
        <v>871</v>
      </c>
      <c r="C61" s="88"/>
      <c r="D61" s="88"/>
    </row>
    <row r="62" spans="1:4" ht="55.2" x14ac:dyDescent="0.3">
      <c r="A62" s="80" t="s">
        <v>869</v>
      </c>
      <c r="B62" s="90" t="s">
        <v>872</v>
      </c>
      <c r="C62" s="88"/>
      <c r="D62" s="88"/>
    </row>
    <row r="63" spans="1:4" ht="96.6" x14ac:dyDescent="0.3">
      <c r="A63" s="80" t="s">
        <v>869</v>
      </c>
      <c r="B63" s="90" t="s">
        <v>873</v>
      </c>
      <c r="C63" s="88"/>
      <c r="D63" s="88"/>
    </row>
    <row r="64" spans="1:4" ht="14.4" x14ac:dyDescent="0.3">
      <c r="A64" s="67" t="s">
        <v>869</v>
      </c>
      <c r="B64" s="83" t="s">
        <v>428</v>
      </c>
      <c r="C64" s="86"/>
      <c r="D64" s="86"/>
    </row>
    <row r="65" spans="1:4" ht="27.6" x14ac:dyDescent="0.3">
      <c r="A65" s="67" t="s">
        <v>869</v>
      </c>
      <c r="B65" s="83" t="s">
        <v>874</v>
      </c>
      <c r="C65" s="86"/>
      <c r="D65" s="86"/>
    </row>
    <row r="66" spans="1:4" ht="27.6" x14ac:dyDescent="0.3">
      <c r="A66" s="80" t="s">
        <v>869</v>
      </c>
      <c r="B66" s="90" t="s">
        <v>875</v>
      </c>
      <c r="C66" s="88"/>
      <c r="D66" s="88"/>
    </row>
    <row r="67" spans="1:4" ht="14.4" x14ac:dyDescent="0.3">
      <c r="A67" s="67" t="s">
        <v>869</v>
      </c>
      <c r="B67" s="83" t="s">
        <v>876</v>
      </c>
      <c r="C67" s="86"/>
      <c r="D67" s="86"/>
    </row>
    <row r="68" spans="1:4" ht="41.4" x14ac:dyDescent="0.3">
      <c r="A68" s="80" t="s">
        <v>869</v>
      </c>
      <c r="B68" s="90" t="s">
        <v>877</v>
      </c>
      <c r="C68" s="88"/>
      <c r="D68" s="88"/>
    </row>
    <row r="69" spans="1:4" ht="14.4" x14ac:dyDescent="0.3">
      <c r="A69" s="67" t="s">
        <v>869</v>
      </c>
      <c r="B69" s="83" t="s">
        <v>745</v>
      </c>
      <c r="C69" s="86"/>
      <c r="D69" s="86"/>
    </row>
    <row r="70" spans="1:4" ht="27.6" x14ac:dyDescent="0.3">
      <c r="A70" s="80" t="s">
        <v>869</v>
      </c>
      <c r="B70" s="90" t="s">
        <v>878</v>
      </c>
      <c r="C70" s="88"/>
      <c r="D70" s="88"/>
    </row>
    <row r="71" spans="1:4" ht="14.4" x14ac:dyDescent="0.3">
      <c r="A71" s="67" t="s">
        <v>869</v>
      </c>
      <c r="B71" s="83" t="s">
        <v>717</v>
      </c>
      <c r="C71" s="86"/>
      <c r="D71" s="86"/>
    </row>
    <row r="72" spans="1:4" ht="27.6" x14ac:dyDescent="0.3">
      <c r="A72" s="80" t="s">
        <v>869</v>
      </c>
      <c r="B72" s="90" t="s">
        <v>879</v>
      </c>
      <c r="C72" s="88"/>
      <c r="D72" s="88"/>
    </row>
    <row r="73" spans="1:4" ht="14.4" x14ac:dyDescent="0.3">
      <c r="A73" s="67" t="s">
        <v>880</v>
      </c>
      <c r="B73" s="83" t="s">
        <v>802</v>
      </c>
      <c r="C73" s="86"/>
      <c r="D73" s="86"/>
    </row>
    <row r="74" spans="1:4" ht="27.6" x14ac:dyDescent="0.3">
      <c r="A74" s="67" t="s">
        <v>880</v>
      </c>
      <c r="B74" s="83" t="s">
        <v>803</v>
      </c>
      <c r="C74" s="86"/>
      <c r="D74" s="86"/>
    </row>
    <row r="75" spans="1:4" ht="27.6" x14ac:dyDescent="0.3">
      <c r="A75" s="80" t="s">
        <v>880</v>
      </c>
      <c r="B75" s="90" t="s">
        <v>881</v>
      </c>
      <c r="C75" s="88"/>
      <c r="D75" s="88"/>
    </row>
    <row r="76" spans="1:4" ht="14.4" x14ac:dyDescent="0.3">
      <c r="A76" s="67" t="s">
        <v>880</v>
      </c>
      <c r="B76" s="83" t="s">
        <v>428</v>
      </c>
      <c r="C76" s="86"/>
      <c r="D76" s="86"/>
    </row>
    <row r="77" spans="1:4" ht="27.6" x14ac:dyDescent="0.3">
      <c r="A77" s="67" t="s">
        <v>880</v>
      </c>
      <c r="B77" s="83" t="s">
        <v>874</v>
      </c>
      <c r="C77" s="86"/>
      <c r="D77" s="86"/>
    </row>
    <row r="78" spans="1:4" ht="27.6" x14ac:dyDescent="0.3">
      <c r="A78" s="67" t="s">
        <v>880</v>
      </c>
      <c r="B78" s="83" t="s">
        <v>866</v>
      </c>
      <c r="C78" s="86"/>
      <c r="D78" s="86"/>
    </row>
    <row r="79" spans="1:4" ht="14.4" x14ac:dyDescent="0.3">
      <c r="A79" s="67" t="s">
        <v>880</v>
      </c>
      <c r="B79" s="83" t="s">
        <v>832</v>
      </c>
      <c r="C79" s="86"/>
      <c r="D79" s="86"/>
    </row>
    <row r="80" spans="1:4" ht="27.6" x14ac:dyDescent="0.3">
      <c r="A80" s="80" t="s">
        <v>880</v>
      </c>
      <c r="B80" s="90" t="s">
        <v>793</v>
      </c>
      <c r="C80" s="88"/>
      <c r="D80" s="88"/>
    </row>
    <row r="81" spans="1:4" ht="14.4" x14ac:dyDescent="0.3">
      <c r="A81" s="67" t="s">
        <v>882</v>
      </c>
      <c r="B81" s="83" t="s">
        <v>802</v>
      </c>
      <c r="C81" s="86"/>
      <c r="D81" s="86"/>
    </row>
    <row r="82" spans="1:4" ht="27.6" x14ac:dyDescent="0.3">
      <c r="A82" s="67" t="s">
        <v>882</v>
      </c>
      <c r="B82" s="83" t="s">
        <v>883</v>
      </c>
      <c r="C82" s="86"/>
      <c r="D82" s="86"/>
    </row>
    <row r="83" spans="1:4" ht="14.4" x14ac:dyDescent="0.3">
      <c r="A83" s="80" t="s">
        <v>882</v>
      </c>
      <c r="B83" s="90" t="s">
        <v>884</v>
      </c>
      <c r="C83" s="88"/>
      <c r="D83" s="88"/>
    </row>
    <row r="84" spans="1:4" ht="27.6" x14ac:dyDescent="0.3">
      <c r="A84" s="96" t="s">
        <v>882</v>
      </c>
      <c r="B84" s="97" t="s">
        <v>885</v>
      </c>
      <c r="C84" s="96"/>
      <c r="D84" s="96"/>
    </row>
    <row r="85" spans="1:4" ht="14.4" x14ac:dyDescent="0.3">
      <c r="A85" s="80" t="s">
        <v>882</v>
      </c>
      <c r="B85" s="90" t="s">
        <v>886</v>
      </c>
      <c r="C85" s="88"/>
      <c r="D85" s="88"/>
    </row>
    <row r="86" spans="1:4" ht="27.6" x14ac:dyDescent="0.3">
      <c r="A86" s="80" t="s">
        <v>882</v>
      </c>
      <c r="B86" s="90" t="s">
        <v>887</v>
      </c>
      <c r="C86" s="88"/>
      <c r="D86" s="88"/>
    </row>
    <row r="87" spans="1:4" ht="14.4" x14ac:dyDescent="0.3">
      <c r="A87" s="67" t="s">
        <v>882</v>
      </c>
      <c r="B87" s="83" t="s">
        <v>428</v>
      </c>
      <c r="C87" s="86"/>
      <c r="D87" s="86"/>
    </row>
    <row r="88" spans="1:4" ht="27.6" x14ac:dyDescent="0.3">
      <c r="A88" s="67" t="s">
        <v>882</v>
      </c>
      <c r="B88" s="83" t="s">
        <v>874</v>
      </c>
      <c r="C88" s="86"/>
      <c r="D88" s="86"/>
    </row>
    <row r="89" spans="1:4" ht="27.6" x14ac:dyDescent="0.3">
      <c r="A89" s="67" t="s">
        <v>882</v>
      </c>
      <c r="B89" s="83" t="s">
        <v>866</v>
      </c>
      <c r="C89" s="86"/>
      <c r="D89" s="86"/>
    </row>
    <row r="90" spans="1:4" ht="14.4" x14ac:dyDescent="0.3">
      <c r="A90" s="67" t="s">
        <v>882</v>
      </c>
      <c r="B90" s="83" t="s">
        <v>832</v>
      </c>
      <c r="C90" s="86"/>
      <c r="D90" s="86"/>
    </row>
    <row r="91" spans="1:4" ht="14.4" x14ac:dyDescent="0.3">
      <c r="A91" s="80" t="s">
        <v>882</v>
      </c>
      <c r="B91" s="90" t="s">
        <v>888</v>
      </c>
      <c r="C91" s="88"/>
      <c r="D91" s="88"/>
    </row>
    <row r="92" spans="1:4" ht="14.4" x14ac:dyDescent="0.3">
      <c r="A92" s="2"/>
      <c r="B92" s="98"/>
      <c r="C92" s="2"/>
      <c r="D92" s="2"/>
    </row>
    <row r="93" spans="1:4" ht="14.4" x14ac:dyDescent="0.3">
      <c r="A93" s="2"/>
      <c r="B93" s="98"/>
      <c r="C93" s="2"/>
      <c r="D93" s="2"/>
    </row>
    <row r="94" spans="1:4" ht="14.4" x14ac:dyDescent="0.3">
      <c r="A94" s="2"/>
      <c r="B94" s="15" t="s">
        <v>75</v>
      </c>
      <c r="C94" s="2">
        <f>COUNTIF($C$5:$C$91,"C")</f>
        <v>1</v>
      </c>
      <c r="D94" s="2"/>
    </row>
    <row r="95" spans="1:4" ht="14.4" x14ac:dyDescent="0.3">
      <c r="A95" s="2"/>
      <c r="B95" s="15" t="s">
        <v>81</v>
      </c>
      <c r="C95" s="2">
        <f>COUNTIF($C$5:$C$91,"NC")</f>
        <v>1</v>
      </c>
      <c r="D95" s="2"/>
    </row>
    <row r="96" spans="1:4" ht="14.4" x14ac:dyDescent="0.3">
      <c r="A96" s="2"/>
      <c r="B96" s="15" t="s">
        <v>84</v>
      </c>
      <c r="C96" s="2">
        <f>COUNTIF($C$5:$C$91,"NA")</f>
        <v>1</v>
      </c>
      <c r="D96" s="2"/>
    </row>
  </sheetData>
  <autoFilter ref="A4:D91" xr:uid="{00000000-0009-0000-0000-00000A000000}"/>
  <conditionalFormatting sqref="C7:C9 C15:C17 C19 C21 C24:C25 C27 C30 C32 C34 C39:C40 C43 C45 C47 C49 C52 C57 C60:C63 C66 C68 C70 C72 C75 C80 C83 C85:C86 C91">
    <cfRule type="beginsWith" dxfId="110" priority="1" operator="beginsWith" text="C">
      <formula>LEFT((C7),LEN("C"))=("C")</formula>
    </cfRule>
    <cfRule type="beginsWith" dxfId="109" priority="2" operator="beginsWith" text="NC">
      <formula>LEFT((C7),LEN("NC"))=("NC")</formula>
    </cfRule>
    <cfRule type="beginsWith" dxfId="108" priority="3" operator="beginsWith" text="NA">
      <formula>LEFT((C7),LEN("NA"))=("NA")</formula>
    </cfRule>
  </conditionalFormatting>
  <dataValidations count="1">
    <dataValidation type="list" allowBlank="1" sqref="C7:C9 C15:C17 C19 C21 C24:C25 C27 C30 C32 C34 C39:C40 C43 C45 C47 C49 C52 C57 C60:C63 C66 C68 C70 C72 C75 C80 C83 C85:C86 C91" xr:uid="{00000000-0002-0000-0A00-000000000000}">
      <formula1>"C,NC,NA"</formula1>
    </dataValidation>
  </dataValidations>
  <hyperlinks>
    <hyperlink ref="B1" location="'Tabla de contenido'!A1" display="VOLVER A TABLA DE CONTENIDO" xr:uid="{00000000-0004-0000-0A00-000000000000}"/>
  </hyperlink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9000"/>
  </sheetPr>
  <dimension ref="A1:D86"/>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59.44140625" customWidth="1"/>
    <col min="3" max="3" width="14.44140625" customWidth="1"/>
    <col min="4" max="4" width="42.109375" customWidth="1" outlineLevel="1"/>
    <col min="5" max="5" width="2.109375" customWidth="1"/>
    <col min="6" max="6" width="14.44140625" customWidth="1"/>
  </cols>
  <sheetData>
    <row r="1" spans="1:4" ht="14.4" x14ac:dyDescent="0.3">
      <c r="A1" s="269"/>
      <c r="B1" s="270" t="s">
        <v>0</v>
      </c>
      <c r="C1" s="269"/>
      <c r="D1" s="269"/>
    </row>
    <row r="2" spans="1:4" ht="14.4" x14ac:dyDescent="0.3">
      <c r="A2" s="74"/>
      <c r="B2" s="75" t="s">
        <v>697</v>
      </c>
      <c r="C2" s="76"/>
      <c r="D2" s="77"/>
    </row>
    <row r="3" spans="1:4" ht="14.4" x14ac:dyDescent="0.3">
      <c r="A3" s="5"/>
      <c r="B3" s="99" t="s">
        <v>889</v>
      </c>
      <c r="C3" s="100"/>
      <c r="D3" s="51"/>
    </row>
    <row r="4" spans="1:4" ht="14.4" x14ac:dyDescent="0.3">
      <c r="A4" s="5" t="s">
        <v>7</v>
      </c>
      <c r="B4" s="99" t="s">
        <v>9</v>
      </c>
      <c r="C4" s="101" t="s">
        <v>10</v>
      </c>
      <c r="D4" s="5" t="s">
        <v>11</v>
      </c>
    </row>
    <row r="5" spans="1:4" ht="14.4" x14ac:dyDescent="0.3">
      <c r="A5" s="11" t="s">
        <v>890</v>
      </c>
      <c r="B5" s="102" t="s">
        <v>700</v>
      </c>
      <c r="C5" s="103"/>
      <c r="D5" s="103"/>
    </row>
    <row r="6" spans="1:4" ht="27.6" x14ac:dyDescent="0.3">
      <c r="A6" s="11" t="s">
        <v>890</v>
      </c>
      <c r="B6" s="12" t="s">
        <v>891</v>
      </c>
      <c r="C6" s="103"/>
      <c r="D6" s="103"/>
    </row>
    <row r="7" spans="1:4" ht="27.6" x14ac:dyDescent="0.3">
      <c r="A7" s="104" t="s">
        <v>890</v>
      </c>
      <c r="B7" s="37" t="s">
        <v>892</v>
      </c>
      <c r="C7" s="9" t="s">
        <v>16</v>
      </c>
      <c r="D7" s="52"/>
    </row>
    <row r="8" spans="1:4" ht="14.4" x14ac:dyDescent="0.3">
      <c r="A8" s="104" t="s">
        <v>890</v>
      </c>
      <c r="B8" s="37" t="s">
        <v>893</v>
      </c>
      <c r="C8" s="9" t="s">
        <v>20</v>
      </c>
      <c r="D8" s="52"/>
    </row>
    <row r="9" spans="1:4" ht="14.4" x14ac:dyDescent="0.3">
      <c r="A9" s="11" t="s">
        <v>890</v>
      </c>
      <c r="B9" s="102" t="s">
        <v>894</v>
      </c>
      <c r="C9" s="103"/>
      <c r="D9" s="103"/>
    </row>
    <row r="10" spans="1:4" ht="41.4" x14ac:dyDescent="0.3">
      <c r="A10" s="104" t="s">
        <v>890</v>
      </c>
      <c r="B10" s="37" t="s">
        <v>895</v>
      </c>
      <c r="C10" s="9" t="s">
        <v>24</v>
      </c>
      <c r="D10" s="52"/>
    </row>
    <row r="11" spans="1:4" ht="69" x14ac:dyDescent="0.3">
      <c r="A11" s="104" t="s">
        <v>890</v>
      </c>
      <c r="B11" s="37" t="s">
        <v>896</v>
      </c>
      <c r="C11" s="9"/>
      <c r="D11" s="52"/>
    </row>
    <row r="12" spans="1:4" ht="14.4" x14ac:dyDescent="0.3">
      <c r="A12" s="11" t="s">
        <v>897</v>
      </c>
      <c r="B12" s="12" t="s">
        <v>700</v>
      </c>
      <c r="C12" s="103"/>
      <c r="D12" s="103"/>
    </row>
    <row r="13" spans="1:4" ht="14.4" x14ac:dyDescent="0.3">
      <c r="A13" s="11" t="s">
        <v>897</v>
      </c>
      <c r="B13" s="12" t="s">
        <v>720</v>
      </c>
      <c r="C13" s="103"/>
      <c r="D13" s="103"/>
    </row>
    <row r="14" spans="1:4" ht="27.6" x14ac:dyDescent="0.3">
      <c r="A14" s="104" t="s">
        <v>897</v>
      </c>
      <c r="B14" s="37" t="s">
        <v>898</v>
      </c>
      <c r="C14" s="9"/>
      <c r="D14" s="52"/>
    </row>
    <row r="15" spans="1:4" ht="41.4" x14ac:dyDescent="0.3">
      <c r="A15" s="104" t="s">
        <v>897</v>
      </c>
      <c r="B15" s="37" t="s">
        <v>899</v>
      </c>
      <c r="C15" s="9"/>
      <c r="D15" s="52"/>
    </row>
    <row r="16" spans="1:4" ht="27.6" x14ac:dyDescent="0.3">
      <c r="A16" s="104" t="s">
        <v>897</v>
      </c>
      <c r="B16" s="37" t="s">
        <v>900</v>
      </c>
      <c r="C16" s="9"/>
      <c r="D16" s="52"/>
    </row>
    <row r="17" spans="1:4" ht="27.6" x14ac:dyDescent="0.3">
      <c r="A17" s="104" t="s">
        <v>897</v>
      </c>
      <c r="B17" s="37" t="s">
        <v>901</v>
      </c>
      <c r="C17" s="9"/>
      <c r="D17" s="52"/>
    </row>
    <row r="18" spans="1:4" ht="14.4" x14ac:dyDescent="0.3">
      <c r="A18" s="104" t="s">
        <v>897</v>
      </c>
      <c r="B18" s="37" t="s">
        <v>902</v>
      </c>
      <c r="C18" s="9"/>
      <c r="D18" s="52"/>
    </row>
    <row r="19" spans="1:4" ht="27.6" x14ac:dyDescent="0.3">
      <c r="A19" s="104" t="s">
        <v>897</v>
      </c>
      <c r="B19" s="37" t="s">
        <v>903</v>
      </c>
      <c r="C19" s="9"/>
      <c r="D19" s="52"/>
    </row>
    <row r="20" spans="1:4" ht="14.4" x14ac:dyDescent="0.3">
      <c r="A20" s="104" t="s">
        <v>897</v>
      </c>
      <c r="B20" s="37" t="s">
        <v>904</v>
      </c>
      <c r="C20" s="9"/>
      <c r="D20" s="52"/>
    </row>
    <row r="21" spans="1:4" ht="27.6" x14ac:dyDescent="0.3">
      <c r="A21" s="104" t="s">
        <v>897</v>
      </c>
      <c r="B21" s="37" t="s">
        <v>905</v>
      </c>
      <c r="C21" s="9"/>
      <c r="D21" s="52"/>
    </row>
    <row r="22" spans="1:4" ht="14.4" x14ac:dyDescent="0.3">
      <c r="A22" s="104" t="s">
        <v>897</v>
      </c>
      <c r="B22" s="37" t="s">
        <v>906</v>
      </c>
      <c r="C22" s="9"/>
      <c r="D22" s="52"/>
    </row>
    <row r="23" spans="1:4" ht="55.2" x14ac:dyDescent="0.3">
      <c r="A23" s="104" t="s">
        <v>897</v>
      </c>
      <c r="B23" s="37" t="s">
        <v>907</v>
      </c>
      <c r="C23" s="9"/>
      <c r="D23" s="52"/>
    </row>
    <row r="24" spans="1:4" ht="41.4" x14ac:dyDescent="0.3">
      <c r="A24" s="104" t="s">
        <v>897</v>
      </c>
      <c r="B24" s="37" t="s">
        <v>908</v>
      </c>
      <c r="C24" s="9"/>
      <c r="D24" s="52"/>
    </row>
    <row r="25" spans="1:4" ht="14.4" x14ac:dyDescent="0.3">
      <c r="A25" s="104" t="s">
        <v>897</v>
      </c>
      <c r="B25" s="37" t="s">
        <v>909</v>
      </c>
      <c r="C25" s="9"/>
      <c r="D25" s="52"/>
    </row>
    <row r="26" spans="1:4" ht="14.4" x14ac:dyDescent="0.3">
      <c r="A26" s="11" t="s">
        <v>897</v>
      </c>
      <c r="B26" s="12" t="s">
        <v>910</v>
      </c>
      <c r="C26" s="103"/>
      <c r="D26" s="103"/>
    </row>
    <row r="27" spans="1:4" ht="14.4" x14ac:dyDescent="0.3">
      <c r="A27" s="104" t="s">
        <v>897</v>
      </c>
      <c r="B27" s="37" t="s">
        <v>911</v>
      </c>
      <c r="C27" s="9"/>
      <c r="D27" s="52"/>
    </row>
    <row r="28" spans="1:4" ht="14.4" x14ac:dyDescent="0.3">
      <c r="A28" s="104" t="s">
        <v>897</v>
      </c>
      <c r="B28" s="37" t="s">
        <v>912</v>
      </c>
      <c r="C28" s="9"/>
      <c r="D28" s="52"/>
    </row>
    <row r="29" spans="1:4" ht="41.4" x14ac:dyDescent="0.3">
      <c r="A29" s="104" t="s">
        <v>897</v>
      </c>
      <c r="B29" s="37" t="s">
        <v>913</v>
      </c>
      <c r="C29" s="9"/>
      <c r="D29" s="52"/>
    </row>
    <row r="30" spans="1:4" ht="27.6" x14ac:dyDescent="0.3">
      <c r="A30" s="104" t="s">
        <v>897</v>
      </c>
      <c r="B30" s="37" t="s">
        <v>914</v>
      </c>
      <c r="C30" s="9"/>
      <c r="D30" s="52"/>
    </row>
    <row r="31" spans="1:4" ht="14.4" x14ac:dyDescent="0.3">
      <c r="A31" s="104" t="s">
        <v>897</v>
      </c>
      <c r="B31" s="37" t="s">
        <v>915</v>
      </c>
      <c r="C31" s="9"/>
      <c r="D31" s="52"/>
    </row>
    <row r="32" spans="1:4" ht="27.6" x14ac:dyDescent="0.3">
      <c r="A32" s="104" t="s">
        <v>897</v>
      </c>
      <c r="B32" s="37" t="s">
        <v>917</v>
      </c>
      <c r="C32" s="9"/>
      <c r="D32" s="52"/>
    </row>
    <row r="33" spans="1:4" ht="14.4" x14ac:dyDescent="0.3">
      <c r="A33" s="104" t="s">
        <v>897</v>
      </c>
      <c r="B33" s="37" t="s">
        <v>918</v>
      </c>
      <c r="C33" s="9"/>
      <c r="D33" s="52"/>
    </row>
    <row r="34" spans="1:4" ht="55.2" x14ac:dyDescent="0.3">
      <c r="A34" s="104" t="s">
        <v>897</v>
      </c>
      <c r="B34" s="37" t="s">
        <v>921</v>
      </c>
      <c r="C34" s="9"/>
      <c r="D34" s="52"/>
    </row>
    <row r="35" spans="1:4" ht="41.4" x14ac:dyDescent="0.3">
      <c r="A35" s="104" t="s">
        <v>897</v>
      </c>
      <c r="B35" s="37" t="s">
        <v>924</v>
      </c>
      <c r="C35" s="9"/>
      <c r="D35" s="52"/>
    </row>
    <row r="36" spans="1:4" ht="14.4" x14ac:dyDescent="0.3">
      <c r="A36" s="104" t="s">
        <v>897</v>
      </c>
      <c r="B36" s="37" t="s">
        <v>925</v>
      </c>
      <c r="C36" s="9"/>
      <c r="D36" s="52"/>
    </row>
    <row r="37" spans="1:4" ht="14.4" x14ac:dyDescent="0.3">
      <c r="A37" s="11" t="s">
        <v>897</v>
      </c>
      <c r="B37" s="12" t="s">
        <v>928</v>
      </c>
      <c r="C37" s="103"/>
      <c r="D37" s="103"/>
    </row>
    <row r="38" spans="1:4" ht="14.4" x14ac:dyDescent="0.3">
      <c r="A38" s="104" t="s">
        <v>897</v>
      </c>
      <c r="B38" s="37" t="s">
        <v>931</v>
      </c>
      <c r="C38" s="9"/>
      <c r="D38" s="52"/>
    </row>
    <row r="39" spans="1:4" ht="14.4" x14ac:dyDescent="0.3">
      <c r="A39" s="104" t="s">
        <v>897</v>
      </c>
      <c r="B39" s="37" t="s">
        <v>934</v>
      </c>
      <c r="C39" s="9"/>
      <c r="D39" s="52"/>
    </row>
    <row r="40" spans="1:4" ht="27.6" x14ac:dyDescent="0.3">
      <c r="A40" s="11" t="s">
        <v>897</v>
      </c>
      <c r="B40" s="12" t="s">
        <v>842</v>
      </c>
      <c r="C40" s="103"/>
      <c r="D40" s="103"/>
    </row>
    <row r="41" spans="1:4" ht="41.4" x14ac:dyDescent="0.3">
      <c r="A41" s="104" t="s">
        <v>897</v>
      </c>
      <c r="B41" s="37" t="s">
        <v>939</v>
      </c>
      <c r="C41" s="9"/>
      <c r="D41" s="52"/>
    </row>
    <row r="42" spans="1:4" ht="14.4" x14ac:dyDescent="0.3">
      <c r="A42" s="104" t="s">
        <v>897</v>
      </c>
      <c r="B42" s="37" t="s">
        <v>942</v>
      </c>
      <c r="C42" s="9"/>
      <c r="D42" s="52"/>
    </row>
    <row r="43" spans="1:4" ht="55.2" x14ac:dyDescent="0.3">
      <c r="A43" s="104" t="s">
        <v>897</v>
      </c>
      <c r="B43" s="37" t="s">
        <v>945</v>
      </c>
      <c r="C43" s="9"/>
      <c r="D43" s="52"/>
    </row>
    <row r="44" spans="1:4" ht="41.4" x14ac:dyDescent="0.3">
      <c r="A44" s="104" t="s">
        <v>897</v>
      </c>
      <c r="B44" s="37" t="s">
        <v>948</v>
      </c>
      <c r="C44" s="9"/>
      <c r="D44" s="52"/>
    </row>
    <row r="45" spans="1:4" ht="14.4" x14ac:dyDescent="0.3">
      <c r="A45" s="104" t="s">
        <v>897</v>
      </c>
      <c r="B45" s="37" t="s">
        <v>953</v>
      </c>
      <c r="C45" s="9"/>
      <c r="D45" s="52"/>
    </row>
    <row r="46" spans="1:4" ht="14.4" x14ac:dyDescent="0.3">
      <c r="A46" s="11" t="s">
        <v>955</v>
      </c>
      <c r="B46" s="12" t="s">
        <v>700</v>
      </c>
      <c r="C46" s="103"/>
      <c r="D46" s="103"/>
    </row>
    <row r="47" spans="1:4" ht="14.4" x14ac:dyDescent="0.3">
      <c r="A47" s="11" t="s">
        <v>955</v>
      </c>
      <c r="B47" s="12" t="s">
        <v>720</v>
      </c>
      <c r="C47" s="103"/>
      <c r="D47" s="103"/>
    </row>
    <row r="48" spans="1:4" ht="27.6" x14ac:dyDescent="0.3">
      <c r="A48" s="104" t="s">
        <v>955</v>
      </c>
      <c r="B48" s="37" t="s">
        <v>960</v>
      </c>
      <c r="C48" s="9"/>
      <c r="D48" s="52"/>
    </row>
    <row r="49" spans="1:4" ht="27.6" x14ac:dyDescent="0.3">
      <c r="A49" s="104" t="s">
        <v>955</v>
      </c>
      <c r="B49" s="37" t="s">
        <v>964</v>
      </c>
      <c r="C49" s="9"/>
      <c r="D49" s="52"/>
    </row>
    <row r="50" spans="1:4" ht="55.2" x14ac:dyDescent="0.3">
      <c r="A50" s="104" t="s">
        <v>955</v>
      </c>
      <c r="B50" s="37" t="s">
        <v>968</v>
      </c>
      <c r="C50" s="9"/>
      <c r="D50" s="52"/>
    </row>
    <row r="51" spans="1:4" ht="55.2" x14ac:dyDescent="0.3">
      <c r="A51" s="104" t="s">
        <v>955</v>
      </c>
      <c r="B51" s="37" t="s">
        <v>972</v>
      </c>
      <c r="C51" s="9"/>
      <c r="D51" s="52"/>
    </row>
    <row r="52" spans="1:4" ht="27.6" x14ac:dyDescent="0.3">
      <c r="A52" s="11" t="s">
        <v>955</v>
      </c>
      <c r="B52" s="12" t="s">
        <v>842</v>
      </c>
      <c r="C52" s="103"/>
      <c r="D52" s="103"/>
    </row>
    <row r="53" spans="1:4" ht="27.6" x14ac:dyDescent="0.3">
      <c r="A53" s="104" t="s">
        <v>955</v>
      </c>
      <c r="B53" s="37" t="s">
        <v>978</v>
      </c>
      <c r="C53" s="9"/>
      <c r="D53" s="52"/>
    </row>
    <row r="54" spans="1:4" ht="41.4" x14ac:dyDescent="0.3">
      <c r="A54" s="104" t="s">
        <v>955</v>
      </c>
      <c r="B54" s="37" t="s">
        <v>982</v>
      </c>
      <c r="C54" s="9"/>
      <c r="D54" s="52"/>
    </row>
    <row r="55" spans="1:4" ht="27.6" x14ac:dyDescent="0.3">
      <c r="A55" s="104" t="s">
        <v>955</v>
      </c>
      <c r="B55" s="37" t="s">
        <v>987</v>
      </c>
      <c r="C55" s="9"/>
      <c r="D55" s="52"/>
    </row>
    <row r="56" spans="1:4" ht="41.4" x14ac:dyDescent="0.3">
      <c r="A56" s="104" t="s">
        <v>955</v>
      </c>
      <c r="B56" s="37" t="s">
        <v>989</v>
      </c>
      <c r="C56" s="9"/>
      <c r="D56" s="52"/>
    </row>
    <row r="57" spans="1:4" ht="14.4" x14ac:dyDescent="0.3">
      <c r="A57" s="11" t="s">
        <v>992</v>
      </c>
      <c r="B57" s="12" t="s">
        <v>700</v>
      </c>
      <c r="C57" s="103"/>
      <c r="D57" s="103"/>
    </row>
    <row r="58" spans="1:4" ht="27.6" x14ac:dyDescent="0.3">
      <c r="A58" s="11" t="s">
        <v>992</v>
      </c>
      <c r="B58" s="12" t="s">
        <v>995</v>
      </c>
      <c r="C58" s="103"/>
      <c r="D58" s="103"/>
    </row>
    <row r="59" spans="1:4" ht="27.6" x14ac:dyDescent="0.3">
      <c r="A59" s="111" t="s">
        <v>992</v>
      </c>
      <c r="B59" s="37" t="s">
        <v>1002</v>
      </c>
      <c r="C59" s="9"/>
      <c r="D59" s="52"/>
    </row>
    <row r="60" spans="1:4" ht="41.4" x14ac:dyDescent="0.3">
      <c r="A60" s="111" t="s">
        <v>992</v>
      </c>
      <c r="B60" s="37" t="s">
        <v>1005</v>
      </c>
      <c r="C60" s="9"/>
      <c r="D60" s="52"/>
    </row>
    <row r="61" spans="1:4" ht="14.4" x14ac:dyDescent="0.3">
      <c r="A61" s="11" t="s">
        <v>1008</v>
      </c>
      <c r="B61" s="12" t="s">
        <v>700</v>
      </c>
      <c r="C61" s="103"/>
      <c r="D61" s="103"/>
    </row>
    <row r="62" spans="1:4" ht="14.4" x14ac:dyDescent="0.3">
      <c r="A62" s="11" t="s">
        <v>1008</v>
      </c>
      <c r="B62" s="12" t="s">
        <v>720</v>
      </c>
      <c r="C62" s="103"/>
      <c r="D62" s="103"/>
    </row>
    <row r="63" spans="1:4" ht="41.4" x14ac:dyDescent="0.3">
      <c r="A63" s="104" t="s">
        <v>1008</v>
      </c>
      <c r="B63" s="37" t="s">
        <v>1014</v>
      </c>
      <c r="C63" s="9"/>
      <c r="D63" s="52"/>
    </row>
    <row r="64" spans="1:4" ht="14.4" x14ac:dyDescent="0.3">
      <c r="A64" s="104" t="s">
        <v>1008</v>
      </c>
      <c r="B64" s="37" t="s">
        <v>1016</v>
      </c>
      <c r="C64" s="9"/>
      <c r="D64" s="52"/>
    </row>
    <row r="65" spans="1:4" ht="41.4" x14ac:dyDescent="0.3">
      <c r="A65" s="104" t="s">
        <v>1008</v>
      </c>
      <c r="B65" s="37" t="s">
        <v>1018</v>
      </c>
      <c r="C65" s="9"/>
      <c r="D65" s="52"/>
    </row>
    <row r="66" spans="1:4" ht="14.4" x14ac:dyDescent="0.3">
      <c r="A66" s="104" t="s">
        <v>1008</v>
      </c>
      <c r="B66" s="37" t="s">
        <v>1020</v>
      </c>
      <c r="C66" s="9"/>
      <c r="D66" s="52"/>
    </row>
    <row r="67" spans="1:4" ht="27.6" x14ac:dyDescent="0.3">
      <c r="A67" s="104" t="s">
        <v>1008</v>
      </c>
      <c r="B67" s="37" t="s">
        <v>1022</v>
      </c>
      <c r="C67" s="9"/>
      <c r="D67" s="52"/>
    </row>
    <row r="68" spans="1:4" ht="27.6" x14ac:dyDescent="0.3">
      <c r="A68" s="104" t="s">
        <v>1008</v>
      </c>
      <c r="B68" s="37" t="s">
        <v>1024</v>
      </c>
      <c r="C68" s="9"/>
      <c r="D68" s="52"/>
    </row>
    <row r="69" spans="1:4" ht="14.4" x14ac:dyDescent="0.3">
      <c r="A69" s="104" t="s">
        <v>1008</v>
      </c>
      <c r="B69" s="37" t="s">
        <v>1026</v>
      </c>
      <c r="C69" s="9"/>
      <c r="D69" s="52"/>
    </row>
    <row r="70" spans="1:4" ht="27.6" x14ac:dyDescent="0.3">
      <c r="A70" s="11" t="s">
        <v>1008</v>
      </c>
      <c r="B70" s="12" t="s">
        <v>842</v>
      </c>
      <c r="C70" s="103"/>
      <c r="D70" s="103"/>
    </row>
    <row r="71" spans="1:4" ht="27.6" x14ac:dyDescent="0.3">
      <c r="A71" s="104" t="s">
        <v>1008</v>
      </c>
      <c r="B71" s="37" t="s">
        <v>1029</v>
      </c>
      <c r="C71" s="9"/>
      <c r="D71" s="52"/>
    </row>
    <row r="72" spans="1:4" ht="55.2" x14ac:dyDescent="0.3">
      <c r="A72" s="104" t="s">
        <v>1008</v>
      </c>
      <c r="B72" s="37" t="s">
        <v>1031</v>
      </c>
      <c r="C72" s="9"/>
      <c r="D72" s="52"/>
    </row>
    <row r="73" spans="1:4" ht="14.4" x14ac:dyDescent="0.3">
      <c r="A73" s="11" t="s">
        <v>1032</v>
      </c>
      <c r="B73" s="12" t="s">
        <v>700</v>
      </c>
      <c r="C73" s="103"/>
      <c r="D73" s="103"/>
    </row>
    <row r="74" spans="1:4" ht="27.6" x14ac:dyDescent="0.3">
      <c r="A74" s="11" t="s">
        <v>1032</v>
      </c>
      <c r="B74" s="12" t="s">
        <v>995</v>
      </c>
      <c r="C74" s="103"/>
      <c r="D74" s="103"/>
    </row>
    <row r="75" spans="1:4" ht="27.6" x14ac:dyDescent="0.3">
      <c r="A75" s="104" t="s">
        <v>1032</v>
      </c>
      <c r="B75" s="37" t="s">
        <v>1035</v>
      </c>
      <c r="C75" s="9"/>
      <c r="D75" s="52"/>
    </row>
    <row r="76" spans="1:4" ht="27.6" x14ac:dyDescent="0.3">
      <c r="A76" s="104" t="s">
        <v>1032</v>
      </c>
      <c r="B76" s="37" t="s">
        <v>1036</v>
      </c>
      <c r="C76" s="9"/>
      <c r="D76" s="52"/>
    </row>
    <row r="77" spans="1:4" ht="27.6" x14ac:dyDescent="0.3">
      <c r="A77" s="104" t="s">
        <v>1032</v>
      </c>
      <c r="B77" s="37" t="s">
        <v>1037</v>
      </c>
      <c r="C77" s="9"/>
      <c r="D77" s="52"/>
    </row>
    <row r="78" spans="1:4" ht="41.4" x14ac:dyDescent="0.3">
      <c r="A78" s="104" t="s">
        <v>1032</v>
      </c>
      <c r="B78" s="37" t="s">
        <v>1039</v>
      </c>
      <c r="C78" s="9"/>
      <c r="D78" s="52"/>
    </row>
    <row r="79" spans="1:4" ht="14.4" x14ac:dyDescent="0.3">
      <c r="A79" s="111" t="s">
        <v>1040</v>
      </c>
      <c r="B79" s="113" t="s">
        <v>700</v>
      </c>
      <c r="C79" s="113"/>
      <c r="D79" s="113"/>
    </row>
    <row r="80" spans="1:4" ht="27.6" x14ac:dyDescent="0.3">
      <c r="A80" s="111" t="s">
        <v>1040</v>
      </c>
      <c r="B80" s="113" t="s">
        <v>891</v>
      </c>
      <c r="C80" s="113"/>
      <c r="D80" s="113"/>
    </row>
    <row r="81" spans="1:4" ht="14.4" x14ac:dyDescent="0.3">
      <c r="A81" s="37" t="s">
        <v>1040</v>
      </c>
      <c r="B81" s="37" t="s">
        <v>1042</v>
      </c>
      <c r="C81" s="9"/>
      <c r="D81" s="52"/>
    </row>
    <row r="82" spans="1:4" ht="14.4" x14ac:dyDescent="0.3">
      <c r="A82" s="2"/>
      <c r="B82" s="114"/>
      <c r="C82" s="2"/>
      <c r="D82" s="2"/>
    </row>
    <row r="83" spans="1:4" ht="14.4" x14ac:dyDescent="0.3">
      <c r="A83" s="2"/>
      <c r="B83" s="114"/>
      <c r="C83" s="2"/>
      <c r="D83" s="2"/>
    </row>
    <row r="84" spans="1:4" ht="14.4" x14ac:dyDescent="0.3">
      <c r="A84" s="2"/>
      <c r="B84" s="15" t="s">
        <v>75</v>
      </c>
      <c r="C84" s="2">
        <f>COUNTIF($C$5:$C$81,"C")</f>
        <v>1</v>
      </c>
      <c r="D84" s="2"/>
    </row>
    <row r="85" spans="1:4" ht="14.4" x14ac:dyDescent="0.3">
      <c r="A85" s="2"/>
      <c r="B85" s="15" t="s">
        <v>81</v>
      </c>
      <c r="C85" s="2">
        <f>COUNTIF($C$5:$C$81,"NC")</f>
        <v>1</v>
      </c>
      <c r="D85" s="2"/>
    </row>
    <row r="86" spans="1:4" ht="14.4" x14ac:dyDescent="0.3">
      <c r="A86" s="2"/>
      <c r="B86" s="15" t="s">
        <v>84</v>
      </c>
      <c r="C86" s="2">
        <f>COUNTIF($C$5:$C$81,"NA")</f>
        <v>1</v>
      </c>
      <c r="D86" s="2"/>
    </row>
  </sheetData>
  <autoFilter ref="A4:D81" xr:uid="{00000000-0009-0000-0000-00000B000000}"/>
  <conditionalFormatting sqref="C7:C8 C10:C11 C14:C25 C27:C36 C38:C39 C41:C45 C48:C51 C53:C56 C59:C60 C63:C69 C71:C72 C75:C78 C81">
    <cfRule type="beginsWith" dxfId="107" priority="1" operator="beginsWith" text="C">
      <formula>LEFT((C7),LEN("C"))=("C")</formula>
    </cfRule>
    <cfRule type="beginsWith" dxfId="106" priority="2" operator="beginsWith" text="NC">
      <formula>LEFT((C7),LEN("NC"))=("NC")</formula>
    </cfRule>
    <cfRule type="beginsWith" dxfId="105" priority="3" operator="beginsWith" text="NA">
      <formula>LEFT((C7),LEN("NA"))=("NA")</formula>
    </cfRule>
  </conditionalFormatting>
  <dataValidations disablePrompts="1" count="1">
    <dataValidation type="list" allowBlank="1" sqref="C7:C8 C10:C11 C14:C25 C27:C36 C38:C39 C41:C45 C48:C51 C53:C56 C59:C60 C63:C69 C71:C72 C75:C78 C81" xr:uid="{00000000-0002-0000-0B00-000000000000}">
      <formula1>"C,NC,NA"</formula1>
    </dataValidation>
  </dataValidations>
  <hyperlinks>
    <hyperlink ref="B1" location="'Tabla de contenido'!A1" display="VOLVER A TABLA DE CONTENIDO" xr:uid="{00000000-0004-0000-0B00-000000000000}"/>
  </hyperlinks>
  <pageMargins left="0.7" right="0.7" top="0.75" bottom="0.75" header="0" footer="0"/>
  <pageSetup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9000"/>
  </sheetPr>
  <dimension ref="A1:D58"/>
  <sheetViews>
    <sheetView showGridLines="0" workbookViewId="0">
      <selection sqref="A1:D1"/>
    </sheetView>
  </sheetViews>
  <sheetFormatPr baseColWidth="10" defaultColWidth="14.44140625" defaultRowHeight="15" customHeight="1" outlineLevelCol="1" x14ac:dyDescent="0.3"/>
  <cols>
    <col min="1" max="1" width="13.44140625" customWidth="1"/>
    <col min="2" max="2" width="59.44140625" customWidth="1"/>
    <col min="3" max="3" width="14.44140625" customWidth="1"/>
    <col min="4" max="4" width="31.88671875" customWidth="1" outlineLevel="1"/>
    <col min="5" max="5" width="2.109375" customWidth="1"/>
    <col min="6" max="6" width="14.44140625" customWidth="1"/>
  </cols>
  <sheetData>
    <row r="1" spans="1:4" ht="14.4" x14ac:dyDescent="0.3">
      <c r="A1" s="269"/>
      <c r="B1" s="270" t="s">
        <v>0</v>
      </c>
      <c r="C1" s="269"/>
      <c r="D1" s="269"/>
    </row>
    <row r="2" spans="1:4" ht="14.4" x14ac:dyDescent="0.3">
      <c r="A2" s="74"/>
      <c r="B2" s="75" t="s">
        <v>697</v>
      </c>
      <c r="C2" s="76"/>
      <c r="D2" s="77"/>
    </row>
    <row r="3" spans="1:4" ht="14.4" x14ac:dyDescent="0.3">
      <c r="A3" s="5"/>
      <c r="B3" s="105" t="s">
        <v>916</v>
      </c>
      <c r="C3" s="100"/>
      <c r="D3" s="51"/>
    </row>
    <row r="4" spans="1:4" ht="14.4" x14ac:dyDescent="0.3">
      <c r="A4" s="78" t="s">
        <v>7</v>
      </c>
      <c r="B4" s="79" t="s">
        <v>9</v>
      </c>
      <c r="C4" s="106" t="s">
        <v>10</v>
      </c>
      <c r="D4" s="78" t="s">
        <v>11</v>
      </c>
    </row>
    <row r="5" spans="1:4" ht="14.4" x14ac:dyDescent="0.3">
      <c r="A5" s="13" t="s">
        <v>920</v>
      </c>
      <c r="B5" s="12" t="s">
        <v>922</v>
      </c>
      <c r="C5" s="13"/>
      <c r="D5" s="13"/>
    </row>
    <row r="6" spans="1:4" ht="27.6" x14ac:dyDescent="0.3">
      <c r="A6" s="13" t="s">
        <v>920</v>
      </c>
      <c r="B6" s="12" t="s">
        <v>926</v>
      </c>
      <c r="C6" s="13"/>
      <c r="D6" s="13"/>
    </row>
    <row r="7" spans="1:4" ht="27.6" x14ac:dyDescent="0.3">
      <c r="A7" s="37" t="s">
        <v>920</v>
      </c>
      <c r="B7" s="37" t="s">
        <v>929</v>
      </c>
      <c r="C7" s="9" t="s">
        <v>16</v>
      </c>
      <c r="D7" s="37"/>
    </row>
    <row r="8" spans="1:4" ht="55.2" x14ac:dyDescent="0.3">
      <c r="A8" s="37" t="s">
        <v>920</v>
      </c>
      <c r="B8" s="37" t="s">
        <v>932</v>
      </c>
      <c r="C8" s="9" t="s">
        <v>20</v>
      </c>
      <c r="D8" s="37"/>
    </row>
    <row r="9" spans="1:4" ht="69" x14ac:dyDescent="0.3">
      <c r="A9" s="37" t="s">
        <v>920</v>
      </c>
      <c r="B9" s="37" t="s">
        <v>933</v>
      </c>
      <c r="C9" s="9" t="s">
        <v>24</v>
      </c>
      <c r="D9" s="37"/>
    </row>
    <row r="10" spans="1:4" ht="14.4" x14ac:dyDescent="0.3">
      <c r="A10" s="13" t="s">
        <v>920</v>
      </c>
      <c r="B10" s="12" t="s">
        <v>935</v>
      </c>
      <c r="C10" s="13"/>
      <c r="D10" s="13"/>
    </row>
    <row r="11" spans="1:4" ht="27.6" x14ac:dyDescent="0.3">
      <c r="A11" s="37" t="s">
        <v>920</v>
      </c>
      <c r="B11" s="37" t="s">
        <v>937</v>
      </c>
      <c r="C11" s="9"/>
      <c r="D11" s="37"/>
    </row>
    <row r="12" spans="1:4" ht="27.6" x14ac:dyDescent="0.3">
      <c r="A12" s="37" t="s">
        <v>920</v>
      </c>
      <c r="B12" s="37" t="s">
        <v>938</v>
      </c>
      <c r="C12" s="9"/>
      <c r="D12" s="37"/>
    </row>
    <row r="13" spans="1:4" ht="14.4" x14ac:dyDescent="0.3">
      <c r="A13" s="13" t="s">
        <v>920</v>
      </c>
      <c r="B13" s="12" t="s">
        <v>940</v>
      </c>
      <c r="C13" s="13"/>
      <c r="D13" s="13"/>
    </row>
    <row r="14" spans="1:4" ht="27.6" x14ac:dyDescent="0.3">
      <c r="A14" s="37" t="s">
        <v>920</v>
      </c>
      <c r="B14" s="37" t="s">
        <v>898</v>
      </c>
      <c r="C14" s="9"/>
      <c r="D14" s="37"/>
    </row>
    <row r="15" spans="1:4" ht="27.6" x14ac:dyDescent="0.3">
      <c r="A15" s="66" t="s">
        <v>920</v>
      </c>
      <c r="B15" s="37" t="s">
        <v>944</v>
      </c>
      <c r="C15" s="9"/>
      <c r="D15" s="37"/>
    </row>
    <row r="16" spans="1:4" ht="14.4" x14ac:dyDescent="0.3">
      <c r="A16" s="13" t="s">
        <v>946</v>
      </c>
      <c r="B16" s="12" t="s">
        <v>922</v>
      </c>
      <c r="C16" s="13"/>
      <c r="D16" s="13"/>
    </row>
    <row r="17" spans="1:4" ht="27.6" x14ac:dyDescent="0.3">
      <c r="A17" s="13" t="s">
        <v>946</v>
      </c>
      <c r="B17" s="12" t="s">
        <v>949</v>
      </c>
      <c r="C17" s="13"/>
      <c r="D17" s="13"/>
    </row>
    <row r="18" spans="1:4" ht="27.6" x14ac:dyDescent="0.3">
      <c r="A18" s="37" t="s">
        <v>946</v>
      </c>
      <c r="B18" s="37" t="s">
        <v>950</v>
      </c>
      <c r="C18" s="9"/>
      <c r="D18" s="37"/>
    </row>
    <row r="19" spans="1:4" ht="14.4" x14ac:dyDescent="0.3">
      <c r="A19" s="13" t="s">
        <v>946</v>
      </c>
      <c r="B19" s="12" t="s">
        <v>952</v>
      </c>
      <c r="C19" s="13"/>
      <c r="D19" s="13"/>
    </row>
    <row r="20" spans="1:4" ht="27.6" x14ac:dyDescent="0.3">
      <c r="A20" s="37" t="s">
        <v>946</v>
      </c>
      <c r="B20" s="37" t="s">
        <v>954</v>
      </c>
      <c r="C20" s="9"/>
      <c r="D20" s="37"/>
    </row>
    <row r="21" spans="1:4" ht="14.4" x14ac:dyDescent="0.3">
      <c r="A21" s="13" t="s">
        <v>956</v>
      </c>
      <c r="B21" s="12" t="s">
        <v>922</v>
      </c>
      <c r="C21" s="13"/>
      <c r="D21" s="13"/>
    </row>
    <row r="22" spans="1:4" ht="27.6" x14ac:dyDescent="0.3">
      <c r="A22" s="13" t="s">
        <v>956</v>
      </c>
      <c r="B22" s="12" t="s">
        <v>949</v>
      </c>
      <c r="C22" s="13"/>
      <c r="D22" s="13"/>
    </row>
    <row r="23" spans="1:4" ht="27.6" x14ac:dyDescent="0.3">
      <c r="A23" s="37" t="s">
        <v>956</v>
      </c>
      <c r="B23" s="37" t="s">
        <v>958</v>
      </c>
      <c r="C23" s="9"/>
      <c r="D23" s="37"/>
    </row>
    <row r="24" spans="1:4" ht="14.4" x14ac:dyDescent="0.3">
      <c r="A24" s="73" t="s">
        <v>956</v>
      </c>
      <c r="B24" s="73" t="s">
        <v>962</v>
      </c>
      <c r="C24" s="73"/>
      <c r="D24" s="73"/>
    </row>
    <row r="25" spans="1:4" ht="14.4" x14ac:dyDescent="0.3">
      <c r="A25" s="37" t="s">
        <v>956</v>
      </c>
      <c r="B25" s="37" t="s">
        <v>963</v>
      </c>
      <c r="C25" s="9"/>
      <c r="D25" s="37"/>
    </row>
    <row r="26" spans="1:4" ht="14.4" x14ac:dyDescent="0.3">
      <c r="A26" s="37" t="s">
        <v>956</v>
      </c>
      <c r="B26" s="37" t="s">
        <v>966</v>
      </c>
      <c r="C26" s="9"/>
      <c r="D26" s="37"/>
    </row>
    <row r="27" spans="1:4" ht="14.4" x14ac:dyDescent="0.3">
      <c r="A27" s="37" t="s">
        <v>956</v>
      </c>
      <c r="B27" s="37" t="s">
        <v>967</v>
      </c>
      <c r="C27" s="9"/>
      <c r="D27" s="37"/>
    </row>
    <row r="28" spans="1:4" ht="14.4" x14ac:dyDescent="0.3">
      <c r="A28" s="37" t="s">
        <v>956</v>
      </c>
      <c r="B28" s="37" t="s">
        <v>970</v>
      </c>
      <c r="C28" s="9"/>
      <c r="D28" s="37"/>
    </row>
    <row r="29" spans="1:4" ht="14.4" x14ac:dyDescent="0.3">
      <c r="A29" s="37" t="s">
        <v>956</v>
      </c>
      <c r="B29" s="37" t="s">
        <v>971</v>
      </c>
      <c r="C29" s="9"/>
      <c r="D29" s="37"/>
    </row>
    <row r="30" spans="1:4" ht="14.4" x14ac:dyDescent="0.3">
      <c r="A30" s="37" t="s">
        <v>956</v>
      </c>
      <c r="B30" s="37" t="s">
        <v>973</v>
      </c>
      <c r="C30" s="9"/>
      <c r="D30" s="37"/>
    </row>
    <row r="31" spans="1:4" ht="14.4" x14ac:dyDescent="0.3">
      <c r="A31" s="37" t="s">
        <v>956</v>
      </c>
      <c r="B31" s="37" t="s">
        <v>975</v>
      </c>
      <c r="C31" s="9"/>
      <c r="D31" s="37"/>
    </row>
    <row r="32" spans="1:4" ht="14.4" x14ac:dyDescent="0.3">
      <c r="A32" s="37" t="s">
        <v>956</v>
      </c>
      <c r="B32" s="37" t="s">
        <v>977</v>
      </c>
      <c r="C32" s="9"/>
      <c r="D32" s="37"/>
    </row>
    <row r="33" spans="1:4" ht="14.4" x14ac:dyDescent="0.3">
      <c r="A33" s="37" t="s">
        <v>956</v>
      </c>
      <c r="B33" s="37" t="s">
        <v>979</v>
      </c>
      <c r="C33" s="9"/>
      <c r="D33" s="37"/>
    </row>
    <row r="34" spans="1:4" ht="14.4" x14ac:dyDescent="0.3">
      <c r="A34" s="37" t="s">
        <v>956</v>
      </c>
      <c r="B34" s="37" t="s">
        <v>980</v>
      </c>
      <c r="C34" s="9"/>
      <c r="D34" s="37"/>
    </row>
    <row r="35" spans="1:4" ht="27.6" x14ac:dyDescent="0.3">
      <c r="A35" s="37" t="s">
        <v>956</v>
      </c>
      <c r="B35" s="37" t="s">
        <v>983</v>
      </c>
      <c r="C35" s="9"/>
      <c r="D35" s="37"/>
    </row>
    <row r="36" spans="1:4" ht="55.2" x14ac:dyDescent="0.3">
      <c r="A36" s="37" t="s">
        <v>956</v>
      </c>
      <c r="B36" s="37" t="s">
        <v>984</v>
      </c>
      <c r="C36" s="9"/>
      <c r="D36" s="37"/>
    </row>
    <row r="37" spans="1:4" ht="14.4" x14ac:dyDescent="0.3">
      <c r="A37" s="13" t="s">
        <v>956</v>
      </c>
      <c r="B37" s="12" t="s">
        <v>940</v>
      </c>
      <c r="C37" s="13"/>
      <c r="D37" s="13"/>
    </row>
    <row r="38" spans="1:4" ht="27.6" x14ac:dyDescent="0.3">
      <c r="A38" s="37" t="s">
        <v>956</v>
      </c>
      <c r="B38" s="37" t="s">
        <v>845</v>
      </c>
      <c r="C38" s="9"/>
      <c r="D38" s="37"/>
    </row>
    <row r="39" spans="1:4" ht="14.4" x14ac:dyDescent="0.3">
      <c r="A39" s="13" t="s">
        <v>988</v>
      </c>
      <c r="B39" s="12" t="s">
        <v>922</v>
      </c>
      <c r="C39" s="13"/>
      <c r="D39" s="13"/>
    </row>
    <row r="40" spans="1:4" ht="41.4" x14ac:dyDescent="0.3">
      <c r="A40" s="13" t="s">
        <v>988</v>
      </c>
      <c r="B40" s="12" t="s">
        <v>991</v>
      </c>
      <c r="C40" s="13"/>
      <c r="D40" s="13"/>
    </row>
    <row r="41" spans="1:4" ht="27.6" x14ac:dyDescent="0.3">
      <c r="A41" s="37" t="s">
        <v>988</v>
      </c>
      <c r="B41" s="37" t="s">
        <v>994</v>
      </c>
      <c r="C41" s="9"/>
      <c r="D41" s="37"/>
    </row>
    <row r="42" spans="1:4" ht="14.4" x14ac:dyDescent="0.3">
      <c r="A42" s="13" t="s">
        <v>996</v>
      </c>
      <c r="B42" s="12" t="s">
        <v>922</v>
      </c>
      <c r="C42" s="13"/>
      <c r="D42" s="13"/>
    </row>
    <row r="43" spans="1:4" ht="27.6" x14ac:dyDescent="0.3">
      <c r="A43" s="13" t="s">
        <v>996</v>
      </c>
      <c r="B43" s="12" t="s">
        <v>998</v>
      </c>
      <c r="C43" s="13"/>
      <c r="D43" s="13"/>
    </row>
    <row r="44" spans="1:4" ht="41.4" x14ac:dyDescent="0.3">
      <c r="A44" s="37" t="s">
        <v>996</v>
      </c>
      <c r="B44" s="37" t="s">
        <v>999</v>
      </c>
      <c r="C44" s="9"/>
      <c r="D44" s="37"/>
    </row>
    <row r="45" spans="1:4" ht="27.6" x14ac:dyDescent="0.3">
      <c r="A45" s="37" t="s">
        <v>996</v>
      </c>
      <c r="B45" s="37" t="s">
        <v>1001</v>
      </c>
      <c r="C45" s="9"/>
      <c r="D45" s="37"/>
    </row>
    <row r="46" spans="1:4" ht="14.4" x14ac:dyDescent="0.3">
      <c r="A46" s="13" t="s">
        <v>996</v>
      </c>
      <c r="B46" s="12" t="s">
        <v>940</v>
      </c>
      <c r="C46" s="13"/>
      <c r="D46" s="13"/>
    </row>
    <row r="47" spans="1:4" ht="27.6" x14ac:dyDescent="0.3">
      <c r="A47" s="37" t="s">
        <v>996</v>
      </c>
      <c r="B47" s="37" t="s">
        <v>850</v>
      </c>
      <c r="C47" s="9"/>
      <c r="D47" s="37"/>
    </row>
    <row r="48" spans="1:4" ht="14.4" x14ac:dyDescent="0.3">
      <c r="A48" s="13" t="s">
        <v>1003</v>
      </c>
      <c r="B48" s="12" t="s">
        <v>922</v>
      </c>
      <c r="C48" s="13"/>
      <c r="D48" s="13"/>
    </row>
    <row r="49" spans="1:4" ht="41.4" x14ac:dyDescent="0.3">
      <c r="A49" s="13" t="s">
        <v>1003</v>
      </c>
      <c r="B49" s="12" t="s">
        <v>1006</v>
      </c>
      <c r="C49" s="13"/>
      <c r="D49" s="13"/>
    </row>
    <row r="50" spans="1:4" ht="27.6" x14ac:dyDescent="0.3">
      <c r="A50" s="37" t="s">
        <v>1003</v>
      </c>
      <c r="B50" s="37" t="s">
        <v>1009</v>
      </c>
      <c r="C50" s="9"/>
      <c r="D50" s="37"/>
    </row>
    <row r="51" spans="1:4" ht="14.4" x14ac:dyDescent="0.3">
      <c r="A51" s="13" t="s">
        <v>1010</v>
      </c>
      <c r="B51" s="12" t="s">
        <v>922</v>
      </c>
      <c r="C51" s="13"/>
      <c r="D51" s="13"/>
    </row>
    <row r="52" spans="1:4" ht="41.4" x14ac:dyDescent="0.3">
      <c r="A52" s="13" t="s">
        <v>1010</v>
      </c>
      <c r="B52" s="12" t="s">
        <v>1011</v>
      </c>
      <c r="C52" s="13"/>
      <c r="D52" s="13"/>
    </row>
    <row r="53" spans="1:4" ht="14.4" x14ac:dyDescent="0.3">
      <c r="A53" s="37" t="s">
        <v>1010</v>
      </c>
      <c r="B53" s="37" t="s">
        <v>1013</v>
      </c>
      <c r="C53" s="9"/>
      <c r="D53" s="37"/>
    </row>
    <row r="54" spans="1:4" ht="14.4" x14ac:dyDescent="0.3">
      <c r="A54" s="2"/>
      <c r="B54" s="98"/>
      <c r="C54" s="2"/>
      <c r="D54" s="2"/>
    </row>
    <row r="55" spans="1:4" ht="14.4" x14ac:dyDescent="0.3">
      <c r="A55" s="2"/>
      <c r="B55" s="98"/>
      <c r="C55" s="2"/>
      <c r="D55" s="2"/>
    </row>
    <row r="56" spans="1:4" ht="14.4" x14ac:dyDescent="0.3">
      <c r="A56" s="2"/>
      <c r="B56" s="15" t="s">
        <v>75</v>
      </c>
      <c r="C56" s="2">
        <f>COUNTIF($C$5:$C$53,"C")</f>
        <v>1</v>
      </c>
      <c r="D56" s="2"/>
    </row>
    <row r="57" spans="1:4" ht="14.4" x14ac:dyDescent="0.3">
      <c r="A57" s="2"/>
      <c r="B57" s="15" t="s">
        <v>81</v>
      </c>
      <c r="C57" s="2">
        <f>COUNTIF($C$5:$C$53,"NC")</f>
        <v>1</v>
      </c>
      <c r="D57" s="2"/>
    </row>
    <row r="58" spans="1:4" ht="14.4" x14ac:dyDescent="0.3">
      <c r="A58" s="2"/>
      <c r="B58" s="15" t="s">
        <v>84</v>
      </c>
      <c r="C58" s="2">
        <f>COUNTIF($C$5:$C$53,"NA")</f>
        <v>1</v>
      </c>
      <c r="D58" s="2"/>
    </row>
  </sheetData>
  <autoFilter ref="A4:D53" xr:uid="{00000000-0009-0000-0000-00000C000000}"/>
  <conditionalFormatting sqref="C7:C9 C11:C12 C14:C15 C18 C20 C23 C25:C36 C38 C41 C44:C45 C47 C50 C53">
    <cfRule type="beginsWith" dxfId="104" priority="1" operator="beginsWith" text="C">
      <formula>LEFT((C7),LEN("C"))=("C")</formula>
    </cfRule>
    <cfRule type="beginsWith" dxfId="103" priority="2" operator="beginsWith" text="NC">
      <formula>LEFT((C7),LEN("NC"))=("NC")</formula>
    </cfRule>
    <cfRule type="beginsWith" dxfId="102" priority="3" operator="beginsWith" text="NA">
      <formula>LEFT((C7),LEN("NA"))=("NA")</formula>
    </cfRule>
  </conditionalFormatting>
  <dataValidations count="1">
    <dataValidation type="list" allowBlank="1" sqref="C7:C9 C11:C12 C14:C15 C18 C20 C23 C25:C36 C38 C41 C44:C45 C47 C50 C53" xr:uid="{00000000-0002-0000-0C00-000000000000}">
      <formula1>"C,NC,NA"</formula1>
    </dataValidation>
  </dataValidations>
  <hyperlinks>
    <hyperlink ref="B1" location="'Tabla de contenido'!A1" display="VOLVER A TABLA DE CONTENIDO" xr:uid="{00000000-0004-0000-0C00-000000000000}"/>
  </hyperlink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41B47"/>
  </sheetPr>
  <dimension ref="A1:E82"/>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4.5546875" customWidth="1"/>
    <col min="3" max="3" width="16.77734375" customWidth="1"/>
    <col min="4" max="4" width="31.77734375" customWidth="1" outlineLevel="1"/>
    <col min="5" max="23" width="10.77734375" customWidth="1"/>
  </cols>
  <sheetData>
    <row r="1" spans="1:5" ht="14.4" x14ac:dyDescent="0.3">
      <c r="A1" s="269"/>
      <c r="B1" s="270" t="s">
        <v>0</v>
      </c>
      <c r="C1" s="269"/>
      <c r="D1" s="269"/>
    </row>
    <row r="2" spans="1:5" ht="14.4" x14ac:dyDescent="0.3">
      <c r="A2" s="74"/>
      <c r="B2" s="75" t="s">
        <v>919</v>
      </c>
      <c r="C2" s="76"/>
      <c r="D2" s="77"/>
    </row>
    <row r="3" spans="1:5" ht="14.4" x14ac:dyDescent="0.3">
      <c r="A3" s="5"/>
      <c r="B3" s="105" t="s">
        <v>923</v>
      </c>
      <c r="C3" s="100"/>
      <c r="D3" s="51"/>
    </row>
    <row r="4" spans="1:5" ht="14.4" x14ac:dyDescent="0.3">
      <c r="A4" s="78" t="s">
        <v>7</v>
      </c>
      <c r="B4" s="79" t="s">
        <v>9</v>
      </c>
      <c r="C4" s="106" t="s">
        <v>10</v>
      </c>
      <c r="D4" s="78" t="s">
        <v>11</v>
      </c>
    </row>
    <row r="5" spans="1:5" ht="27.6" x14ac:dyDescent="0.3">
      <c r="A5" s="107" t="s">
        <v>927</v>
      </c>
      <c r="B5" s="108" t="s">
        <v>930</v>
      </c>
      <c r="C5" s="107"/>
      <c r="D5" s="107"/>
    </row>
    <row r="6" spans="1:5" ht="28.2" x14ac:dyDescent="0.3">
      <c r="A6" s="109" t="s">
        <v>927</v>
      </c>
      <c r="B6" s="110" t="s">
        <v>936</v>
      </c>
      <c r="C6" s="9" t="s">
        <v>16</v>
      </c>
      <c r="D6" s="109"/>
    </row>
    <row r="7" spans="1:5" ht="41.4" x14ac:dyDescent="0.3">
      <c r="A7" s="109" t="s">
        <v>927</v>
      </c>
      <c r="B7" s="110" t="s">
        <v>941</v>
      </c>
      <c r="C7" s="9" t="s">
        <v>20</v>
      </c>
      <c r="D7" s="109"/>
    </row>
    <row r="8" spans="1:5" ht="57" x14ac:dyDescent="0.3">
      <c r="A8" s="109" t="s">
        <v>927</v>
      </c>
      <c r="B8" s="110" t="s">
        <v>943</v>
      </c>
      <c r="C8" s="9" t="s">
        <v>24</v>
      </c>
      <c r="D8" s="109"/>
    </row>
    <row r="9" spans="1:5" ht="27.6" x14ac:dyDescent="0.3">
      <c r="A9" s="107" t="s">
        <v>927</v>
      </c>
      <c r="B9" s="108" t="s">
        <v>947</v>
      </c>
      <c r="C9" s="107"/>
      <c r="D9" s="107"/>
    </row>
    <row r="10" spans="1:5" ht="27.6" x14ac:dyDescent="0.3">
      <c r="A10" s="109" t="s">
        <v>927</v>
      </c>
      <c r="B10" s="110" t="s">
        <v>951</v>
      </c>
      <c r="C10" s="9"/>
      <c r="D10" s="109"/>
    </row>
    <row r="11" spans="1:5" ht="14.4" x14ac:dyDescent="0.3">
      <c r="A11" s="109" t="s">
        <v>927</v>
      </c>
      <c r="B11" s="110" t="s">
        <v>957</v>
      </c>
      <c r="C11" s="9"/>
      <c r="D11" s="109"/>
    </row>
    <row r="12" spans="1:5" ht="14.4" x14ac:dyDescent="0.3">
      <c r="A12" s="109" t="s">
        <v>927</v>
      </c>
      <c r="B12" s="110" t="s">
        <v>959</v>
      </c>
      <c r="C12" s="9"/>
      <c r="D12" s="109"/>
    </row>
    <row r="13" spans="1:5" ht="27.6" x14ac:dyDescent="0.3">
      <c r="A13" s="109" t="s">
        <v>927</v>
      </c>
      <c r="B13" s="110" t="s">
        <v>961</v>
      </c>
      <c r="C13" s="9"/>
      <c r="D13" s="109"/>
    </row>
    <row r="14" spans="1:5" ht="41.4" x14ac:dyDescent="0.3">
      <c r="A14" s="109" t="s">
        <v>927</v>
      </c>
      <c r="B14" s="110" t="s">
        <v>965</v>
      </c>
      <c r="C14" s="9"/>
      <c r="D14" s="109"/>
    </row>
    <row r="15" spans="1:5" ht="14.4" x14ac:dyDescent="0.3">
      <c r="A15" s="107" t="s">
        <v>927</v>
      </c>
      <c r="B15" s="108" t="s">
        <v>969</v>
      </c>
      <c r="C15" s="107"/>
      <c r="D15" s="107"/>
    </row>
    <row r="16" spans="1:5" ht="41.4" x14ac:dyDescent="0.3">
      <c r="A16" s="109" t="s">
        <v>927</v>
      </c>
      <c r="B16" s="110" t="s">
        <v>974</v>
      </c>
      <c r="C16" s="9"/>
      <c r="D16" s="109"/>
    </row>
    <row r="17" spans="1:4" ht="14.4" x14ac:dyDescent="0.3">
      <c r="A17" s="107" t="s">
        <v>927</v>
      </c>
      <c r="B17" s="108" t="s">
        <v>976</v>
      </c>
      <c r="C17" s="107"/>
      <c r="D17" s="107"/>
    </row>
    <row r="18" spans="1:4" ht="69" x14ac:dyDescent="0.3">
      <c r="A18" s="109" t="s">
        <v>927</v>
      </c>
      <c r="B18" s="110" t="s">
        <v>981</v>
      </c>
      <c r="C18" s="9"/>
      <c r="D18" s="110"/>
    </row>
    <row r="19" spans="1:4" ht="27.6" x14ac:dyDescent="0.3">
      <c r="A19" s="109" t="s">
        <v>985</v>
      </c>
      <c r="B19" s="110" t="s">
        <v>986</v>
      </c>
      <c r="C19" s="9"/>
      <c r="D19" s="110"/>
    </row>
    <row r="20" spans="1:4" ht="27.6" x14ac:dyDescent="0.3">
      <c r="A20" s="107" t="s">
        <v>985</v>
      </c>
      <c r="B20" s="108" t="s">
        <v>990</v>
      </c>
      <c r="C20" s="107"/>
      <c r="D20" s="107"/>
    </row>
    <row r="21" spans="1:4" ht="27.6" x14ac:dyDescent="0.3">
      <c r="A21" s="109" t="s">
        <v>985</v>
      </c>
      <c r="B21" s="110" t="s">
        <v>993</v>
      </c>
      <c r="C21" s="9"/>
      <c r="D21" s="110"/>
    </row>
    <row r="22" spans="1:4" ht="41.4" x14ac:dyDescent="0.3">
      <c r="A22" s="109" t="s">
        <v>985</v>
      </c>
      <c r="B22" s="110" t="s">
        <v>997</v>
      </c>
      <c r="C22" s="9"/>
      <c r="D22" s="110"/>
    </row>
    <row r="23" spans="1:4" ht="27.6" x14ac:dyDescent="0.3">
      <c r="A23" s="109" t="s">
        <v>985</v>
      </c>
      <c r="B23" s="110" t="s">
        <v>1000</v>
      </c>
      <c r="C23" s="9"/>
      <c r="D23" s="110"/>
    </row>
    <row r="24" spans="1:4" ht="27.6" x14ac:dyDescent="0.3">
      <c r="A24" s="109" t="s">
        <v>985</v>
      </c>
      <c r="B24" s="110" t="s">
        <v>1004</v>
      </c>
      <c r="C24" s="9"/>
      <c r="D24" s="110"/>
    </row>
    <row r="25" spans="1:4" ht="41.4" x14ac:dyDescent="0.3">
      <c r="A25" s="109" t="s">
        <v>985</v>
      </c>
      <c r="B25" s="110" t="s">
        <v>1007</v>
      </c>
      <c r="C25" s="9"/>
      <c r="D25" s="110"/>
    </row>
    <row r="26" spans="1:4" ht="41.4" x14ac:dyDescent="0.3">
      <c r="A26" s="109" t="s">
        <v>985</v>
      </c>
      <c r="B26" s="110" t="s">
        <v>1012</v>
      </c>
      <c r="C26" s="9"/>
      <c r="D26" s="110"/>
    </row>
    <row r="27" spans="1:4" ht="55.2" x14ac:dyDescent="0.3">
      <c r="A27" s="109" t="s">
        <v>985</v>
      </c>
      <c r="B27" s="110" t="s">
        <v>1015</v>
      </c>
      <c r="C27" s="9"/>
      <c r="D27" s="110"/>
    </row>
    <row r="28" spans="1:4" ht="14.4" x14ac:dyDescent="0.3">
      <c r="A28" s="107" t="s">
        <v>985</v>
      </c>
      <c r="B28" s="108" t="s">
        <v>1017</v>
      </c>
      <c r="C28" s="107"/>
      <c r="D28" s="107"/>
    </row>
    <row r="29" spans="1:4" ht="27.6" x14ac:dyDescent="0.3">
      <c r="A29" s="109" t="s">
        <v>985</v>
      </c>
      <c r="B29" s="110" t="s">
        <v>1019</v>
      </c>
      <c r="C29" s="9"/>
      <c r="D29" s="110"/>
    </row>
    <row r="30" spans="1:4" ht="27.6" x14ac:dyDescent="0.3">
      <c r="A30" s="109" t="s">
        <v>985</v>
      </c>
      <c r="B30" s="110" t="s">
        <v>1021</v>
      </c>
      <c r="C30" s="9"/>
      <c r="D30" s="110"/>
    </row>
    <row r="31" spans="1:4" ht="14.4" x14ac:dyDescent="0.3">
      <c r="A31" s="107" t="s">
        <v>985</v>
      </c>
      <c r="B31" s="108" t="s">
        <v>1023</v>
      </c>
      <c r="C31" s="107"/>
      <c r="D31" s="107"/>
    </row>
    <row r="32" spans="1:4" ht="14.4" x14ac:dyDescent="0.3">
      <c r="A32" s="109" t="s">
        <v>985</v>
      </c>
      <c r="B32" s="110" t="s">
        <v>1025</v>
      </c>
      <c r="C32" s="9"/>
      <c r="D32" s="110"/>
    </row>
    <row r="33" spans="1:4" ht="14.4" x14ac:dyDescent="0.3">
      <c r="A33" s="109" t="s">
        <v>985</v>
      </c>
      <c r="B33" s="110" t="s">
        <v>1027</v>
      </c>
      <c r="C33" s="9"/>
      <c r="D33" s="110"/>
    </row>
    <row r="34" spans="1:4" ht="27.6" x14ac:dyDescent="0.3">
      <c r="A34" s="107" t="s">
        <v>985</v>
      </c>
      <c r="B34" s="108" t="s">
        <v>1028</v>
      </c>
      <c r="C34" s="107"/>
      <c r="D34" s="107"/>
    </row>
    <row r="35" spans="1:4" ht="27.6" x14ac:dyDescent="0.3">
      <c r="A35" s="109" t="s">
        <v>985</v>
      </c>
      <c r="B35" s="110" t="s">
        <v>1030</v>
      </c>
      <c r="C35" s="9"/>
      <c r="D35" s="109"/>
    </row>
    <row r="36" spans="1:4" ht="27.6" x14ac:dyDescent="0.3">
      <c r="A36" s="107" t="s">
        <v>985</v>
      </c>
      <c r="B36" s="108" t="s">
        <v>1033</v>
      </c>
      <c r="C36" s="107"/>
      <c r="D36" s="107"/>
    </row>
    <row r="37" spans="1:4" ht="27.6" x14ac:dyDescent="0.3">
      <c r="A37" s="109" t="s">
        <v>985</v>
      </c>
      <c r="B37" s="110" t="s">
        <v>1034</v>
      </c>
      <c r="C37" s="9"/>
      <c r="D37" s="109"/>
    </row>
    <row r="38" spans="1:4" ht="14.4" x14ac:dyDescent="0.3">
      <c r="A38" s="107" t="s">
        <v>985</v>
      </c>
      <c r="B38" s="108" t="s">
        <v>959</v>
      </c>
      <c r="C38" s="107"/>
      <c r="D38" s="107"/>
    </row>
    <row r="39" spans="1:4" ht="14.4" x14ac:dyDescent="0.3">
      <c r="A39" s="109" t="s">
        <v>985</v>
      </c>
      <c r="B39" s="110" t="s">
        <v>1038</v>
      </c>
      <c r="C39" s="9"/>
      <c r="D39" s="112"/>
    </row>
    <row r="40" spans="1:4" ht="14.4" x14ac:dyDescent="0.3">
      <c r="A40" s="107" t="s">
        <v>985</v>
      </c>
      <c r="B40" s="108" t="s">
        <v>969</v>
      </c>
      <c r="C40" s="107"/>
      <c r="D40" s="107"/>
    </row>
    <row r="41" spans="1:4" ht="27.6" x14ac:dyDescent="0.3">
      <c r="A41" s="109" t="s">
        <v>985</v>
      </c>
      <c r="B41" s="110" t="s">
        <v>1041</v>
      </c>
      <c r="C41" s="9"/>
      <c r="D41" s="109"/>
    </row>
    <row r="42" spans="1:4" ht="14.4" x14ac:dyDescent="0.3">
      <c r="A42" s="107" t="s">
        <v>985</v>
      </c>
      <c r="B42" s="108" t="s">
        <v>976</v>
      </c>
      <c r="C42" s="107"/>
      <c r="D42" s="107"/>
    </row>
    <row r="43" spans="1:4" ht="27.6" x14ac:dyDescent="0.3">
      <c r="A43" s="109" t="s">
        <v>985</v>
      </c>
      <c r="B43" s="110" t="s">
        <v>1043</v>
      </c>
      <c r="C43" s="9"/>
      <c r="D43" s="109"/>
    </row>
    <row r="44" spans="1:4" ht="27.6" x14ac:dyDescent="0.3">
      <c r="A44" s="107" t="s">
        <v>1044</v>
      </c>
      <c r="B44" s="108" t="s">
        <v>803</v>
      </c>
      <c r="C44" s="107"/>
      <c r="D44" s="107"/>
    </row>
    <row r="45" spans="1:4" ht="27.6" x14ac:dyDescent="0.3">
      <c r="A45" s="109" t="s">
        <v>1044</v>
      </c>
      <c r="B45" s="110" t="s">
        <v>1045</v>
      </c>
      <c r="C45" s="9"/>
      <c r="D45" s="109"/>
    </row>
    <row r="46" spans="1:4" ht="27.6" x14ac:dyDescent="0.3">
      <c r="A46" s="109" t="s">
        <v>1044</v>
      </c>
      <c r="B46" s="110" t="s">
        <v>1046</v>
      </c>
      <c r="C46" s="9"/>
      <c r="D46" s="109"/>
    </row>
    <row r="47" spans="1:4" ht="27.6" x14ac:dyDescent="0.3">
      <c r="A47" s="107" t="s">
        <v>1044</v>
      </c>
      <c r="B47" s="108" t="s">
        <v>1047</v>
      </c>
      <c r="C47" s="107"/>
      <c r="D47" s="107"/>
    </row>
    <row r="48" spans="1:4" ht="27.6" x14ac:dyDescent="0.3">
      <c r="A48" s="109" t="s">
        <v>1044</v>
      </c>
      <c r="B48" s="110" t="s">
        <v>1048</v>
      </c>
      <c r="C48" s="9"/>
      <c r="D48" s="109"/>
    </row>
    <row r="49" spans="1:4" ht="14.4" x14ac:dyDescent="0.3">
      <c r="A49" s="107" t="s">
        <v>1044</v>
      </c>
      <c r="B49" s="108" t="s">
        <v>959</v>
      </c>
      <c r="C49" s="107"/>
      <c r="D49" s="107"/>
    </row>
    <row r="50" spans="1:4" ht="27.6" x14ac:dyDescent="0.3">
      <c r="A50" s="109" t="s">
        <v>1044</v>
      </c>
      <c r="B50" s="110" t="s">
        <v>1049</v>
      </c>
      <c r="C50" s="9"/>
      <c r="D50" s="109"/>
    </row>
    <row r="51" spans="1:4" ht="14.4" x14ac:dyDescent="0.3">
      <c r="A51" s="107" t="s">
        <v>1044</v>
      </c>
      <c r="B51" s="108" t="s">
        <v>969</v>
      </c>
      <c r="C51" s="107"/>
      <c r="D51" s="107"/>
    </row>
    <row r="52" spans="1:4" ht="27.6" x14ac:dyDescent="0.3">
      <c r="A52" s="109" t="s">
        <v>1044</v>
      </c>
      <c r="B52" s="110" t="s">
        <v>1050</v>
      </c>
      <c r="C52" s="9"/>
      <c r="D52" s="109"/>
    </row>
    <row r="53" spans="1:4" ht="14.4" x14ac:dyDescent="0.3">
      <c r="A53" s="107" t="s">
        <v>1044</v>
      </c>
      <c r="B53" s="108" t="s">
        <v>976</v>
      </c>
      <c r="C53" s="107"/>
      <c r="D53" s="107"/>
    </row>
    <row r="54" spans="1:4" ht="27.6" x14ac:dyDescent="0.3">
      <c r="A54" s="109" t="s">
        <v>1044</v>
      </c>
      <c r="B54" s="110" t="s">
        <v>1051</v>
      </c>
      <c r="C54" s="9"/>
      <c r="D54" s="109"/>
    </row>
    <row r="55" spans="1:4" ht="27.6" x14ac:dyDescent="0.3">
      <c r="A55" s="107" t="s">
        <v>1052</v>
      </c>
      <c r="B55" s="108" t="s">
        <v>803</v>
      </c>
      <c r="C55" s="107"/>
      <c r="D55" s="107"/>
    </row>
    <row r="56" spans="1:4" ht="27.6" x14ac:dyDescent="0.3">
      <c r="A56" s="109" t="s">
        <v>1052</v>
      </c>
      <c r="B56" s="110" t="s">
        <v>1053</v>
      </c>
      <c r="C56" s="9"/>
      <c r="D56" s="109"/>
    </row>
    <row r="57" spans="1:4" ht="69" x14ac:dyDescent="0.3">
      <c r="A57" s="107" t="s">
        <v>1052</v>
      </c>
      <c r="B57" s="108" t="s">
        <v>1054</v>
      </c>
      <c r="C57" s="107"/>
      <c r="D57" s="107"/>
    </row>
    <row r="58" spans="1:4" ht="27.6" x14ac:dyDescent="0.3">
      <c r="A58" s="109" t="s">
        <v>1052</v>
      </c>
      <c r="B58" s="110" t="s">
        <v>1055</v>
      </c>
      <c r="C58" s="9"/>
      <c r="D58" s="109"/>
    </row>
    <row r="59" spans="1:4" ht="27.6" x14ac:dyDescent="0.3">
      <c r="A59" s="107" t="s">
        <v>1052</v>
      </c>
      <c r="B59" s="108" t="s">
        <v>1056</v>
      </c>
      <c r="C59" s="107"/>
      <c r="D59" s="107"/>
    </row>
    <row r="60" spans="1:4" ht="69" x14ac:dyDescent="0.3">
      <c r="A60" s="109" t="s">
        <v>1052</v>
      </c>
      <c r="B60" s="110" t="s">
        <v>1057</v>
      </c>
      <c r="C60" s="9"/>
      <c r="D60" s="109"/>
    </row>
    <row r="61" spans="1:4" ht="14.4" x14ac:dyDescent="0.3">
      <c r="A61" s="107" t="s">
        <v>1052</v>
      </c>
      <c r="B61" s="108" t="s">
        <v>428</v>
      </c>
      <c r="C61" s="107"/>
      <c r="D61" s="107"/>
    </row>
    <row r="62" spans="1:4" ht="14.4" x14ac:dyDescent="0.3">
      <c r="A62" s="107" t="s">
        <v>1052</v>
      </c>
      <c r="B62" s="108" t="s">
        <v>1058</v>
      </c>
      <c r="C62" s="107"/>
      <c r="D62" s="107"/>
    </row>
    <row r="63" spans="1:4" ht="27.6" x14ac:dyDescent="0.3">
      <c r="A63" s="109" t="s">
        <v>1052</v>
      </c>
      <c r="B63" s="110" t="s">
        <v>1059</v>
      </c>
      <c r="C63" s="9"/>
      <c r="D63" s="109"/>
    </row>
    <row r="64" spans="1:4" ht="14.4" x14ac:dyDescent="0.3">
      <c r="A64" s="107" t="s">
        <v>1052</v>
      </c>
      <c r="B64" s="108" t="s">
        <v>959</v>
      </c>
      <c r="C64" s="107"/>
      <c r="D64" s="107"/>
    </row>
    <row r="65" spans="1:4" ht="27.6" x14ac:dyDescent="0.3">
      <c r="A65" s="109" t="s">
        <v>1052</v>
      </c>
      <c r="B65" s="110" t="s">
        <v>1060</v>
      </c>
      <c r="C65" s="9"/>
      <c r="D65" s="109"/>
    </row>
    <row r="66" spans="1:4" ht="14.4" x14ac:dyDescent="0.3">
      <c r="A66" s="107" t="s">
        <v>1052</v>
      </c>
      <c r="B66" s="108" t="s">
        <v>969</v>
      </c>
      <c r="C66" s="107"/>
      <c r="D66" s="107"/>
    </row>
    <row r="67" spans="1:4" ht="27.6" x14ac:dyDescent="0.3">
      <c r="A67" s="109" t="s">
        <v>1052</v>
      </c>
      <c r="B67" s="110" t="s">
        <v>1061</v>
      </c>
      <c r="C67" s="9"/>
      <c r="D67" s="109"/>
    </row>
    <row r="68" spans="1:4" ht="14.4" x14ac:dyDescent="0.3">
      <c r="A68" s="107" t="s">
        <v>1052</v>
      </c>
      <c r="B68" s="108" t="s">
        <v>976</v>
      </c>
      <c r="C68" s="107"/>
      <c r="D68" s="107"/>
    </row>
    <row r="69" spans="1:4" ht="27.6" x14ac:dyDescent="0.3">
      <c r="A69" s="109" t="s">
        <v>1052</v>
      </c>
      <c r="B69" s="110" t="s">
        <v>1063</v>
      </c>
      <c r="C69" s="9"/>
      <c r="D69" s="109"/>
    </row>
    <row r="70" spans="1:4" ht="27.6" x14ac:dyDescent="0.3">
      <c r="A70" s="107" t="s">
        <v>1064</v>
      </c>
      <c r="B70" s="108" t="s">
        <v>803</v>
      </c>
      <c r="C70" s="107"/>
      <c r="D70" s="107"/>
    </row>
    <row r="71" spans="1:4" ht="27.6" x14ac:dyDescent="0.3">
      <c r="A71" s="109" t="s">
        <v>1064</v>
      </c>
      <c r="B71" s="110" t="s">
        <v>1065</v>
      </c>
      <c r="C71" s="9"/>
      <c r="D71" s="109"/>
    </row>
    <row r="72" spans="1:4" ht="69" x14ac:dyDescent="0.3">
      <c r="A72" s="107" t="s">
        <v>1064</v>
      </c>
      <c r="B72" s="108" t="s">
        <v>1066</v>
      </c>
      <c r="C72" s="107"/>
      <c r="D72" s="107"/>
    </row>
    <row r="73" spans="1:4" ht="27.6" x14ac:dyDescent="0.3">
      <c r="A73" s="109" t="s">
        <v>1064</v>
      </c>
      <c r="B73" s="110" t="s">
        <v>1069</v>
      </c>
      <c r="C73" s="9"/>
      <c r="D73" s="109"/>
    </row>
    <row r="74" spans="1:4" ht="27.6" x14ac:dyDescent="0.3">
      <c r="A74" s="107" t="s">
        <v>1070</v>
      </c>
      <c r="B74" s="108" t="s">
        <v>1071</v>
      </c>
      <c r="C74" s="107"/>
      <c r="D74" s="107"/>
    </row>
    <row r="75" spans="1:4" ht="14.4" x14ac:dyDescent="0.3">
      <c r="A75" s="109" t="s">
        <v>1070</v>
      </c>
      <c r="B75" s="110" t="s">
        <v>1072</v>
      </c>
      <c r="C75" s="9"/>
      <c r="D75" s="109"/>
    </row>
    <row r="76" spans="1:4" ht="69" x14ac:dyDescent="0.3">
      <c r="A76" s="107" t="s">
        <v>1070</v>
      </c>
      <c r="B76" s="108" t="s">
        <v>1054</v>
      </c>
      <c r="C76" s="107"/>
      <c r="D76" s="107"/>
    </row>
    <row r="77" spans="1:4" ht="14.4" x14ac:dyDescent="0.3">
      <c r="A77" s="109" t="s">
        <v>1070</v>
      </c>
      <c r="B77" s="110" t="s">
        <v>1074</v>
      </c>
      <c r="C77" s="9"/>
      <c r="D77" s="109"/>
    </row>
    <row r="78" spans="1:4" ht="14.4" x14ac:dyDescent="0.3">
      <c r="A78" s="120"/>
      <c r="B78" s="46"/>
      <c r="C78" s="17"/>
      <c r="D78" s="17"/>
    </row>
    <row r="79" spans="1:4" ht="14.4" x14ac:dyDescent="0.3">
      <c r="A79" s="120"/>
      <c r="B79" s="46"/>
      <c r="C79" s="17"/>
      <c r="D79" s="17"/>
    </row>
    <row r="80" spans="1:4" ht="14.4" x14ac:dyDescent="0.3">
      <c r="A80" s="120"/>
      <c r="B80" s="15" t="s">
        <v>75</v>
      </c>
      <c r="C80" s="2">
        <f>COUNTIF($C$5:$C$77,"C")</f>
        <v>1</v>
      </c>
      <c r="D80" s="17"/>
    </row>
    <row r="81" spans="2:3" ht="14.4" x14ac:dyDescent="0.3">
      <c r="B81" s="15" t="s">
        <v>81</v>
      </c>
      <c r="C81" s="2">
        <f>COUNTIF($C$5:$C$77,"NC")</f>
        <v>1</v>
      </c>
    </row>
    <row r="82" spans="2:3" ht="14.4" x14ac:dyDescent="0.3">
      <c r="B82" s="15" t="s">
        <v>84</v>
      </c>
      <c r="C82" s="2">
        <f>COUNTIF($C$5:$C$77,"NA")</f>
        <v>1</v>
      </c>
    </row>
  </sheetData>
  <autoFilter ref="A4:D77" xr:uid="{00000000-0009-0000-0000-00000D000000}"/>
  <conditionalFormatting sqref="C6:C8 C10:C14 C16 C18:C19 C21:C27 C29:C30 C32:C33 C35 C37 C39 C41 C43 C45:C46 C48 C50 C52 C54 C56 C58 C60 C63 C65 C67 C69 C71 C73 C75 C77">
    <cfRule type="beginsWith" dxfId="101" priority="1" operator="beginsWith" text="C">
      <formula>LEFT((C6),LEN("C"))=("C")</formula>
    </cfRule>
    <cfRule type="beginsWith" dxfId="100" priority="2" operator="beginsWith" text="NC">
      <formula>LEFT((C6),LEN("NC"))=("NC")</formula>
    </cfRule>
    <cfRule type="beginsWith" dxfId="99" priority="3" operator="beginsWith" text="NA">
      <formula>LEFT((C6),LEN("NA"))=("NA")</formula>
    </cfRule>
  </conditionalFormatting>
  <dataValidations count="1">
    <dataValidation type="list" allowBlank="1" sqref="C6:C8 C10:C14 C16 C18:C19 C21:C27 C29:C30 C32:C33 C35 C37 C39 C41 C43 C45:C46 C48 C50 C52 C54 C56 C58 C60 C63 C65 C67 C69 C71 C73 C75 C77" xr:uid="{00000000-0002-0000-0D00-000000000000}">
      <formula1>"C,NC,NA"</formula1>
    </dataValidation>
  </dataValidations>
  <hyperlinks>
    <hyperlink ref="B1" location="'Tabla de contenido'!A1" display="VOLVER A TABLA DE CONTENIDO" xr:uid="{00000000-0004-0000-0D00-000000000000}"/>
  </hyperlink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41B47"/>
  </sheetPr>
  <dimension ref="A1:D76"/>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4.33203125" customWidth="1"/>
    <col min="3" max="3" width="11.5546875" customWidth="1"/>
    <col min="4" max="4" width="40.21875" customWidth="1" outlineLevel="1"/>
    <col min="5" max="24" width="10.77734375" customWidth="1"/>
  </cols>
  <sheetData>
    <row r="1" spans="1:4" ht="14.4" x14ac:dyDescent="0.3">
      <c r="A1" s="269"/>
      <c r="B1" s="270" t="s">
        <v>0</v>
      </c>
      <c r="C1" s="269"/>
      <c r="D1" s="269"/>
    </row>
    <row r="2" spans="1:4" ht="14.4" x14ac:dyDescent="0.3">
      <c r="A2" s="74"/>
      <c r="B2" s="115" t="s">
        <v>919</v>
      </c>
      <c r="C2" s="116"/>
      <c r="D2" s="77"/>
    </row>
    <row r="3" spans="1:4" ht="14.4" x14ac:dyDescent="0.3">
      <c r="A3" s="6"/>
      <c r="B3" s="40" t="s">
        <v>1062</v>
      </c>
      <c r="C3" s="117"/>
      <c r="D3" s="19"/>
    </row>
    <row r="4" spans="1:4" ht="14.4" x14ac:dyDescent="0.3">
      <c r="A4" s="118" t="s">
        <v>7</v>
      </c>
      <c r="B4" s="40" t="s">
        <v>9</v>
      </c>
      <c r="C4" s="6" t="s">
        <v>10</v>
      </c>
      <c r="D4" s="6" t="s">
        <v>11</v>
      </c>
    </row>
    <row r="5" spans="1:4" ht="14.4" x14ac:dyDescent="0.3">
      <c r="A5" s="26" t="s">
        <v>1067</v>
      </c>
      <c r="B5" s="12" t="s">
        <v>1068</v>
      </c>
      <c r="C5" s="119"/>
      <c r="D5" s="119"/>
    </row>
    <row r="6" spans="1:4" ht="27.6" x14ac:dyDescent="0.3">
      <c r="A6" s="36" t="s">
        <v>1067</v>
      </c>
      <c r="B6" s="37" t="s">
        <v>1073</v>
      </c>
      <c r="C6" s="23" t="s">
        <v>16</v>
      </c>
      <c r="D6" s="50"/>
    </row>
    <row r="7" spans="1:4" ht="69" x14ac:dyDescent="0.3">
      <c r="A7" s="36" t="s">
        <v>1067</v>
      </c>
      <c r="B7" s="37" t="s">
        <v>1075</v>
      </c>
      <c r="C7" s="23" t="s">
        <v>20</v>
      </c>
      <c r="D7" s="36"/>
    </row>
    <row r="8" spans="1:4" ht="55.2" x14ac:dyDescent="0.3">
      <c r="A8" s="26" t="s">
        <v>1067</v>
      </c>
      <c r="B8" s="12" t="s">
        <v>1076</v>
      </c>
      <c r="C8" s="119"/>
      <c r="D8" s="119"/>
    </row>
    <row r="9" spans="1:4" ht="41.4" x14ac:dyDescent="0.3">
      <c r="A9" s="36" t="s">
        <v>1067</v>
      </c>
      <c r="B9" s="110" t="s">
        <v>1077</v>
      </c>
      <c r="C9" s="121" t="s">
        <v>24</v>
      </c>
      <c r="D9" s="109"/>
    </row>
    <row r="10" spans="1:4" ht="55.2" x14ac:dyDescent="0.3">
      <c r="A10" s="36" t="s">
        <v>1067</v>
      </c>
      <c r="B10" s="110" t="s">
        <v>1078</v>
      </c>
      <c r="C10" s="121"/>
      <c r="D10" s="109"/>
    </row>
    <row r="11" spans="1:4" ht="27.6" x14ac:dyDescent="0.3">
      <c r="A11" s="36" t="s">
        <v>1067</v>
      </c>
      <c r="B11" s="110" t="s">
        <v>1079</v>
      </c>
      <c r="C11" s="121"/>
      <c r="D11" s="109"/>
    </row>
    <row r="12" spans="1:4" ht="14.4" x14ac:dyDescent="0.3">
      <c r="A12" s="122" t="s">
        <v>1080</v>
      </c>
      <c r="B12" s="123" t="s">
        <v>1081</v>
      </c>
      <c r="C12" s="124"/>
      <c r="D12" s="124"/>
    </row>
    <row r="13" spans="1:4" ht="27.6" x14ac:dyDescent="0.3">
      <c r="A13" s="26" t="s">
        <v>1080</v>
      </c>
      <c r="B13" s="12" t="s">
        <v>1082</v>
      </c>
      <c r="C13" s="119"/>
      <c r="D13" s="119"/>
    </row>
    <row r="14" spans="1:4" ht="27.6" x14ac:dyDescent="0.3">
      <c r="A14" s="36" t="s">
        <v>1080</v>
      </c>
      <c r="B14" s="47" t="s">
        <v>1083</v>
      </c>
      <c r="C14" s="23"/>
      <c r="D14" s="36"/>
    </row>
    <row r="15" spans="1:4" ht="14.4" x14ac:dyDescent="0.3">
      <c r="A15" s="26" t="s">
        <v>1080</v>
      </c>
      <c r="B15" s="12" t="s">
        <v>1084</v>
      </c>
      <c r="C15" s="119"/>
      <c r="D15" s="119"/>
    </row>
    <row r="16" spans="1:4" ht="14.4" x14ac:dyDescent="0.3">
      <c r="A16" s="36" t="s">
        <v>1080</v>
      </c>
      <c r="B16" s="125" t="s">
        <v>1085</v>
      </c>
      <c r="C16" s="121"/>
      <c r="D16" s="109"/>
    </row>
    <row r="17" spans="1:4" ht="27.6" x14ac:dyDescent="0.3">
      <c r="A17" s="36" t="s">
        <v>1080</v>
      </c>
      <c r="B17" s="125" t="s">
        <v>1086</v>
      </c>
      <c r="C17" s="121"/>
      <c r="D17" s="109"/>
    </row>
    <row r="18" spans="1:4" ht="27.6" x14ac:dyDescent="0.3">
      <c r="A18" s="36" t="s">
        <v>1080</v>
      </c>
      <c r="B18" s="125" t="s">
        <v>1087</v>
      </c>
      <c r="C18" s="121"/>
      <c r="D18" s="109"/>
    </row>
    <row r="19" spans="1:4" ht="41.4" x14ac:dyDescent="0.3">
      <c r="A19" s="36" t="s">
        <v>1080</v>
      </c>
      <c r="B19" s="125" t="s">
        <v>1088</v>
      </c>
      <c r="C19" s="121"/>
      <c r="D19" s="109"/>
    </row>
    <row r="20" spans="1:4" ht="41.4" x14ac:dyDescent="0.3">
      <c r="A20" s="36" t="s">
        <v>1080</v>
      </c>
      <c r="B20" s="125" t="s">
        <v>1089</v>
      </c>
      <c r="C20" s="121"/>
      <c r="D20" s="109"/>
    </row>
    <row r="21" spans="1:4" ht="27.6" x14ac:dyDescent="0.3">
      <c r="A21" s="36" t="s">
        <v>1080</v>
      </c>
      <c r="B21" s="125" t="s">
        <v>1090</v>
      </c>
      <c r="C21" s="121"/>
      <c r="D21" s="109"/>
    </row>
    <row r="22" spans="1:4" ht="27.6" x14ac:dyDescent="0.3">
      <c r="A22" s="36" t="s">
        <v>1080</v>
      </c>
      <c r="B22" s="125" t="s">
        <v>1091</v>
      </c>
      <c r="C22" s="121"/>
      <c r="D22" s="109"/>
    </row>
    <row r="23" spans="1:4" ht="14.4" x14ac:dyDescent="0.3">
      <c r="A23" s="36" t="s">
        <v>1080</v>
      </c>
      <c r="B23" s="125" t="s">
        <v>1092</v>
      </c>
      <c r="C23" s="121"/>
      <c r="D23" s="109"/>
    </row>
    <row r="24" spans="1:4" ht="41.4" x14ac:dyDescent="0.3">
      <c r="A24" s="26" t="s">
        <v>1080</v>
      </c>
      <c r="B24" s="12" t="s">
        <v>1093</v>
      </c>
      <c r="C24" s="119"/>
      <c r="D24" s="119"/>
    </row>
    <row r="25" spans="1:4" ht="27.6" x14ac:dyDescent="0.3">
      <c r="A25" s="36" t="s">
        <v>1080</v>
      </c>
      <c r="B25" s="125" t="s">
        <v>1094</v>
      </c>
      <c r="C25" s="121"/>
      <c r="D25" s="126"/>
    </row>
    <row r="26" spans="1:4" ht="41.4" x14ac:dyDescent="0.3">
      <c r="A26" s="26" t="s">
        <v>1080</v>
      </c>
      <c r="B26" s="12" t="s">
        <v>1095</v>
      </c>
      <c r="C26" s="119"/>
      <c r="D26" s="119"/>
    </row>
    <row r="27" spans="1:4" ht="69" x14ac:dyDescent="0.3">
      <c r="A27" s="36" t="s">
        <v>1080</v>
      </c>
      <c r="B27" s="125" t="s">
        <v>1096</v>
      </c>
      <c r="C27" s="121"/>
      <c r="D27" s="126"/>
    </row>
    <row r="28" spans="1:4" ht="41.4" x14ac:dyDescent="0.3">
      <c r="A28" s="26" t="s">
        <v>1080</v>
      </c>
      <c r="B28" s="12" t="s">
        <v>1093</v>
      </c>
      <c r="C28" s="119"/>
      <c r="D28" s="119"/>
    </row>
    <row r="29" spans="1:4" ht="27.6" x14ac:dyDescent="0.3">
      <c r="A29" s="36" t="s">
        <v>1080</v>
      </c>
      <c r="B29" s="125" t="s">
        <v>1097</v>
      </c>
      <c r="C29" s="121"/>
      <c r="D29" s="126"/>
    </row>
    <row r="30" spans="1:4" ht="14.4" x14ac:dyDescent="0.3">
      <c r="A30" s="128" t="s">
        <v>1098</v>
      </c>
      <c r="B30" s="129" t="s">
        <v>1099</v>
      </c>
      <c r="C30" s="130"/>
      <c r="D30" s="130"/>
    </row>
    <row r="31" spans="1:4" ht="27.6" x14ac:dyDescent="0.3">
      <c r="A31" s="26" t="s">
        <v>1098</v>
      </c>
      <c r="B31" s="12" t="s">
        <v>1082</v>
      </c>
      <c r="C31" s="119"/>
      <c r="D31" s="119"/>
    </row>
    <row r="32" spans="1:4" ht="27.6" x14ac:dyDescent="0.3">
      <c r="A32" s="36" t="s">
        <v>1098</v>
      </c>
      <c r="B32" s="48" t="s">
        <v>1100</v>
      </c>
      <c r="C32" s="23"/>
      <c r="D32" s="49"/>
    </row>
    <row r="33" spans="1:4" ht="55.2" x14ac:dyDescent="0.3">
      <c r="A33" s="36" t="s">
        <v>1098</v>
      </c>
      <c r="B33" s="131" t="s">
        <v>1101</v>
      </c>
      <c r="C33" s="23"/>
      <c r="D33" s="132"/>
    </row>
    <row r="34" spans="1:4" ht="27.6" x14ac:dyDescent="0.3">
      <c r="A34" s="36" t="s">
        <v>1098</v>
      </c>
      <c r="B34" s="47" t="s">
        <v>1102</v>
      </c>
      <c r="C34" s="23"/>
      <c r="D34" s="36"/>
    </row>
    <row r="35" spans="1:4" ht="41.4" x14ac:dyDescent="0.3">
      <c r="A35" s="26" t="s">
        <v>1098</v>
      </c>
      <c r="B35" s="12" t="s">
        <v>1093</v>
      </c>
      <c r="C35" s="119"/>
      <c r="D35" s="119"/>
    </row>
    <row r="36" spans="1:4" ht="27.6" x14ac:dyDescent="0.3">
      <c r="A36" s="36" t="s">
        <v>1098</v>
      </c>
      <c r="B36" s="47" t="s">
        <v>1103</v>
      </c>
      <c r="C36" s="23"/>
      <c r="D36" s="36"/>
    </row>
    <row r="37" spans="1:4" ht="14.4" x14ac:dyDescent="0.3">
      <c r="A37" s="26" t="s">
        <v>1104</v>
      </c>
      <c r="B37" s="12" t="s">
        <v>1081</v>
      </c>
      <c r="C37" s="119"/>
      <c r="D37" s="119"/>
    </row>
    <row r="38" spans="1:4" ht="27.6" x14ac:dyDescent="0.3">
      <c r="A38" s="26" t="s">
        <v>1104</v>
      </c>
      <c r="B38" s="12" t="s">
        <v>1082</v>
      </c>
      <c r="C38" s="119"/>
      <c r="D38" s="119"/>
    </row>
    <row r="39" spans="1:4" ht="27.6" x14ac:dyDescent="0.3">
      <c r="A39" s="36" t="s">
        <v>1104</v>
      </c>
      <c r="B39" s="47" t="s">
        <v>1034</v>
      </c>
      <c r="C39" s="23"/>
      <c r="D39" s="36"/>
    </row>
    <row r="40" spans="1:4" ht="41.4" x14ac:dyDescent="0.3">
      <c r="A40" s="26" t="s">
        <v>1104</v>
      </c>
      <c r="B40" s="12" t="s">
        <v>1093</v>
      </c>
      <c r="C40" s="119"/>
      <c r="D40" s="119"/>
    </row>
    <row r="41" spans="1:4" ht="27.6" x14ac:dyDescent="0.3">
      <c r="A41" s="36" t="s">
        <v>1104</v>
      </c>
      <c r="B41" s="47" t="s">
        <v>1105</v>
      </c>
      <c r="C41" s="23"/>
      <c r="D41" s="36"/>
    </row>
    <row r="42" spans="1:4" ht="14.4" x14ac:dyDescent="0.3">
      <c r="A42" s="26" t="s">
        <v>1104</v>
      </c>
      <c r="B42" s="12" t="s">
        <v>1106</v>
      </c>
      <c r="C42" s="119"/>
      <c r="D42" s="119"/>
    </row>
    <row r="43" spans="1:4" ht="27.6" x14ac:dyDescent="0.3">
      <c r="A43" s="26" t="s">
        <v>1104</v>
      </c>
      <c r="B43" s="12" t="s">
        <v>1082</v>
      </c>
      <c r="C43" s="119"/>
      <c r="D43" s="119"/>
    </row>
    <row r="44" spans="1:4" ht="27.6" x14ac:dyDescent="0.3">
      <c r="A44" s="36" t="s">
        <v>1104</v>
      </c>
      <c r="B44" s="47" t="s">
        <v>1107</v>
      </c>
      <c r="C44" s="23"/>
      <c r="D44" s="36"/>
    </row>
    <row r="45" spans="1:4" ht="41.4" x14ac:dyDescent="0.3">
      <c r="A45" s="36" t="s">
        <v>1104</v>
      </c>
      <c r="B45" s="47" t="s">
        <v>1108</v>
      </c>
      <c r="C45" s="23"/>
      <c r="D45" s="36"/>
    </row>
    <row r="46" spans="1:4" ht="41.4" x14ac:dyDescent="0.3">
      <c r="A46" s="26" t="s">
        <v>1104</v>
      </c>
      <c r="B46" s="12" t="s">
        <v>1093</v>
      </c>
      <c r="C46" s="119"/>
      <c r="D46" s="119"/>
    </row>
    <row r="47" spans="1:4" ht="27.6" x14ac:dyDescent="0.3">
      <c r="A47" s="36" t="s">
        <v>1104</v>
      </c>
      <c r="B47" s="125" t="s">
        <v>1043</v>
      </c>
      <c r="C47" s="121"/>
      <c r="D47" s="109"/>
    </row>
    <row r="48" spans="1:4" ht="14.4" x14ac:dyDescent="0.3">
      <c r="A48" s="26" t="s">
        <v>1109</v>
      </c>
      <c r="B48" s="12" t="s">
        <v>1081</v>
      </c>
      <c r="C48" s="119"/>
      <c r="D48" s="119"/>
    </row>
    <row r="49" spans="1:4" ht="27.6" x14ac:dyDescent="0.3">
      <c r="A49" s="26" t="s">
        <v>1109</v>
      </c>
      <c r="B49" s="12" t="s">
        <v>1110</v>
      </c>
      <c r="C49" s="119"/>
      <c r="D49" s="119"/>
    </row>
    <row r="50" spans="1:4" ht="41.4" x14ac:dyDescent="0.3">
      <c r="A50" s="36" t="s">
        <v>1109</v>
      </c>
      <c r="B50" s="37" t="s">
        <v>1111</v>
      </c>
      <c r="C50" s="23"/>
      <c r="D50" s="50"/>
    </row>
    <row r="51" spans="1:4" ht="27.6" x14ac:dyDescent="0.3">
      <c r="A51" s="36" t="s">
        <v>1109</v>
      </c>
      <c r="B51" s="37" t="s">
        <v>1112</v>
      </c>
      <c r="C51" s="23"/>
      <c r="D51" s="36"/>
    </row>
    <row r="52" spans="1:4" ht="41.4" x14ac:dyDescent="0.3">
      <c r="A52" s="36" t="s">
        <v>1109</v>
      </c>
      <c r="B52" s="110" t="s">
        <v>1113</v>
      </c>
      <c r="C52" s="121"/>
      <c r="D52" s="109"/>
    </row>
    <row r="53" spans="1:4" ht="14.4" x14ac:dyDescent="0.3">
      <c r="A53" s="36" t="s">
        <v>1109</v>
      </c>
      <c r="B53" s="110" t="s">
        <v>1114</v>
      </c>
      <c r="C53" s="121"/>
      <c r="D53" s="109"/>
    </row>
    <row r="54" spans="1:4" ht="27.6" x14ac:dyDescent="0.3">
      <c r="A54" s="36" t="s">
        <v>1109</v>
      </c>
      <c r="B54" s="110" t="s">
        <v>1115</v>
      </c>
      <c r="C54" s="121"/>
      <c r="D54" s="109"/>
    </row>
    <row r="55" spans="1:4" ht="41.4" x14ac:dyDescent="0.3">
      <c r="A55" s="26" t="s">
        <v>1109</v>
      </c>
      <c r="B55" s="12" t="s">
        <v>1093</v>
      </c>
      <c r="C55" s="119"/>
      <c r="D55" s="119"/>
    </row>
    <row r="56" spans="1:4" ht="27.6" x14ac:dyDescent="0.3">
      <c r="A56" s="36" t="s">
        <v>1109</v>
      </c>
      <c r="B56" s="47" t="s">
        <v>1048</v>
      </c>
      <c r="C56" s="23"/>
      <c r="D56" s="36"/>
    </row>
    <row r="57" spans="1:4" ht="14.4" x14ac:dyDescent="0.3">
      <c r="A57" s="26" t="s">
        <v>1109</v>
      </c>
      <c r="B57" s="12" t="s">
        <v>1106</v>
      </c>
      <c r="C57" s="119"/>
      <c r="D57" s="119"/>
    </row>
    <row r="58" spans="1:4" ht="27.6" x14ac:dyDescent="0.3">
      <c r="A58" s="26" t="s">
        <v>1109</v>
      </c>
      <c r="B58" s="12" t="s">
        <v>1110</v>
      </c>
      <c r="C58" s="119"/>
      <c r="D58" s="119"/>
    </row>
    <row r="59" spans="1:4" ht="55.2" x14ac:dyDescent="0.3">
      <c r="A59" s="36" t="s">
        <v>1109</v>
      </c>
      <c r="B59" s="47" t="s">
        <v>1116</v>
      </c>
      <c r="C59" s="23"/>
      <c r="D59" s="36"/>
    </row>
    <row r="60" spans="1:4" ht="41.4" x14ac:dyDescent="0.3">
      <c r="A60" s="26" t="s">
        <v>1109</v>
      </c>
      <c r="B60" s="12" t="s">
        <v>1093</v>
      </c>
      <c r="C60" s="119"/>
      <c r="D60" s="119"/>
    </row>
    <row r="61" spans="1:4" ht="27.6" x14ac:dyDescent="0.3">
      <c r="A61" s="36" t="s">
        <v>1109</v>
      </c>
      <c r="B61" s="47" t="s">
        <v>1117</v>
      </c>
      <c r="C61" s="23"/>
      <c r="D61" s="36"/>
    </row>
    <row r="62" spans="1:4" ht="14.4" x14ac:dyDescent="0.3">
      <c r="A62" s="26" t="s">
        <v>1118</v>
      </c>
      <c r="B62" s="12" t="s">
        <v>1099</v>
      </c>
      <c r="C62" s="119"/>
      <c r="D62" s="119"/>
    </row>
    <row r="63" spans="1:4" ht="27.6" x14ac:dyDescent="0.3">
      <c r="A63" s="26" t="s">
        <v>1118</v>
      </c>
      <c r="B63" s="12" t="s">
        <v>1110</v>
      </c>
      <c r="C63" s="119"/>
      <c r="D63" s="119"/>
    </row>
    <row r="64" spans="1:4" ht="27.6" x14ac:dyDescent="0.3">
      <c r="A64" s="36" t="s">
        <v>1118</v>
      </c>
      <c r="B64" s="47" t="s">
        <v>1119</v>
      </c>
      <c r="C64" s="23"/>
      <c r="D64" s="36"/>
    </row>
    <row r="65" spans="1:4" ht="41.4" x14ac:dyDescent="0.3">
      <c r="A65" s="26" t="s">
        <v>1118</v>
      </c>
      <c r="B65" s="12" t="s">
        <v>1093</v>
      </c>
      <c r="C65" s="119"/>
      <c r="D65" s="119"/>
    </row>
    <row r="66" spans="1:4" ht="27.6" x14ac:dyDescent="0.3">
      <c r="A66" s="36" t="s">
        <v>1118</v>
      </c>
      <c r="B66" s="125" t="s">
        <v>1053</v>
      </c>
      <c r="C66" s="121"/>
      <c r="D66" s="109"/>
    </row>
    <row r="67" spans="1:4" ht="14.4" x14ac:dyDescent="0.3">
      <c r="A67" s="26" t="s">
        <v>1120</v>
      </c>
      <c r="B67" s="12" t="s">
        <v>1099</v>
      </c>
      <c r="C67" s="119"/>
      <c r="D67" s="119"/>
    </row>
    <row r="68" spans="1:4" ht="27.6" x14ac:dyDescent="0.3">
      <c r="A68" s="26" t="s">
        <v>1120</v>
      </c>
      <c r="B68" s="12" t="s">
        <v>1110</v>
      </c>
      <c r="C68" s="119"/>
      <c r="D68" s="119"/>
    </row>
    <row r="69" spans="1:4" ht="14.4" x14ac:dyDescent="0.3">
      <c r="A69" s="36" t="s">
        <v>1120</v>
      </c>
      <c r="B69" s="125" t="s">
        <v>1121</v>
      </c>
      <c r="C69" s="121"/>
      <c r="D69" s="109"/>
    </row>
    <row r="70" spans="1:4" ht="41.4" x14ac:dyDescent="0.3">
      <c r="A70" s="26" t="s">
        <v>1120</v>
      </c>
      <c r="B70" s="12" t="s">
        <v>1093</v>
      </c>
      <c r="C70" s="119"/>
      <c r="D70" s="119"/>
    </row>
    <row r="71" spans="1:4" ht="14.4" x14ac:dyDescent="0.3">
      <c r="A71" s="36" t="s">
        <v>1120</v>
      </c>
      <c r="B71" s="47" t="s">
        <v>1122</v>
      </c>
      <c r="C71" s="23"/>
      <c r="D71" s="54"/>
    </row>
    <row r="72" spans="1:4" ht="14.4" x14ac:dyDescent="0.3">
      <c r="A72" s="17"/>
      <c r="B72" s="46"/>
      <c r="C72" s="17"/>
      <c r="D72" s="17"/>
    </row>
    <row r="73" spans="1:4" ht="14.4" x14ac:dyDescent="0.3">
      <c r="A73" s="17"/>
      <c r="B73" s="46"/>
      <c r="C73" s="17"/>
      <c r="D73" s="17"/>
    </row>
    <row r="74" spans="1:4" ht="14.4" x14ac:dyDescent="0.3">
      <c r="A74" s="17"/>
      <c r="B74" s="15" t="s">
        <v>75</v>
      </c>
      <c r="C74" s="2">
        <f>COUNTIF($C$5:$C$71,"C")</f>
        <v>1</v>
      </c>
      <c r="D74" s="17"/>
    </row>
    <row r="75" spans="1:4" ht="14.4" x14ac:dyDescent="0.3">
      <c r="A75" s="17"/>
      <c r="B75" s="15" t="s">
        <v>81</v>
      </c>
      <c r="C75" s="2">
        <f>COUNTIF($C$5:$C$71,"NC")</f>
        <v>1</v>
      </c>
      <c r="D75" s="17"/>
    </row>
    <row r="76" spans="1:4" ht="14.4" x14ac:dyDescent="0.3">
      <c r="A76" s="17"/>
      <c r="B76" s="15" t="s">
        <v>84</v>
      </c>
      <c r="C76" s="2">
        <f>COUNTIF($C$5:$C$71,"NA")</f>
        <v>1</v>
      </c>
      <c r="D76" s="17"/>
    </row>
  </sheetData>
  <autoFilter ref="A4:D71" xr:uid="{00000000-0009-0000-0000-00000E000000}"/>
  <conditionalFormatting sqref="C6:C7 C9:C11 C14 C16:C23 C25 C27 C29 C32:C34 C36 C39 C41 C44:C45 C47 C50:C54 C56 C59 C61 C64 C66 C69 C71">
    <cfRule type="beginsWith" dxfId="98" priority="1" operator="beginsWith" text="C">
      <formula>LEFT((C6),LEN("C"))=("C")</formula>
    </cfRule>
    <cfRule type="beginsWith" dxfId="97" priority="2" operator="beginsWith" text="NC">
      <formula>LEFT((C6),LEN("NC"))=("NC")</formula>
    </cfRule>
    <cfRule type="beginsWith" dxfId="96" priority="3" operator="beginsWith" text="NA">
      <formula>LEFT((C6),LEN("NA"))=("NA")</formula>
    </cfRule>
  </conditionalFormatting>
  <dataValidations count="1">
    <dataValidation type="list" allowBlank="1" sqref="C6:C7 C9:C11 C14 C16:C23 C25 C27 C29 C32:C34 C36 C39 C41 C44:C45 C47 C50:C54 C56 C59 C61 C64 C66 C69 C71" xr:uid="{00000000-0002-0000-0E00-000000000000}">
      <formula1>"C,NC,NA"</formula1>
    </dataValidation>
  </dataValidations>
  <hyperlinks>
    <hyperlink ref="B1" location="'Tabla de contenido'!A1" display="VOLVER A TABLA DE CONTENIDO" xr:uid="{00000000-0004-0000-0E00-000000000000}"/>
  </hyperlink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41B47"/>
  </sheetPr>
  <dimension ref="A1:D74"/>
  <sheetViews>
    <sheetView showGridLines="0" topLeftCell="A37" workbookViewId="0">
      <selection activeCell="B44" sqref="B44"/>
    </sheetView>
  </sheetViews>
  <sheetFormatPr baseColWidth="10" defaultColWidth="14.44140625" defaultRowHeight="15" customHeight="1" outlineLevelCol="1" x14ac:dyDescent="0.3"/>
  <cols>
    <col min="1" max="1" width="15.33203125" customWidth="1"/>
    <col min="2" max="2" width="58.88671875" customWidth="1"/>
    <col min="3" max="3" width="11.5546875" customWidth="1"/>
    <col min="4" max="4" width="40.21875" customWidth="1" outlineLevel="1"/>
    <col min="5" max="24" width="10.77734375" customWidth="1"/>
  </cols>
  <sheetData>
    <row r="1" spans="1:4" ht="14.4" x14ac:dyDescent="0.3">
      <c r="A1" s="269"/>
      <c r="B1" s="270" t="s">
        <v>0</v>
      </c>
      <c r="C1" s="269"/>
      <c r="D1" s="269"/>
    </row>
    <row r="2" spans="1:4" ht="14.4" x14ac:dyDescent="0.3">
      <c r="A2" s="74"/>
      <c r="B2" s="75" t="s">
        <v>919</v>
      </c>
      <c r="C2" s="116"/>
      <c r="D2" s="77"/>
    </row>
    <row r="3" spans="1:4" ht="14.4" x14ac:dyDescent="0.3">
      <c r="A3" s="6"/>
      <c r="B3" s="18" t="s">
        <v>1123</v>
      </c>
      <c r="C3" s="117"/>
      <c r="D3" s="19"/>
    </row>
    <row r="4" spans="1:4" ht="14.4" x14ac:dyDescent="0.3">
      <c r="A4" s="118" t="s">
        <v>7</v>
      </c>
      <c r="B4" s="18" t="s">
        <v>9</v>
      </c>
      <c r="C4" s="6" t="s">
        <v>10</v>
      </c>
      <c r="D4" s="6" t="s">
        <v>11</v>
      </c>
    </row>
    <row r="5" spans="1:4" ht="14.4" x14ac:dyDescent="0.3">
      <c r="A5" s="134" t="s">
        <v>1124</v>
      </c>
      <c r="B5" s="32" t="s">
        <v>1125</v>
      </c>
      <c r="C5" s="31"/>
      <c r="D5" s="31"/>
    </row>
    <row r="6" spans="1:4" ht="27.6" x14ac:dyDescent="0.3">
      <c r="A6" s="36" t="s">
        <v>1124</v>
      </c>
      <c r="B6" s="37" t="s">
        <v>1126</v>
      </c>
      <c r="C6" s="23" t="s">
        <v>16</v>
      </c>
      <c r="D6" s="36"/>
    </row>
    <row r="7" spans="1:4" ht="41.4" x14ac:dyDescent="0.3">
      <c r="A7" s="36" t="s">
        <v>1124</v>
      </c>
      <c r="B7" s="37" t="s">
        <v>1127</v>
      </c>
      <c r="C7" s="23" t="s">
        <v>20</v>
      </c>
      <c r="D7" s="50"/>
    </row>
    <row r="8" spans="1:4" ht="41.4" x14ac:dyDescent="0.3">
      <c r="A8" s="36" t="s">
        <v>1124</v>
      </c>
      <c r="B8" s="37" t="s">
        <v>1128</v>
      </c>
      <c r="C8" s="23" t="s">
        <v>24</v>
      </c>
      <c r="D8" s="36"/>
    </row>
    <row r="9" spans="1:4" ht="27.6" x14ac:dyDescent="0.3">
      <c r="A9" s="36" t="s">
        <v>1124</v>
      </c>
      <c r="B9" s="37" t="s">
        <v>1129</v>
      </c>
      <c r="C9" s="23"/>
      <c r="D9" s="50"/>
    </row>
    <row r="10" spans="1:4" ht="27.6" x14ac:dyDescent="0.3">
      <c r="A10" s="134" t="s">
        <v>1124</v>
      </c>
      <c r="B10" s="32" t="s">
        <v>1130</v>
      </c>
      <c r="C10" s="134"/>
      <c r="D10" s="31"/>
    </row>
    <row r="11" spans="1:4" ht="27.6" x14ac:dyDescent="0.3">
      <c r="A11" s="36" t="s">
        <v>1124</v>
      </c>
      <c r="B11" s="37" t="s">
        <v>1131</v>
      </c>
      <c r="C11" s="23"/>
      <c r="D11" s="50"/>
    </row>
    <row r="12" spans="1:4" ht="27.6" x14ac:dyDescent="0.3">
      <c r="A12" s="36" t="s">
        <v>1124</v>
      </c>
      <c r="B12" s="37" t="s">
        <v>1132</v>
      </c>
      <c r="C12" s="23"/>
      <c r="D12" s="36"/>
    </row>
    <row r="13" spans="1:4" ht="55.2" x14ac:dyDescent="0.3">
      <c r="A13" s="36" t="s">
        <v>1124</v>
      </c>
      <c r="B13" s="37" t="s">
        <v>1133</v>
      </c>
      <c r="C13" s="23"/>
      <c r="D13" s="50"/>
    </row>
    <row r="14" spans="1:4" ht="14.4" x14ac:dyDescent="0.3">
      <c r="A14" s="134" t="s">
        <v>1124</v>
      </c>
      <c r="B14" s="32" t="s">
        <v>969</v>
      </c>
      <c r="C14" s="31"/>
      <c r="D14" s="31"/>
    </row>
    <row r="15" spans="1:4" ht="41.4" x14ac:dyDescent="0.3">
      <c r="A15" s="36" t="s">
        <v>1124</v>
      </c>
      <c r="B15" s="37" t="s">
        <v>1134</v>
      </c>
      <c r="C15" s="23"/>
      <c r="D15" s="50"/>
    </row>
    <row r="16" spans="1:4" ht="14.4" x14ac:dyDescent="0.3">
      <c r="A16" s="134" t="s">
        <v>1135</v>
      </c>
      <c r="B16" s="32" t="s">
        <v>1136</v>
      </c>
      <c r="C16" s="134"/>
      <c r="D16" s="31"/>
    </row>
    <row r="17" spans="1:4" ht="27.6" x14ac:dyDescent="0.3">
      <c r="A17" s="36" t="s">
        <v>1135</v>
      </c>
      <c r="B17" s="37" t="s">
        <v>1137</v>
      </c>
      <c r="C17" s="23"/>
      <c r="D17" s="50"/>
    </row>
    <row r="18" spans="1:4" ht="41.4" x14ac:dyDescent="0.3">
      <c r="A18" s="36" t="s">
        <v>1135</v>
      </c>
      <c r="B18" s="37" t="s">
        <v>1138</v>
      </c>
      <c r="C18" s="23"/>
      <c r="D18" s="36"/>
    </row>
    <row r="19" spans="1:4" ht="41.4" x14ac:dyDescent="0.3">
      <c r="A19" s="36" t="s">
        <v>1135</v>
      </c>
      <c r="B19" s="37" t="s">
        <v>1139</v>
      </c>
      <c r="C19" s="23"/>
      <c r="D19" s="50"/>
    </row>
    <row r="20" spans="1:4" ht="14.4" x14ac:dyDescent="0.3">
      <c r="A20" s="134" t="s">
        <v>1135</v>
      </c>
      <c r="B20" s="32" t="s">
        <v>1140</v>
      </c>
      <c r="C20" s="31"/>
      <c r="D20" s="31"/>
    </row>
    <row r="21" spans="1:4" ht="14.4" x14ac:dyDescent="0.3">
      <c r="A21" s="36" t="s">
        <v>1135</v>
      </c>
      <c r="B21" s="37" t="s">
        <v>1141</v>
      </c>
      <c r="C21" s="23"/>
      <c r="D21" s="50"/>
    </row>
    <row r="22" spans="1:4" ht="14.4" x14ac:dyDescent="0.3">
      <c r="A22" s="36" t="s">
        <v>1135</v>
      </c>
      <c r="B22" s="37" t="s">
        <v>1142</v>
      </c>
      <c r="C22" s="23"/>
      <c r="D22" s="36"/>
    </row>
    <row r="23" spans="1:4" ht="27.6" x14ac:dyDescent="0.3">
      <c r="A23" s="134" t="s">
        <v>1135</v>
      </c>
      <c r="B23" s="32" t="s">
        <v>1143</v>
      </c>
      <c r="C23" s="134"/>
      <c r="D23" s="31"/>
    </row>
    <row r="24" spans="1:4" ht="41.4" x14ac:dyDescent="0.3">
      <c r="A24" s="36" t="s">
        <v>1135</v>
      </c>
      <c r="B24" s="37" t="s">
        <v>1144</v>
      </c>
      <c r="C24" s="23"/>
      <c r="D24" s="36"/>
    </row>
    <row r="25" spans="1:4" ht="14.4" x14ac:dyDescent="0.3">
      <c r="A25" s="134" t="s">
        <v>1135</v>
      </c>
      <c r="B25" s="32" t="s">
        <v>1145</v>
      </c>
      <c r="C25" s="134"/>
      <c r="D25" s="31"/>
    </row>
    <row r="26" spans="1:4" ht="27.6" x14ac:dyDescent="0.3">
      <c r="A26" s="36" t="s">
        <v>1135</v>
      </c>
      <c r="B26" s="37" t="s">
        <v>1147</v>
      </c>
      <c r="C26" s="23"/>
      <c r="D26" s="36"/>
    </row>
    <row r="27" spans="1:4" ht="14.4" x14ac:dyDescent="0.3">
      <c r="A27" s="134" t="s">
        <v>1148</v>
      </c>
      <c r="B27" s="32" t="s">
        <v>1136</v>
      </c>
      <c r="C27" s="134"/>
      <c r="D27" s="31"/>
    </row>
    <row r="28" spans="1:4" ht="27.6" x14ac:dyDescent="0.3">
      <c r="A28" s="36" t="s">
        <v>1148</v>
      </c>
      <c r="B28" s="37" t="s">
        <v>1149</v>
      </c>
      <c r="C28" s="23"/>
      <c r="D28" s="36"/>
    </row>
    <row r="29" spans="1:4" ht="27.6" x14ac:dyDescent="0.3">
      <c r="A29" s="36" t="s">
        <v>1148</v>
      </c>
      <c r="B29" s="37" t="s">
        <v>1150</v>
      </c>
      <c r="C29" s="23"/>
      <c r="D29" s="50"/>
    </row>
    <row r="30" spans="1:4" ht="27.6" x14ac:dyDescent="0.3">
      <c r="A30" s="36" t="s">
        <v>1148</v>
      </c>
      <c r="B30" s="37" t="s">
        <v>1152</v>
      </c>
      <c r="C30" s="23"/>
      <c r="D30" s="36"/>
    </row>
    <row r="31" spans="1:4" ht="14.4" x14ac:dyDescent="0.3">
      <c r="A31" s="36" t="s">
        <v>1148</v>
      </c>
      <c r="B31" s="37" t="s">
        <v>1153</v>
      </c>
      <c r="C31" s="23"/>
      <c r="D31" s="50"/>
    </row>
    <row r="32" spans="1:4" ht="14.4" x14ac:dyDescent="0.3">
      <c r="A32" s="36" t="s">
        <v>1148</v>
      </c>
      <c r="B32" s="37" t="s">
        <v>1155</v>
      </c>
      <c r="C32" s="23"/>
      <c r="D32" s="36"/>
    </row>
    <row r="33" spans="1:4" ht="27.6" x14ac:dyDescent="0.3">
      <c r="A33" s="134" t="s">
        <v>1148</v>
      </c>
      <c r="B33" s="32" t="s">
        <v>1157</v>
      </c>
      <c r="C33" s="134"/>
      <c r="D33" s="31"/>
    </row>
    <row r="34" spans="1:4" ht="27.6" x14ac:dyDescent="0.3">
      <c r="A34" s="36" t="s">
        <v>1148</v>
      </c>
      <c r="B34" s="37" t="s">
        <v>1158</v>
      </c>
      <c r="C34" s="23"/>
      <c r="D34" s="36"/>
    </row>
    <row r="35" spans="1:4" ht="41.4" x14ac:dyDescent="0.3">
      <c r="A35" s="36" t="s">
        <v>1148</v>
      </c>
      <c r="B35" s="37" t="s">
        <v>1160</v>
      </c>
      <c r="C35" s="23"/>
      <c r="D35" s="50"/>
    </row>
    <row r="36" spans="1:4" ht="27.6" x14ac:dyDescent="0.3">
      <c r="A36" s="36" t="s">
        <v>1148</v>
      </c>
      <c r="B36" s="37" t="s">
        <v>1162</v>
      </c>
      <c r="C36" s="23"/>
      <c r="D36" s="36"/>
    </row>
    <row r="37" spans="1:4" ht="14.4" x14ac:dyDescent="0.3">
      <c r="A37" s="134" t="s">
        <v>1148</v>
      </c>
      <c r="B37" s="32" t="s">
        <v>1164</v>
      </c>
      <c r="C37" s="134"/>
      <c r="D37" s="31"/>
    </row>
    <row r="38" spans="1:4" ht="69" x14ac:dyDescent="0.3">
      <c r="A38" s="36" t="s">
        <v>1148</v>
      </c>
      <c r="B38" s="37" t="s">
        <v>1166</v>
      </c>
      <c r="C38" s="23"/>
      <c r="D38" s="36"/>
    </row>
    <row r="39" spans="1:4" ht="14.4" x14ac:dyDescent="0.3">
      <c r="A39" s="134" t="s">
        <v>1148</v>
      </c>
      <c r="B39" s="32" t="s">
        <v>1145</v>
      </c>
      <c r="C39" s="134"/>
      <c r="D39" s="31"/>
    </row>
    <row r="40" spans="1:4" ht="41.4" x14ac:dyDescent="0.3">
      <c r="A40" s="36" t="s">
        <v>1148</v>
      </c>
      <c r="B40" s="37" t="s">
        <v>1167</v>
      </c>
      <c r="C40" s="23"/>
      <c r="D40" s="36"/>
    </row>
    <row r="41" spans="1:4" ht="27.6" x14ac:dyDescent="0.3">
      <c r="A41" s="134" t="s">
        <v>1169</v>
      </c>
      <c r="B41" s="32" t="s">
        <v>1170</v>
      </c>
      <c r="C41" s="134"/>
      <c r="D41" s="31"/>
    </row>
    <row r="42" spans="1:4" ht="27.6" x14ac:dyDescent="0.3">
      <c r="A42" s="36" t="s">
        <v>1169</v>
      </c>
      <c r="B42" s="37" t="s">
        <v>1043</v>
      </c>
      <c r="C42" s="23"/>
      <c r="D42" s="36"/>
    </row>
    <row r="43" spans="1:4" ht="14.4" x14ac:dyDescent="0.3">
      <c r="A43" s="134" t="s">
        <v>1173</v>
      </c>
      <c r="B43" s="32" t="s">
        <v>1136</v>
      </c>
      <c r="C43" s="134"/>
      <c r="D43" s="31"/>
    </row>
    <row r="44" spans="1:4" ht="41.4" x14ac:dyDescent="0.3">
      <c r="A44" s="36" t="s">
        <v>1173</v>
      </c>
      <c r="B44" s="37" t="s">
        <v>1111</v>
      </c>
      <c r="C44" s="23"/>
      <c r="D44" s="36"/>
    </row>
    <row r="45" spans="1:4" ht="55.2" x14ac:dyDescent="0.3">
      <c r="A45" s="36" t="s">
        <v>1173</v>
      </c>
      <c r="B45" s="37" t="s">
        <v>1174</v>
      </c>
      <c r="C45" s="23"/>
      <c r="D45" s="50"/>
    </row>
    <row r="46" spans="1:4" ht="41.4" x14ac:dyDescent="0.3">
      <c r="A46" s="36" t="s">
        <v>1173</v>
      </c>
      <c r="B46" s="37" t="s">
        <v>1176</v>
      </c>
      <c r="C46" s="23"/>
      <c r="D46" s="36"/>
    </row>
    <row r="47" spans="1:4" ht="41.4" x14ac:dyDescent="0.3">
      <c r="A47" s="36" t="s">
        <v>1173</v>
      </c>
      <c r="B47" s="37" t="s">
        <v>1178</v>
      </c>
      <c r="C47" s="23"/>
      <c r="D47" s="50"/>
    </row>
    <row r="48" spans="1:4" ht="41.4" x14ac:dyDescent="0.3">
      <c r="A48" s="36" t="s">
        <v>1173</v>
      </c>
      <c r="B48" s="37" t="s">
        <v>1180</v>
      </c>
      <c r="C48" s="23"/>
      <c r="D48" s="36"/>
    </row>
    <row r="49" spans="1:4" ht="27.6" x14ac:dyDescent="0.3">
      <c r="A49" s="36" t="s">
        <v>1173</v>
      </c>
      <c r="B49" s="37" t="s">
        <v>1182</v>
      </c>
      <c r="C49" s="23"/>
      <c r="D49" s="50"/>
    </row>
    <row r="50" spans="1:4" ht="27.6" x14ac:dyDescent="0.3">
      <c r="A50" s="134" t="s">
        <v>1173</v>
      </c>
      <c r="B50" s="32" t="s">
        <v>1183</v>
      </c>
      <c r="C50" s="134"/>
      <c r="D50" s="31"/>
    </row>
    <row r="51" spans="1:4" ht="27.6" x14ac:dyDescent="0.3">
      <c r="A51" s="134" t="s">
        <v>1173</v>
      </c>
      <c r="B51" s="32" t="s">
        <v>1185</v>
      </c>
      <c r="C51" s="31"/>
      <c r="D51" s="31"/>
    </row>
    <row r="52" spans="1:4" ht="69" x14ac:dyDescent="0.3">
      <c r="A52" s="36" t="s">
        <v>1173</v>
      </c>
      <c r="B52" s="37" t="s">
        <v>1187</v>
      </c>
      <c r="C52" s="23"/>
      <c r="D52" s="36"/>
    </row>
    <row r="53" spans="1:4" ht="55.2" x14ac:dyDescent="0.3">
      <c r="A53" s="36" t="s">
        <v>1173</v>
      </c>
      <c r="B53" s="37" t="s">
        <v>1189</v>
      </c>
      <c r="C53" s="23"/>
      <c r="D53" s="50"/>
    </row>
    <row r="54" spans="1:4" ht="14.4" x14ac:dyDescent="0.3">
      <c r="A54" s="134" t="s">
        <v>1173</v>
      </c>
      <c r="B54" s="32" t="s">
        <v>1145</v>
      </c>
      <c r="C54" s="134"/>
      <c r="D54" s="31"/>
    </row>
    <row r="55" spans="1:4" ht="27.6" x14ac:dyDescent="0.3">
      <c r="A55" s="36" t="s">
        <v>1173</v>
      </c>
      <c r="B55" s="37" t="s">
        <v>1193</v>
      </c>
      <c r="C55" s="23"/>
      <c r="D55" s="50"/>
    </row>
    <row r="56" spans="1:4" ht="14.4" x14ac:dyDescent="0.3">
      <c r="A56" s="134" t="s">
        <v>1195</v>
      </c>
      <c r="B56" s="32" t="s">
        <v>1136</v>
      </c>
      <c r="C56" s="134"/>
      <c r="D56" s="31"/>
    </row>
    <row r="57" spans="1:4" ht="27.6" x14ac:dyDescent="0.3">
      <c r="A57" s="36" t="s">
        <v>1195</v>
      </c>
      <c r="B57" s="37" t="s">
        <v>1196</v>
      </c>
      <c r="C57" s="23"/>
      <c r="D57" s="50"/>
    </row>
    <row r="58" spans="1:4" ht="27.6" x14ac:dyDescent="0.3">
      <c r="A58" s="36" t="s">
        <v>1195</v>
      </c>
      <c r="B58" s="37" t="s">
        <v>1197</v>
      </c>
      <c r="C58" s="23"/>
      <c r="D58" s="36"/>
    </row>
    <row r="59" spans="1:4" ht="27.6" x14ac:dyDescent="0.3">
      <c r="A59" s="36" t="s">
        <v>1195</v>
      </c>
      <c r="B59" s="37" t="s">
        <v>1198</v>
      </c>
      <c r="C59" s="23"/>
      <c r="D59" s="50"/>
    </row>
    <row r="60" spans="1:4" ht="27.6" x14ac:dyDescent="0.3">
      <c r="A60" s="36" t="s">
        <v>1195</v>
      </c>
      <c r="B60" s="37" t="s">
        <v>1199</v>
      </c>
      <c r="C60" s="23"/>
      <c r="D60" s="36"/>
    </row>
    <row r="61" spans="1:4" ht="27.6" x14ac:dyDescent="0.3">
      <c r="A61" s="134" t="s">
        <v>1195</v>
      </c>
      <c r="B61" s="32" t="s">
        <v>1143</v>
      </c>
      <c r="C61" s="134"/>
      <c r="D61" s="31"/>
    </row>
    <row r="62" spans="1:4" ht="14.4" x14ac:dyDescent="0.3">
      <c r="A62" s="134" t="s">
        <v>1195</v>
      </c>
      <c r="B62" s="32" t="s">
        <v>1201</v>
      </c>
      <c r="C62" s="134"/>
      <c r="D62" s="31"/>
    </row>
    <row r="63" spans="1:4" ht="14.4" x14ac:dyDescent="0.3">
      <c r="A63" s="36" t="s">
        <v>1195</v>
      </c>
      <c r="B63" s="37" t="s">
        <v>1202</v>
      </c>
      <c r="C63" s="23"/>
      <c r="D63" s="50"/>
    </row>
    <row r="64" spans="1:4" ht="14.4" x14ac:dyDescent="0.3">
      <c r="A64" s="36" t="s">
        <v>1195</v>
      </c>
      <c r="B64" s="37" t="s">
        <v>1204</v>
      </c>
      <c r="C64" s="23"/>
      <c r="D64" s="36"/>
    </row>
    <row r="65" spans="1:4" ht="41.4" x14ac:dyDescent="0.3">
      <c r="A65" s="36" t="s">
        <v>1195</v>
      </c>
      <c r="B65" s="37" t="s">
        <v>1207</v>
      </c>
      <c r="C65" s="23"/>
      <c r="D65" s="50"/>
    </row>
    <row r="66" spans="1:4" ht="14.4" x14ac:dyDescent="0.3">
      <c r="A66" s="134" t="s">
        <v>1195</v>
      </c>
      <c r="B66" s="32" t="s">
        <v>1145</v>
      </c>
      <c r="C66" s="134"/>
      <c r="D66" s="31"/>
    </row>
    <row r="67" spans="1:4" ht="27.6" x14ac:dyDescent="0.3">
      <c r="A67" s="36" t="s">
        <v>1195</v>
      </c>
      <c r="B67" s="37" t="s">
        <v>1208</v>
      </c>
      <c r="C67" s="23"/>
      <c r="D67" s="50"/>
    </row>
    <row r="68" spans="1:4" ht="41.4" x14ac:dyDescent="0.3">
      <c r="A68" s="134" t="s">
        <v>1210</v>
      </c>
      <c r="B68" s="32" t="s">
        <v>1211</v>
      </c>
      <c r="C68" s="134"/>
      <c r="D68" s="31"/>
    </row>
    <row r="69" spans="1:4" ht="14.4" x14ac:dyDescent="0.3">
      <c r="A69" s="36" t="s">
        <v>1210</v>
      </c>
      <c r="B69" s="37" t="s">
        <v>1121</v>
      </c>
      <c r="C69" s="23"/>
      <c r="D69" s="50"/>
    </row>
    <row r="70" spans="1:4" ht="14.4" x14ac:dyDescent="0.3">
      <c r="A70" s="120"/>
      <c r="B70" s="14"/>
      <c r="C70" s="17"/>
      <c r="D70" s="17"/>
    </row>
    <row r="71" spans="1:4" ht="14.4" x14ac:dyDescent="0.3">
      <c r="A71" s="120"/>
      <c r="B71" s="14"/>
      <c r="C71" s="17"/>
      <c r="D71" s="17"/>
    </row>
    <row r="72" spans="1:4" ht="14.4" x14ac:dyDescent="0.3">
      <c r="A72" s="120"/>
      <c r="B72" s="15" t="s">
        <v>75</v>
      </c>
      <c r="C72" s="2">
        <f>COUNTIF($C$5:$C$69,"C")</f>
        <v>1</v>
      </c>
      <c r="D72" s="17"/>
    </row>
    <row r="73" spans="1:4" ht="14.4" x14ac:dyDescent="0.3">
      <c r="A73" s="120"/>
      <c r="B73" s="15" t="s">
        <v>81</v>
      </c>
      <c r="C73" s="2">
        <f>COUNTIF($C$5:$C$69,"NC")</f>
        <v>1</v>
      </c>
      <c r="D73" s="17"/>
    </row>
    <row r="74" spans="1:4" ht="14.4" x14ac:dyDescent="0.3">
      <c r="A74" s="120"/>
      <c r="B74" s="15" t="s">
        <v>84</v>
      </c>
      <c r="C74" s="2">
        <f>COUNTIF($C$5:$C$69,"NA")</f>
        <v>1</v>
      </c>
      <c r="D74" s="17"/>
    </row>
  </sheetData>
  <autoFilter ref="A4:D69" xr:uid="{00000000-0009-0000-0000-00000F000000}"/>
  <conditionalFormatting sqref="C6:C13 C15:C19 C21:C50 C52:C69">
    <cfRule type="beginsWith" dxfId="95" priority="1" operator="beginsWith" text="C">
      <formula>LEFT((C6),LEN("C"))=("C")</formula>
    </cfRule>
    <cfRule type="beginsWith" dxfId="94" priority="2" operator="beginsWith" text="NC">
      <formula>LEFT((C6),LEN("NC"))=("NC")</formula>
    </cfRule>
    <cfRule type="beginsWith" dxfId="93" priority="3" operator="beginsWith" text="NA">
      <formula>LEFT((C6),LEN("NA"))=("NA")</formula>
    </cfRule>
  </conditionalFormatting>
  <dataValidations count="1">
    <dataValidation type="list" allowBlank="1" sqref="C6:C9 C11:C13 C15 C17:C19 C21:C22 C24 C26 C28:C32 C34:C36 C38 C40 C42 C44:C49 C52:C53 C55 C57:C60 C63:C65 C67 C69" xr:uid="{00000000-0002-0000-0F00-000000000000}">
      <formula1>"C,NC,NA"</formula1>
    </dataValidation>
  </dataValidations>
  <hyperlinks>
    <hyperlink ref="B1" location="'Tabla de contenido'!A1" display="VOLVER A TABLA DE CONTENIDO" xr:uid="{00000000-0004-0000-0F00-000000000000}"/>
  </hyperlink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41B47"/>
  </sheetPr>
  <dimension ref="A1:D220"/>
  <sheetViews>
    <sheetView showGridLines="0" workbookViewId="0">
      <selection sqref="A1:D1"/>
    </sheetView>
  </sheetViews>
  <sheetFormatPr baseColWidth="10" defaultColWidth="14.44140625" defaultRowHeight="15" customHeight="1" outlineLevelCol="1" x14ac:dyDescent="0.3"/>
  <cols>
    <col min="1" max="1" width="10.77734375" customWidth="1"/>
    <col min="2" max="2" width="58.88671875" customWidth="1"/>
    <col min="3" max="3" width="10.77734375" customWidth="1" outlineLevel="1"/>
    <col min="4" max="4" width="44.6640625" customWidth="1"/>
    <col min="5" max="5" width="4.33203125" customWidth="1"/>
    <col min="10" max="24" width="10.77734375" customWidth="1"/>
  </cols>
  <sheetData>
    <row r="1" spans="1:4" ht="14.4" x14ac:dyDescent="0.3">
      <c r="A1" s="269"/>
      <c r="B1" s="270" t="s">
        <v>0</v>
      </c>
      <c r="C1" s="269"/>
      <c r="D1" s="269"/>
    </row>
    <row r="2" spans="1:4" ht="14.4" x14ac:dyDescent="0.3">
      <c r="A2" s="74"/>
      <c r="B2" s="75" t="s">
        <v>919</v>
      </c>
      <c r="C2" s="116"/>
      <c r="D2" s="77"/>
    </row>
    <row r="3" spans="1:4" ht="14.4" x14ac:dyDescent="0.3">
      <c r="A3" s="6"/>
      <c r="B3" s="18" t="s">
        <v>218</v>
      </c>
      <c r="C3" s="117"/>
      <c r="D3" s="19"/>
    </row>
    <row r="4" spans="1:4" ht="28.2" x14ac:dyDescent="0.3">
      <c r="A4" s="6"/>
      <c r="B4" s="18" t="s">
        <v>1146</v>
      </c>
      <c r="C4" s="136"/>
      <c r="D4" s="6"/>
    </row>
    <row r="5" spans="1:4" ht="14.4" x14ac:dyDescent="0.3">
      <c r="A5" s="6" t="s">
        <v>7</v>
      </c>
      <c r="B5" s="18" t="s">
        <v>9</v>
      </c>
      <c r="C5" s="6" t="s">
        <v>10</v>
      </c>
      <c r="D5" s="6" t="s">
        <v>11</v>
      </c>
    </row>
    <row r="6" spans="1:4" ht="14.4" x14ac:dyDescent="0.3">
      <c r="A6" s="137" t="s">
        <v>1151</v>
      </c>
      <c r="B6" s="108" t="s">
        <v>1081</v>
      </c>
      <c r="C6" s="22"/>
      <c r="D6" s="22"/>
    </row>
    <row r="7" spans="1:4" ht="27.6" x14ac:dyDescent="0.3">
      <c r="A7" s="137" t="s">
        <v>1151</v>
      </c>
      <c r="B7" s="108" t="s">
        <v>1154</v>
      </c>
      <c r="C7" s="22"/>
      <c r="D7" s="22"/>
    </row>
    <row r="8" spans="1:4" ht="27.6" x14ac:dyDescent="0.3">
      <c r="A8" s="138" t="s">
        <v>1151</v>
      </c>
      <c r="B8" s="110" t="s">
        <v>1156</v>
      </c>
      <c r="C8" s="23" t="s">
        <v>16</v>
      </c>
      <c r="D8" s="36"/>
    </row>
    <row r="9" spans="1:4" ht="14.4" x14ac:dyDescent="0.3">
      <c r="A9" s="137" t="s">
        <v>1151</v>
      </c>
      <c r="B9" s="108" t="s">
        <v>1159</v>
      </c>
      <c r="C9" s="22"/>
      <c r="D9" s="22"/>
    </row>
    <row r="10" spans="1:4" ht="27.6" x14ac:dyDescent="0.3">
      <c r="A10" s="138" t="s">
        <v>1151</v>
      </c>
      <c r="B10" s="110" t="s">
        <v>1161</v>
      </c>
      <c r="C10" s="23" t="s">
        <v>20</v>
      </c>
      <c r="D10" s="36"/>
    </row>
    <row r="11" spans="1:4" ht="14.4" x14ac:dyDescent="0.3">
      <c r="A11" s="137" t="s">
        <v>1151</v>
      </c>
      <c r="B11" s="108" t="s">
        <v>1163</v>
      </c>
      <c r="C11" s="22"/>
      <c r="D11" s="22"/>
    </row>
    <row r="12" spans="1:4" ht="151.80000000000001" x14ac:dyDescent="0.3">
      <c r="A12" s="138" t="s">
        <v>1151</v>
      </c>
      <c r="B12" s="110" t="s">
        <v>1165</v>
      </c>
      <c r="C12" s="23" t="s">
        <v>24</v>
      </c>
      <c r="D12" s="36"/>
    </row>
    <row r="13" spans="1:4" ht="14.4" x14ac:dyDescent="0.3">
      <c r="A13" s="137" t="s">
        <v>1151</v>
      </c>
      <c r="B13" s="108" t="s">
        <v>922</v>
      </c>
      <c r="C13" s="22"/>
      <c r="D13" s="22"/>
    </row>
    <row r="14" spans="1:4" ht="27.6" x14ac:dyDescent="0.3">
      <c r="A14" s="137" t="s">
        <v>1151</v>
      </c>
      <c r="B14" s="108" t="s">
        <v>1143</v>
      </c>
      <c r="C14" s="22"/>
      <c r="D14" s="22"/>
    </row>
    <row r="15" spans="1:4" ht="27.6" x14ac:dyDescent="0.3">
      <c r="A15" s="138" t="s">
        <v>1151</v>
      </c>
      <c r="B15" s="110" t="s">
        <v>1168</v>
      </c>
      <c r="C15" s="23"/>
      <c r="D15" s="36"/>
    </row>
    <row r="16" spans="1:4" ht="55.2" x14ac:dyDescent="0.3">
      <c r="A16" s="138" t="s">
        <v>1151</v>
      </c>
      <c r="B16" s="110" t="s">
        <v>1171</v>
      </c>
      <c r="C16" s="23"/>
      <c r="D16" s="36"/>
    </row>
    <row r="17" spans="1:4" ht="165.6" x14ac:dyDescent="0.3">
      <c r="A17" s="138" t="s">
        <v>1151</v>
      </c>
      <c r="B17" s="110" t="s">
        <v>1172</v>
      </c>
      <c r="C17" s="23"/>
      <c r="D17" s="36"/>
    </row>
    <row r="18" spans="1:4" ht="14.4" x14ac:dyDescent="0.3">
      <c r="A18" s="137" t="s">
        <v>1151</v>
      </c>
      <c r="B18" s="108" t="s">
        <v>1106</v>
      </c>
      <c r="C18" s="22"/>
      <c r="D18" s="22"/>
    </row>
    <row r="19" spans="1:4" ht="14.4" x14ac:dyDescent="0.3">
      <c r="A19" s="137" t="s">
        <v>1151</v>
      </c>
      <c r="B19" s="108" t="s">
        <v>1136</v>
      </c>
      <c r="C19" s="22"/>
      <c r="D19" s="22"/>
    </row>
    <row r="20" spans="1:4" ht="27.6" x14ac:dyDescent="0.3">
      <c r="A20" s="138" t="s">
        <v>1151</v>
      </c>
      <c r="B20" s="110" t="s">
        <v>1175</v>
      </c>
      <c r="C20" s="23"/>
      <c r="D20" s="36"/>
    </row>
    <row r="21" spans="1:4" ht="55.2" x14ac:dyDescent="0.3">
      <c r="A21" s="138" t="s">
        <v>1151</v>
      </c>
      <c r="B21" s="110" t="s">
        <v>1177</v>
      </c>
      <c r="C21" s="23"/>
      <c r="D21" s="36"/>
    </row>
    <row r="22" spans="1:4" ht="165.6" x14ac:dyDescent="0.3">
      <c r="A22" s="138" t="s">
        <v>1151</v>
      </c>
      <c r="B22" s="110" t="s">
        <v>1179</v>
      </c>
      <c r="C22" s="23"/>
      <c r="D22" s="36"/>
    </row>
    <row r="23" spans="1:4" ht="14.4" x14ac:dyDescent="0.3">
      <c r="A23" s="137" t="s">
        <v>1151</v>
      </c>
      <c r="B23" s="108" t="s">
        <v>1181</v>
      </c>
      <c r="C23" s="22"/>
      <c r="D23" s="22"/>
    </row>
    <row r="24" spans="1:4" ht="14.4" x14ac:dyDescent="0.3">
      <c r="A24" s="137" t="s">
        <v>1151</v>
      </c>
      <c r="B24" s="108" t="s">
        <v>1145</v>
      </c>
      <c r="C24" s="22"/>
      <c r="D24" s="22"/>
    </row>
    <row r="25" spans="1:4" ht="27.6" x14ac:dyDescent="0.3">
      <c r="A25" s="138" t="s">
        <v>1151</v>
      </c>
      <c r="B25" s="110" t="s">
        <v>1094</v>
      </c>
      <c r="C25" s="23"/>
      <c r="D25" s="36"/>
    </row>
    <row r="26" spans="1:4" ht="124.2" x14ac:dyDescent="0.3">
      <c r="A26" s="138" t="s">
        <v>1151</v>
      </c>
      <c r="B26" s="110" t="s">
        <v>1184</v>
      </c>
      <c r="C26" s="23"/>
      <c r="D26" s="36"/>
    </row>
    <row r="27" spans="1:4" ht="14.4" x14ac:dyDescent="0.3">
      <c r="A27" s="137" t="s">
        <v>1186</v>
      </c>
      <c r="B27" s="108" t="s">
        <v>1099</v>
      </c>
      <c r="C27" s="22"/>
      <c r="D27" s="22"/>
    </row>
    <row r="28" spans="1:4" ht="14.4" x14ac:dyDescent="0.3">
      <c r="A28" s="137" t="s">
        <v>1186</v>
      </c>
      <c r="B28" s="108" t="s">
        <v>1188</v>
      </c>
      <c r="C28" s="22"/>
      <c r="D28" s="22"/>
    </row>
    <row r="29" spans="1:4" ht="27.6" x14ac:dyDescent="0.3">
      <c r="A29" s="138" t="s">
        <v>1186</v>
      </c>
      <c r="B29" s="110" t="s">
        <v>1190</v>
      </c>
      <c r="C29" s="121"/>
      <c r="D29" s="36"/>
    </row>
    <row r="30" spans="1:4" ht="41.4" x14ac:dyDescent="0.3">
      <c r="A30" s="138" t="s">
        <v>1186</v>
      </c>
      <c r="B30" s="110" t="s">
        <v>1191</v>
      </c>
      <c r="C30" s="23"/>
      <c r="D30" s="50"/>
    </row>
    <row r="31" spans="1:4" ht="41.4" x14ac:dyDescent="0.3">
      <c r="A31" s="138" t="s">
        <v>1186</v>
      </c>
      <c r="B31" s="110" t="s">
        <v>1192</v>
      </c>
      <c r="C31" s="23"/>
      <c r="D31" s="50"/>
    </row>
    <row r="32" spans="1:4" ht="55.2" x14ac:dyDescent="0.3">
      <c r="A32" s="138" t="s">
        <v>1186</v>
      </c>
      <c r="B32" s="110" t="s">
        <v>1194</v>
      </c>
      <c r="C32" s="23"/>
      <c r="D32" s="36"/>
    </row>
    <row r="33" spans="1:4" ht="14.4" x14ac:dyDescent="0.3">
      <c r="A33" s="137" t="s">
        <v>1186</v>
      </c>
      <c r="B33" s="108" t="s">
        <v>1023</v>
      </c>
      <c r="C33" s="22"/>
      <c r="D33" s="22"/>
    </row>
    <row r="34" spans="1:4" ht="14.4" x14ac:dyDescent="0.3">
      <c r="A34" s="138" t="s">
        <v>1186</v>
      </c>
      <c r="B34" s="110" t="s">
        <v>1025</v>
      </c>
      <c r="C34" s="23"/>
      <c r="D34" s="36"/>
    </row>
    <row r="35" spans="1:4" ht="14.4" x14ac:dyDescent="0.3">
      <c r="A35" s="138" t="s">
        <v>1186</v>
      </c>
      <c r="B35" s="110" t="s">
        <v>1027</v>
      </c>
      <c r="C35" s="23"/>
      <c r="D35" s="36"/>
    </row>
    <row r="36" spans="1:4" ht="14.4" x14ac:dyDescent="0.3">
      <c r="A36" s="138" t="s">
        <v>1186</v>
      </c>
      <c r="B36" s="110" t="s">
        <v>1200</v>
      </c>
      <c r="C36" s="23"/>
      <c r="D36" s="36"/>
    </row>
    <row r="37" spans="1:4" ht="14.4" x14ac:dyDescent="0.3">
      <c r="A37" s="137" t="s">
        <v>1186</v>
      </c>
      <c r="B37" s="108" t="s">
        <v>1081</v>
      </c>
      <c r="C37" s="22"/>
      <c r="D37" s="22"/>
    </row>
    <row r="38" spans="1:4" ht="14.4" x14ac:dyDescent="0.3">
      <c r="A38" s="137" t="s">
        <v>1186</v>
      </c>
      <c r="B38" s="108" t="s">
        <v>1188</v>
      </c>
      <c r="C38" s="22"/>
      <c r="D38" s="22"/>
    </row>
    <row r="39" spans="1:4" ht="27.6" x14ac:dyDescent="0.3">
      <c r="A39" s="138" t="s">
        <v>1186</v>
      </c>
      <c r="B39" s="110" t="s">
        <v>1203</v>
      </c>
      <c r="C39" s="23"/>
      <c r="D39" s="36"/>
    </row>
    <row r="40" spans="1:4" ht="82.8" x14ac:dyDescent="0.3">
      <c r="A40" s="138" t="s">
        <v>1186</v>
      </c>
      <c r="B40" s="110" t="s">
        <v>1205</v>
      </c>
      <c r="C40" s="23"/>
      <c r="D40" s="36"/>
    </row>
    <row r="41" spans="1:4" ht="41.4" x14ac:dyDescent="0.3">
      <c r="A41" s="138" t="s">
        <v>1186</v>
      </c>
      <c r="B41" s="110" t="s">
        <v>1206</v>
      </c>
      <c r="C41" s="23"/>
      <c r="D41" s="36"/>
    </row>
    <row r="42" spans="1:4" ht="14.4" x14ac:dyDescent="0.3">
      <c r="A42" s="137" t="s">
        <v>1186</v>
      </c>
      <c r="B42" s="108" t="s">
        <v>922</v>
      </c>
      <c r="C42" s="22"/>
      <c r="D42" s="22"/>
    </row>
    <row r="43" spans="1:4" ht="14.4" x14ac:dyDescent="0.3">
      <c r="A43" s="137" t="s">
        <v>1186</v>
      </c>
      <c r="B43" s="108" t="s">
        <v>1188</v>
      </c>
      <c r="C43" s="22"/>
      <c r="D43" s="22"/>
    </row>
    <row r="44" spans="1:4" ht="27.6" x14ac:dyDescent="0.3">
      <c r="A44" s="138" t="s">
        <v>1186</v>
      </c>
      <c r="B44" s="110" t="s">
        <v>1209</v>
      </c>
      <c r="C44" s="23"/>
      <c r="D44" s="54"/>
    </row>
    <row r="45" spans="1:4" ht="27.6" x14ac:dyDescent="0.3">
      <c r="A45" s="138" t="s">
        <v>1186</v>
      </c>
      <c r="B45" s="110" t="s">
        <v>1212</v>
      </c>
      <c r="C45" s="23"/>
      <c r="D45" s="36"/>
    </row>
    <row r="46" spans="1:4" ht="55.2" x14ac:dyDescent="0.3">
      <c r="A46" s="138" t="s">
        <v>1186</v>
      </c>
      <c r="B46" s="110" t="s">
        <v>1213</v>
      </c>
      <c r="C46" s="23"/>
      <c r="D46" s="54"/>
    </row>
    <row r="47" spans="1:4" ht="41.4" x14ac:dyDescent="0.3">
      <c r="A47" s="138" t="s">
        <v>1186</v>
      </c>
      <c r="B47" s="110" t="s">
        <v>1214</v>
      </c>
      <c r="C47" s="23"/>
      <c r="D47" s="36"/>
    </row>
    <row r="48" spans="1:4" ht="14.4" x14ac:dyDescent="0.3">
      <c r="A48" s="138" t="s">
        <v>1186</v>
      </c>
      <c r="B48" s="110" t="s">
        <v>1215</v>
      </c>
      <c r="C48" s="23"/>
      <c r="D48" s="36"/>
    </row>
    <row r="49" spans="1:4" ht="14.4" x14ac:dyDescent="0.3">
      <c r="A49" s="138" t="s">
        <v>1186</v>
      </c>
      <c r="B49" s="110" t="s">
        <v>1216</v>
      </c>
      <c r="C49" s="23"/>
      <c r="D49" s="36"/>
    </row>
    <row r="50" spans="1:4" ht="14.4" x14ac:dyDescent="0.3">
      <c r="A50" s="137" t="s">
        <v>1186</v>
      </c>
      <c r="B50" s="108" t="s">
        <v>1217</v>
      </c>
      <c r="C50" s="22"/>
      <c r="D50" s="22"/>
    </row>
    <row r="51" spans="1:4" ht="14.4" x14ac:dyDescent="0.3">
      <c r="A51" s="137" t="s">
        <v>1186</v>
      </c>
      <c r="B51" s="108" t="s">
        <v>1188</v>
      </c>
      <c r="C51" s="22"/>
      <c r="D51" s="22"/>
    </row>
    <row r="52" spans="1:4" ht="27.6" x14ac:dyDescent="0.3">
      <c r="A52" s="138" t="s">
        <v>1186</v>
      </c>
      <c r="B52" s="110" t="s">
        <v>1218</v>
      </c>
      <c r="C52" s="23"/>
      <c r="D52" s="36"/>
    </row>
    <row r="53" spans="1:4" ht="27.6" x14ac:dyDescent="0.3">
      <c r="A53" s="138" t="s">
        <v>1186</v>
      </c>
      <c r="B53" s="110" t="s">
        <v>1219</v>
      </c>
      <c r="C53" s="23"/>
      <c r="D53" s="36"/>
    </row>
    <row r="54" spans="1:4" ht="27.6" x14ac:dyDescent="0.3">
      <c r="A54" s="138" t="s">
        <v>1186</v>
      </c>
      <c r="B54" s="110" t="s">
        <v>1220</v>
      </c>
      <c r="C54" s="23"/>
      <c r="D54" s="36"/>
    </row>
    <row r="55" spans="1:4" ht="41.4" x14ac:dyDescent="0.3">
      <c r="A55" s="138" t="s">
        <v>1186</v>
      </c>
      <c r="B55" s="110" t="s">
        <v>1221</v>
      </c>
      <c r="C55" s="23"/>
      <c r="D55" s="36"/>
    </row>
    <row r="56" spans="1:4" ht="55.2" x14ac:dyDescent="0.3">
      <c r="A56" s="138" t="s">
        <v>1186</v>
      </c>
      <c r="B56" s="110" t="s">
        <v>1222</v>
      </c>
      <c r="C56" s="23"/>
      <c r="D56" s="36"/>
    </row>
    <row r="57" spans="1:4" ht="14.4" x14ac:dyDescent="0.3">
      <c r="A57" s="138" t="s">
        <v>1186</v>
      </c>
      <c r="B57" s="110" t="s">
        <v>1223</v>
      </c>
      <c r="C57" s="23"/>
      <c r="D57" s="36"/>
    </row>
    <row r="58" spans="1:4" ht="55.2" x14ac:dyDescent="0.3">
      <c r="A58" s="138" t="s">
        <v>1186</v>
      </c>
      <c r="B58" s="110" t="s">
        <v>1224</v>
      </c>
      <c r="C58" s="23"/>
      <c r="D58" s="36"/>
    </row>
    <row r="59" spans="1:4" ht="41.4" x14ac:dyDescent="0.3">
      <c r="A59" s="138" t="s">
        <v>1186</v>
      </c>
      <c r="B59" s="110" t="s">
        <v>1225</v>
      </c>
      <c r="C59" s="23"/>
      <c r="D59" s="36"/>
    </row>
    <row r="60" spans="1:4" ht="14.4" x14ac:dyDescent="0.3">
      <c r="A60" s="138" t="s">
        <v>1186</v>
      </c>
      <c r="B60" s="110" t="s">
        <v>1226</v>
      </c>
      <c r="C60" s="23"/>
      <c r="D60" s="36"/>
    </row>
    <row r="61" spans="1:4" ht="14.4" x14ac:dyDescent="0.3">
      <c r="A61" s="137" t="s">
        <v>1186</v>
      </c>
      <c r="B61" s="108" t="s">
        <v>1227</v>
      </c>
      <c r="C61" s="22"/>
      <c r="D61" s="22"/>
    </row>
    <row r="62" spans="1:4" ht="27.6" x14ac:dyDescent="0.3">
      <c r="A62" s="137" t="s">
        <v>1186</v>
      </c>
      <c r="B62" s="108" t="s">
        <v>1228</v>
      </c>
      <c r="C62" s="22"/>
      <c r="D62" s="22"/>
    </row>
    <row r="63" spans="1:4" ht="82.8" x14ac:dyDescent="0.3">
      <c r="A63" s="138" t="s">
        <v>1186</v>
      </c>
      <c r="B63" s="110" t="s">
        <v>1229</v>
      </c>
      <c r="C63" s="23"/>
      <c r="D63" s="36"/>
    </row>
    <row r="64" spans="1:4" ht="14.4" x14ac:dyDescent="0.3">
      <c r="A64" s="137" t="s">
        <v>1186</v>
      </c>
      <c r="B64" s="108" t="s">
        <v>1099</v>
      </c>
      <c r="C64" s="22"/>
      <c r="D64" s="22"/>
    </row>
    <row r="65" spans="1:4" ht="14.4" x14ac:dyDescent="0.3">
      <c r="A65" s="137" t="s">
        <v>1186</v>
      </c>
      <c r="B65" s="108" t="s">
        <v>1145</v>
      </c>
      <c r="C65" s="22"/>
      <c r="D65" s="22"/>
    </row>
    <row r="66" spans="1:4" ht="27.6" x14ac:dyDescent="0.3">
      <c r="A66" s="138" t="s">
        <v>1186</v>
      </c>
      <c r="B66" s="110" t="s">
        <v>1193</v>
      </c>
      <c r="C66" s="23"/>
      <c r="D66" s="50"/>
    </row>
    <row r="67" spans="1:4" ht="14.4" x14ac:dyDescent="0.3">
      <c r="A67" s="137" t="s">
        <v>1230</v>
      </c>
      <c r="B67" s="108" t="s">
        <v>1081</v>
      </c>
      <c r="C67" s="22"/>
      <c r="D67" s="22"/>
    </row>
    <row r="68" spans="1:4" ht="14.4" x14ac:dyDescent="0.3">
      <c r="A68" s="137" t="s">
        <v>1230</v>
      </c>
      <c r="B68" s="108" t="s">
        <v>1136</v>
      </c>
      <c r="C68" s="22"/>
      <c r="D68" s="22"/>
    </row>
    <row r="69" spans="1:4" ht="27.6" x14ac:dyDescent="0.3">
      <c r="A69" s="139" t="s">
        <v>1230</v>
      </c>
      <c r="B69" s="110" t="s">
        <v>1231</v>
      </c>
      <c r="C69" s="36"/>
      <c r="D69" s="50"/>
    </row>
    <row r="70" spans="1:4" ht="14.4" x14ac:dyDescent="0.3">
      <c r="A70" s="137" t="s">
        <v>1230</v>
      </c>
      <c r="B70" s="108" t="s">
        <v>1232</v>
      </c>
      <c r="C70" s="22"/>
      <c r="D70" s="22"/>
    </row>
    <row r="71" spans="1:4" ht="27.6" x14ac:dyDescent="0.3">
      <c r="A71" s="139" t="s">
        <v>1230</v>
      </c>
      <c r="B71" s="110" t="s">
        <v>1233</v>
      </c>
      <c r="C71" s="23"/>
      <c r="D71" s="50"/>
    </row>
    <row r="72" spans="1:4" ht="27.6" x14ac:dyDescent="0.3">
      <c r="A72" s="139" t="s">
        <v>1230</v>
      </c>
      <c r="B72" s="110" t="s">
        <v>1234</v>
      </c>
      <c r="C72" s="36"/>
      <c r="D72" s="50"/>
    </row>
    <row r="73" spans="1:4" ht="27.6" x14ac:dyDescent="0.3">
      <c r="A73" s="139" t="s">
        <v>1230</v>
      </c>
      <c r="B73" s="110" t="s">
        <v>1235</v>
      </c>
      <c r="C73" s="36"/>
      <c r="D73" s="50"/>
    </row>
    <row r="74" spans="1:4" ht="14.4" x14ac:dyDescent="0.3">
      <c r="A74" s="139" t="s">
        <v>1230</v>
      </c>
      <c r="B74" s="110" t="s">
        <v>1236</v>
      </c>
      <c r="C74" s="36"/>
      <c r="D74" s="50"/>
    </row>
    <row r="75" spans="1:4" ht="14.4" x14ac:dyDescent="0.3">
      <c r="A75" s="139" t="s">
        <v>1230</v>
      </c>
      <c r="B75" s="110" t="s">
        <v>1237</v>
      </c>
      <c r="C75" s="36"/>
      <c r="D75" s="50"/>
    </row>
    <row r="76" spans="1:4" ht="14.4" x14ac:dyDescent="0.3">
      <c r="A76" s="139" t="s">
        <v>1230</v>
      </c>
      <c r="B76" s="110" t="s">
        <v>1238</v>
      </c>
      <c r="C76" s="36"/>
      <c r="D76" s="50"/>
    </row>
    <row r="77" spans="1:4" ht="14.4" x14ac:dyDescent="0.3">
      <c r="A77" s="139" t="s">
        <v>1230</v>
      </c>
      <c r="B77" s="110" t="s">
        <v>1239</v>
      </c>
      <c r="C77" s="36"/>
      <c r="D77" s="50"/>
    </row>
    <row r="78" spans="1:4" ht="14.4" x14ac:dyDescent="0.3">
      <c r="A78" s="137" t="s">
        <v>1230</v>
      </c>
      <c r="B78" s="108" t="s">
        <v>1106</v>
      </c>
      <c r="C78" s="22"/>
      <c r="D78" s="22"/>
    </row>
    <row r="79" spans="1:4" ht="14.4" x14ac:dyDescent="0.3">
      <c r="A79" s="137" t="s">
        <v>1230</v>
      </c>
      <c r="B79" s="108" t="s">
        <v>1136</v>
      </c>
      <c r="C79" s="22"/>
      <c r="D79" s="22"/>
    </row>
    <row r="80" spans="1:4" ht="41.4" x14ac:dyDescent="0.3">
      <c r="A80" s="139" t="s">
        <v>1230</v>
      </c>
      <c r="B80" s="110" t="s">
        <v>1240</v>
      </c>
      <c r="C80" s="23"/>
      <c r="D80" s="50"/>
    </row>
    <row r="81" spans="1:4" ht="14.4" x14ac:dyDescent="0.3">
      <c r="A81" s="139" t="s">
        <v>1230</v>
      </c>
      <c r="B81" s="110" t="s">
        <v>1241</v>
      </c>
      <c r="C81" s="23"/>
      <c r="D81" s="50"/>
    </row>
    <row r="82" spans="1:4" ht="41.4" x14ac:dyDescent="0.3">
      <c r="A82" s="139" t="s">
        <v>1230</v>
      </c>
      <c r="B82" s="110" t="s">
        <v>1242</v>
      </c>
      <c r="C82" s="23"/>
      <c r="D82" s="50"/>
    </row>
    <row r="83" spans="1:4" ht="14.4" x14ac:dyDescent="0.3">
      <c r="A83" s="139" t="s">
        <v>1230</v>
      </c>
      <c r="B83" s="110" t="s">
        <v>1243</v>
      </c>
      <c r="C83" s="23"/>
      <c r="D83" s="50"/>
    </row>
    <row r="84" spans="1:4" ht="14.4" x14ac:dyDescent="0.3">
      <c r="A84" s="139" t="s">
        <v>1230</v>
      </c>
      <c r="B84" s="110" t="s">
        <v>1244</v>
      </c>
      <c r="C84" s="23"/>
      <c r="D84" s="50"/>
    </row>
    <row r="85" spans="1:4" ht="27.6" x14ac:dyDescent="0.3">
      <c r="A85" s="139" t="s">
        <v>1230</v>
      </c>
      <c r="B85" s="110" t="s">
        <v>1245</v>
      </c>
      <c r="C85" s="23"/>
      <c r="D85" s="50"/>
    </row>
    <row r="86" spans="1:4" ht="14.4" x14ac:dyDescent="0.3">
      <c r="A86" s="137" t="s">
        <v>1230</v>
      </c>
      <c r="B86" s="108" t="s">
        <v>1227</v>
      </c>
      <c r="C86" s="22"/>
      <c r="D86" s="22"/>
    </row>
    <row r="87" spans="1:4" ht="27.6" x14ac:dyDescent="0.3">
      <c r="A87" s="137" t="s">
        <v>1230</v>
      </c>
      <c r="B87" s="108" t="s">
        <v>1143</v>
      </c>
      <c r="C87" s="22"/>
      <c r="D87" s="22"/>
    </row>
    <row r="88" spans="1:4" ht="41.4" x14ac:dyDescent="0.3">
      <c r="A88" s="139" t="s">
        <v>1230</v>
      </c>
      <c r="B88" s="110" t="s">
        <v>1246</v>
      </c>
      <c r="C88" s="23"/>
      <c r="D88" s="50"/>
    </row>
    <row r="89" spans="1:4" ht="41.4" x14ac:dyDescent="0.3">
      <c r="A89" s="139" t="s">
        <v>1230</v>
      </c>
      <c r="B89" s="110" t="s">
        <v>1247</v>
      </c>
      <c r="C89" s="23"/>
      <c r="D89" s="50"/>
    </row>
    <row r="90" spans="1:4" ht="27.6" x14ac:dyDescent="0.3">
      <c r="A90" s="139" t="s">
        <v>1230</v>
      </c>
      <c r="B90" s="110" t="s">
        <v>1248</v>
      </c>
      <c r="C90" s="23"/>
      <c r="D90" s="50"/>
    </row>
    <row r="91" spans="1:4" ht="14.4" x14ac:dyDescent="0.3">
      <c r="A91" s="137" t="s">
        <v>1230</v>
      </c>
      <c r="B91" s="108" t="s">
        <v>1099</v>
      </c>
      <c r="C91" s="22"/>
      <c r="D91" s="22"/>
    </row>
    <row r="92" spans="1:4" ht="14.4" x14ac:dyDescent="0.3">
      <c r="A92" s="137" t="s">
        <v>1230</v>
      </c>
      <c r="B92" s="108" t="s">
        <v>1164</v>
      </c>
      <c r="C92" s="22"/>
      <c r="D92" s="22"/>
    </row>
    <row r="93" spans="1:4" ht="82.8" x14ac:dyDescent="0.3">
      <c r="A93" s="139" t="s">
        <v>1230</v>
      </c>
      <c r="B93" s="110" t="s">
        <v>1249</v>
      </c>
      <c r="C93" s="23"/>
      <c r="D93" s="50"/>
    </row>
    <row r="94" spans="1:4" ht="14.4" x14ac:dyDescent="0.3">
      <c r="A94" s="137" t="s">
        <v>1230</v>
      </c>
      <c r="B94" s="108" t="s">
        <v>1145</v>
      </c>
      <c r="C94" s="22"/>
      <c r="D94" s="22"/>
    </row>
    <row r="95" spans="1:4" ht="41.4" x14ac:dyDescent="0.3">
      <c r="A95" s="139" t="s">
        <v>1230</v>
      </c>
      <c r="B95" s="110" t="s">
        <v>1250</v>
      </c>
      <c r="C95" s="23"/>
      <c r="D95" s="50"/>
    </row>
    <row r="96" spans="1:4" ht="14.4" x14ac:dyDescent="0.3">
      <c r="A96" s="137" t="s">
        <v>1251</v>
      </c>
      <c r="B96" s="108" t="s">
        <v>1099</v>
      </c>
      <c r="C96" s="22"/>
      <c r="D96" s="22"/>
    </row>
    <row r="97" spans="1:4" ht="14.4" x14ac:dyDescent="0.3">
      <c r="A97" s="137" t="s">
        <v>1251</v>
      </c>
      <c r="B97" s="108" t="s">
        <v>1136</v>
      </c>
      <c r="C97" s="22"/>
      <c r="D97" s="22"/>
    </row>
    <row r="98" spans="1:4" ht="27.6" x14ac:dyDescent="0.3">
      <c r="A98" s="139" t="s">
        <v>1251</v>
      </c>
      <c r="B98" s="110" t="s">
        <v>1252</v>
      </c>
      <c r="C98" s="36"/>
      <c r="D98" s="50"/>
    </row>
    <row r="99" spans="1:4" ht="14.4" x14ac:dyDescent="0.3">
      <c r="A99" s="137" t="s">
        <v>1251</v>
      </c>
      <c r="B99" s="108" t="s">
        <v>1106</v>
      </c>
      <c r="C99" s="22"/>
      <c r="D99" s="22"/>
    </row>
    <row r="100" spans="1:4" ht="14.4" x14ac:dyDescent="0.3">
      <c r="A100" s="137" t="s">
        <v>1251</v>
      </c>
      <c r="B100" s="108" t="s">
        <v>1136</v>
      </c>
      <c r="C100" s="22"/>
      <c r="D100" s="22"/>
    </row>
    <row r="101" spans="1:4" ht="41.4" x14ac:dyDescent="0.3">
      <c r="A101" s="139" t="s">
        <v>1251</v>
      </c>
      <c r="B101" s="110" t="s">
        <v>1253</v>
      </c>
      <c r="C101" s="36"/>
      <c r="D101" s="50"/>
    </row>
    <row r="102" spans="1:4" ht="14.4" x14ac:dyDescent="0.3">
      <c r="A102" s="137" t="s">
        <v>1254</v>
      </c>
      <c r="B102" s="108" t="s">
        <v>1081</v>
      </c>
      <c r="C102" s="22"/>
      <c r="D102" s="22"/>
    </row>
    <row r="103" spans="1:4" ht="14.4" x14ac:dyDescent="0.3">
      <c r="A103" s="137" t="s">
        <v>1254</v>
      </c>
      <c r="B103" s="108" t="s">
        <v>1136</v>
      </c>
      <c r="C103" s="22"/>
      <c r="D103" s="22"/>
    </row>
    <row r="104" spans="1:4" ht="41.4" x14ac:dyDescent="0.3">
      <c r="A104" s="139" t="s">
        <v>1254</v>
      </c>
      <c r="B104" s="110" t="s">
        <v>1255</v>
      </c>
      <c r="C104" s="23"/>
      <c r="D104" s="50"/>
    </row>
    <row r="105" spans="1:4" ht="41.4" x14ac:dyDescent="0.3">
      <c r="A105" s="139" t="s">
        <v>1254</v>
      </c>
      <c r="B105" s="110" t="s">
        <v>1256</v>
      </c>
      <c r="C105" s="23"/>
      <c r="D105" s="50"/>
    </row>
    <row r="106" spans="1:4" ht="27.6" x14ac:dyDescent="0.3">
      <c r="A106" s="139" t="s">
        <v>1254</v>
      </c>
      <c r="B106" s="110" t="s">
        <v>1257</v>
      </c>
      <c r="C106" s="23"/>
      <c r="D106" s="50"/>
    </row>
    <row r="107" spans="1:4" ht="41.4" x14ac:dyDescent="0.3">
      <c r="A107" s="139" t="s">
        <v>1254</v>
      </c>
      <c r="B107" s="110" t="s">
        <v>1258</v>
      </c>
      <c r="C107" s="23"/>
      <c r="D107" s="50"/>
    </row>
    <row r="108" spans="1:4" ht="27.6" x14ac:dyDescent="0.3">
      <c r="A108" s="139" t="s">
        <v>1254</v>
      </c>
      <c r="B108" s="110" t="s">
        <v>1259</v>
      </c>
      <c r="C108" s="23"/>
      <c r="D108" s="50"/>
    </row>
    <row r="109" spans="1:4" ht="41.4" x14ac:dyDescent="0.3">
      <c r="A109" s="139" t="s">
        <v>1254</v>
      </c>
      <c r="B109" s="110" t="s">
        <v>1260</v>
      </c>
      <c r="C109" s="23"/>
      <c r="D109" s="50"/>
    </row>
    <row r="110" spans="1:4" ht="14.4" x14ac:dyDescent="0.3">
      <c r="A110" s="137" t="s">
        <v>1254</v>
      </c>
      <c r="B110" s="108" t="s">
        <v>922</v>
      </c>
      <c r="C110" s="22"/>
      <c r="D110" s="22"/>
    </row>
    <row r="111" spans="1:4" ht="14.4" x14ac:dyDescent="0.3">
      <c r="A111" s="137" t="s">
        <v>1254</v>
      </c>
      <c r="B111" s="108" t="s">
        <v>1136</v>
      </c>
      <c r="C111" s="22"/>
      <c r="D111" s="22"/>
    </row>
    <row r="112" spans="1:4" ht="41.4" x14ac:dyDescent="0.3">
      <c r="A112" s="139" t="s">
        <v>1254</v>
      </c>
      <c r="B112" s="110" t="s">
        <v>1261</v>
      </c>
      <c r="C112" s="23"/>
      <c r="D112" s="50"/>
    </row>
    <row r="113" spans="1:4" ht="14.4" x14ac:dyDescent="0.3">
      <c r="A113" s="139" t="s">
        <v>1254</v>
      </c>
      <c r="B113" s="110" t="s">
        <v>1262</v>
      </c>
      <c r="C113" s="23"/>
      <c r="D113" s="50"/>
    </row>
    <row r="114" spans="1:4" ht="14.4" x14ac:dyDescent="0.3">
      <c r="A114" s="137" t="s">
        <v>1254</v>
      </c>
      <c r="B114" s="108" t="s">
        <v>1217</v>
      </c>
      <c r="C114" s="22"/>
      <c r="D114" s="22"/>
    </row>
    <row r="115" spans="1:4" ht="14.4" x14ac:dyDescent="0.3">
      <c r="A115" s="137" t="s">
        <v>1254</v>
      </c>
      <c r="B115" s="108" t="s">
        <v>1136</v>
      </c>
      <c r="C115" s="22"/>
      <c r="D115" s="22"/>
    </row>
    <row r="116" spans="1:4" ht="41.4" x14ac:dyDescent="0.3">
      <c r="A116" s="139" t="s">
        <v>1254</v>
      </c>
      <c r="B116" s="110" t="s">
        <v>1263</v>
      </c>
      <c r="C116" s="23"/>
      <c r="D116" s="50"/>
    </row>
    <row r="117" spans="1:4" ht="27.6" x14ac:dyDescent="0.3">
      <c r="A117" s="139" t="s">
        <v>1254</v>
      </c>
      <c r="B117" s="110" t="s">
        <v>1264</v>
      </c>
      <c r="C117" s="23"/>
      <c r="D117" s="50"/>
    </row>
    <row r="118" spans="1:4" ht="14.4" x14ac:dyDescent="0.3">
      <c r="A118" s="137" t="s">
        <v>1254</v>
      </c>
      <c r="B118" s="108" t="s">
        <v>1227</v>
      </c>
      <c r="C118" s="22"/>
      <c r="D118" s="22"/>
    </row>
    <row r="119" spans="1:4" ht="27.6" x14ac:dyDescent="0.3">
      <c r="A119" s="137" t="s">
        <v>1254</v>
      </c>
      <c r="B119" s="108" t="s">
        <v>1143</v>
      </c>
      <c r="C119" s="22"/>
      <c r="D119" s="22"/>
    </row>
    <row r="120" spans="1:4" ht="27.6" x14ac:dyDescent="0.3">
      <c r="A120" s="139" t="s">
        <v>1254</v>
      </c>
      <c r="B120" s="110" t="s">
        <v>1265</v>
      </c>
      <c r="C120" s="23"/>
      <c r="D120" s="50"/>
    </row>
    <row r="121" spans="1:4" ht="69" x14ac:dyDescent="0.3">
      <c r="A121" s="139" t="s">
        <v>1254</v>
      </c>
      <c r="B121" s="140" t="s">
        <v>1266</v>
      </c>
      <c r="C121" s="23"/>
      <c r="D121" s="50"/>
    </row>
    <row r="122" spans="1:4" ht="14.4" x14ac:dyDescent="0.3">
      <c r="A122" s="137" t="s">
        <v>1254</v>
      </c>
      <c r="B122" s="108" t="s">
        <v>1099</v>
      </c>
      <c r="C122" s="22"/>
      <c r="D122" s="22"/>
    </row>
    <row r="123" spans="1:4" ht="14.4" x14ac:dyDescent="0.3">
      <c r="A123" s="137" t="s">
        <v>1254</v>
      </c>
      <c r="B123" s="108" t="s">
        <v>1145</v>
      </c>
      <c r="C123" s="22"/>
      <c r="D123" s="22"/>
    </row>
    <row r="124" spans="1:4" ht="27.6" x14ac:dyDescent="0.3">
      <c r="A124" s="139" t="s">
        <v>1254</v>
      </c>
      <c r="B124" s="110" t="s">
        <v>1267</v>
      </c>
      <c r="C124" s="23"/>
      <c r="D124" s="50"/>
    </row>
    <row r="125" spans="1:4" ht="14.4" x14ac:dyDescent="0.3">
      <c r="A125" s="137" t="s">
        <v>1268</v>
      </c>
      <c r="B125" s="108" t="s">
        <v>1099</v>
      </c>
      <c r="C125" s="22"/>
      <c r="D125" s="22"/>
    </row>
    <row r="126" spans="1:4" ht="14.4" x14ac:dyDescent="0.3">
      <c r="A126" s="137" t="s">
        <v>1268</v>
      </c>
      <c r="B126" s="108" t="s">
        <v>1136</v>
      </c>
      <c r="C126" s="22"/>
      <c r="D126" s="22"/>
    </row>
    <row r="127" spans="1:4" ht="27.6" x14ac:dyDescent="0.3">
      <c r="A127" s="139" t="s">
        <v>1268</v>
      </c>
      <c r="B127" s="110" t="s">
        <v>1269</v>
      </c>
      <c r="C127" s="23"/>
      <c r="D127" s="50"/>
    </row>
    <row r="128" spans="1:4" ht="27.6" x14ac:dyDescent="0.3">
      <c r="A128" s="139" t="s">
        <v>1268</v>
      </c>
      <c r="B128" s="110" t="s">
        <v>1270</v>
      </c>
      <c r="C128" s="23"/>
      <c r="D128" s="50"/>
    </row>
    <row r="129" spans="1:4" ht="27.6" x14ac:dyDescent="0.3">
      <c r="A129" s="139" t="s">
        <v>1268</v>
      </c>
      <c r="B129" s="110" t="s">
        <v>1271</v>
      </c>
      <c r="C129" s="23"/>
      <c r="D129" s="50"/>
    </row>
    <row r="130" spans="1:4" ht="41.4" x14ac:dyDescent="0.3">
      <c r="A130" s="139" t="s">
        <v>1268</v>
      </c>
      <c r="B130" s="110" t="s">
        <v>1272</v>
      </c>
      <c r="C130" s="23"/>
      <c r="D130" s="50"/>
    </row>
    <row r="131" spans="1:4" ht="27.6" x14ac:dyDescent="0.3">
      <c r="A131" s="139" t="s">
        <v>1268</v>
      </c>
      <c r="B131" s="110" t="s">
        <v>1273</v>
      </c>
      <c r="C131" s="23"/>
      <c r="D131" s="50"/>
    </row>
    <row r="132" spans="1:4" ht="27.6" x14ac:dyDescent="0.3">
      <c r="A132" s="139" t="s">
        <v>1268</v>
      </c>
      <c r="B132" s="110" t="s">
        <v>1274</v>
      </c>
      <c r="C132" s="23"/>
      <c r="D132" s="50"/>
    </row>
    <row r="133" spans="1:4" ht="14.4" x14ac:dyDescent="0.3">
      <c r="A133" s="137" t="s">
        <v>1268</v>
      </c>
      <c r="B133" s="108" t="s">
        <v>1227</v>
      </c>
      <c r="C133" s="22"/>
      <c r="D133" s="22"/>
    </row>
    <row r="134" spans="1:4" ht="27.6" x14ac:dyDescent="0.3">
      <c r="A134" s="137" t="s">
        <v>1268</v>
      </c>
      <c r="B134" s="108" t="s">
        <v>1143</v>
      </c>
      <c r="C134" s="22"/>
      <c r="D134" s="22"/>
    </row>
    <row r="135" spans="1:4" ht="96.6" x14ac:dyDescent="0.3">
      <c r="A135" s="139" t="s">
        <v>1268</v>
      </c>
      <c r="B135" s="110" t="s">
        <v>1275</v>
      </c>
      <c r="C135" s="23"/>
      <c r="D135" s="50"/>
    </row>
    <row r="136" spans="1:4" ht="14.4" x14ac:dyDescent="0.3">
      <c r="A136" s="137" t="s">
        <v>1268</v>
      </c>
      <c r="B136" s="108" t="s">
        <v>1099</v>
      </c>
      <c r="C136" s="22"/>
      <c r="D136" s="22"/>
    </row>
    <row r="137" spans="1:4" ht="14.4" x14ac:dyDescent="0.3">
      <c r="A137" s="137" t="s">
        <v>1268</v>
      </c>
      <c r="B137" s="108" t="s">
        <v>1145</v>
      </c>
      <c r="C137" s="22"/>
      <c r="D137" s="22"/>
    </row>
    <row r="138" spans="1:4" ht="27.6" x14ac:dyDescent="0.3">
      <c r="A138" s="139" t="s">
        <v>1268</v>
      </c>
      <c r="B138" s="110" t="s">
        <v>1276</v>
      </c>
      <c r="C138" s="23"/>
      <c r="D138" s="50"/>
    </row>
    <row r="139" spans="1:4" ht="14.4" x14ac:dyDescent="0.3">
      <c r="A139" s="137" t="s">
        <v>1277</v>
      </c>
      <c r="B139" s="108" t="s">
        <v>1081</v>
      </c>
      <c r="C139" s="22"/>
      <c r="D139" s="22"/>
    </row>
    <row r="140" spans="1:4" ht="14.4" x14ac:dyDescent="0.3">
      <c r="A140" s="137" t="s">
        <v>1277</v>
      </c>
      <c r="B140" s="108" t="s">
        <v>720</v>
      </c>
      <c r="C140" s="22"/>
      <c r="D140" s="22"/>
    </row>
    <row r="141" spans="1:4" ht="27.6" x14ac:dyDescent="0.3">
      <c r="A141" s="139" t="s">
        <v>1277</v>
      </c>
      <c r="B141" s="110" t="s">
        <v>1278</v>
      </c>
      <c r="C141" s="23"/>
      <c r="D141" s="50"/>
    </row>
    <row r="142" spans="1:4" ht="27.6" x14ac:dyDescent="0.3">
      <c r="A142" s="139" t="s">
        <v>1277</v>
      </c>
      <c r="B142" s="110" t="s">
        <v>1279</v>
      </c>
      <c r="C142" s="23"/>
      <c r="D142" s="50"/>
    </row>
    <row r="143" spans="1:4" ht="14.4" x14ac:dyDescent="0.3">
      <c r="A143" s="137" t="s">
        <v>1277</v>
      </c>
      <c r="B143" s="108" t="s">
        <v>1106</v>
      </c>
      <c r="C143" s="22"/>
      <c r="D143" s="22"/>
    </row>
    <row r="144" spans="1:4" ht="14.4" x14ac:dyDescent="0.3">
      <c r="A144" s="137" t="s">
        <v>1277</v>
      </c>
      <c r="B144" s="108" t="s">
        <v>720</v>
      </c>
      <c r="C144" s="22"/>
      <c r="D144" s="22"/>
    </row>
    <row r="145" spans="1:4" ht="27.6" x14ac:dyDescent="0.3">
      <c r="A145" s="139" t="s">
        <v>1277</v>
      </c>
      <c r="B145" s="110" t="s">
        <v>1280</v>
      </c>
      <c r="C145" s="23"/>
      <c r="D145" s="50"/>
    </row>
    <row r="146" spans="1:4" ht="27.6" x14ac:dyDescent="0.3">
      <c r="A146" s="139" t="s">
        <v>1277</v>
      </c>
      <c r="B146" s="110" t="s">
        <v>1281</v>
      </c>
      <c r="C146" s="23"/>
      <c r="D146" s="50"/>
    </row>
    <row r="147" spans="1:4" ht="14.4" x14ac:dyDescent="0.3">
      <c r="A147" s="139" t="s">
        <v>1277</v>
      </c>
      <c r="B147" s="110" t="s">
        <v>1282</v>
      </c>
      <c r="C147" s="121"/>
      <c r="D147" s="50"/>
    </row>
    <row r="148" spans="1:4" ht="14.4" x14ac:dyDescent="0.3">
      <c r="A148" s="139" t="s">
        <v>1277</v>
      </c>
      <c r="B148" s="110" t="s">
        <v>1283</v>
      </c>
      <c r="C148" s="121"/>
      <c r="D148" s="50"/>
    </row>
    <row r="149" spans="1:4" ht="14.4" x14ac:dyDescent="0.3">
      <c r="A149" s="137" t="s">
        <v>1277</v>
      </c>
      <c r="B149" s="108" t="s">
        <v>1181</v>
      </c>
      <c r="C149" s="22"/>
      <c r="D149" s="22"/>
    </row>
    <row r="150" spans="1:4" ht="14.4" x14ac:dyDescent="0.3">
      <c r="A150" s="137" t="s">
        <v>1277</v>
      </c>
      <c r="B150" s="108" t="s">
        <v>1284</v>
      </c>
      <c r="C150" s="22"/>
      <c r="D150" s="22"/>
    </row>
    <row r="151" spans="1:4" ht="27.6" x14ac:dyDescent="0.3">
      <c r="A151" s="139" t="s">
        <v>1277</v>
      </c>
      <c r="B151" s="110" t="s">
        <v>1285</v>
      </c>
      <c r="C151" s="121"/>
      <c r="D151" s="50"/>
    </row>
    <row r="152" spans="1:4" ht="14.4" x14ac:dyDescent="0.3">
      <c r="A152" s="137" t="s">
        <v>1277</v>
      </c>
      <c r="B152" s="108" t="s">
        <v>1181</v>
      </c>
      <c r="C152" s="22"/>
      <c r="D152" s="22"/>
    </row>
    <row r="153" spans="1:4" ht="27.6" x14ac:dyDescent="0.3">
      <c r="A153" s="137" t="s">
        <v>1277</v>
      </c>
      <c r="B153" s="108" t="s">
        <v>1286</v>
      </c>
      <c r="C153" s="22"/>
      <c r="D153" s="22"/>
    </row>
    <row r="154" spans="1:4" ht="14.4" x14ac:dyDescent="0.3">
      <c r="A154" s="141" t="s">
        <v>1277</v>
      </c>
      <c r="B154" s="110" t="s">
        <v>1287</v>
      </c>
      <c r="C154" s="121"/>
      <c r="D154" s="50"/>
    </row>
    <row r="155" spans="1:4" ht="14.4" x14ac:dyDescent="0.3">
      <c r="A155" s="135"/>
      <c r="B155" s="135"/>
      <c r="C155" s="135"/>
      <c r="D155" s="17"/>
    </row>
    <row r="156" spans="1:4" ht="14.4" x14ac:dyDescent="0.3">
      <c r="A156" s="135"/>
      <c r="B156" s="135"/>
      <c r="C156" s="135"/>
      <c r="D156" s="17"/>
    </row>
    <row r="157" spans="1:4" ht="14.4" x14ac:dyDescent="0.3">
      <c r="A157" s="17"/>
      <c r="B157" s="17"/>
      <c r="C157" s="17"/>
      <c r="D157" s="17"/>
    </row>
    <row r="158" spans="1:4" ht="14.4" x14ac:dyDescent="0.3">
      <c r="A158" s="17"/>
      <c r="B158" s="17"/>
      <c r="C158" s="17"/>
      <c r="D158" s="17"/>
    </row>
    <row r="159" spans="1:4" ht="14.4" x14ac:dyDescent="0.3">
      <c r="A159" s="142"/>
      <c r="B159" s="143" t="s">
        <v>218</v>
      </c>
      <c r="C159" s="144"/>
      <c r="D159" s="145"/>
    </row>
    <row r="160" spans="1:4" ht="28.2" x14ac:dyDescent="0.3">
      <c r="A160" s="142"/>
      <c r="B160" s="143" t="s">
        <v>1288</v>
      </c>
      <c r="C160" s="146"/>
      <c r="D160" s="142"/>
    </row>
    <row r="161" spans="1:4" ht="14.4" x14ac:dyDescent="0.3">
      <c r="A161" s="142" t="s">
        <v>7</v>
      </c>
      <c r="B161" s="143" t="s">
        <v>9</v>
      </c>
      <c r="C161" s="142" t="s">
        <v>10</v>
      </c>
      <c r="D161" s="142" t="s">
        <v>11</v>
      </c>
    </row>
    <row r="162" spans="1:4" ht="14.4" x14ac:dyDescent="0.3">
      <c r="A162" s="137" t="s">
        <v>1151</v>
      </c>
      <c r="B162" s="108" t="s">
        <v>922</v>
      </c>
      <c r="C162" s="22"/>
      <c r="D162" s="22"/>
    </row>
    <row r="163" spans="1:4" ht="41.4" x14ac:dyDescent="0.3">
      <c r="A163" s="137" t="s">
        <v>1151</v>
      </c>
      <c r="B163" s="108" t="s">
        <v>1289</v>
      </c>
      <c r="C163" s="22"/>
      <c r="D163" s="22"/>
    </row>
    <row r="164" spans="1:4" ht="27.6" x14ac:dyDescent="0.3">
      <c r="A164" s="147" t="s">
        <v>1151</v>
      </c>
      <c r="B164" s="110" t="s">
        <v>1290</v>
      </c>
      <c r="C164" s="121"/>
      <c r="D164" s="36"/>
    </row>
    <row r="165" spans="1:4" ht="124.2" x14ac:dyDescent="0.3">
      <c r="A165" s="147" t="s">
        <v>1151</v>
      </c>
      <c r="B165" s="110" t="s">
        <v>1291</v>
      </c>
      <c r="C165" s="121"/>
      <c r="D165" s="36"/>
    </row>
    <row r="166" spans="1:4" ht="55.2" x14ac:dyDescent="0.3">
      <c r="A166" s="147" t="s">
        <v>1151</v>
      </c>
      <c r="B166" s="110" t="s">
        <v>1292</v>
      </c>
      <c r="C166" s="121"/>
      <c r="D166" s="36"/>
    </row>
    <row r="167" spans="1:4" ht="14.4" x14ac:dyDescent="0.3">
      <c r="A167" s="137" t="s">
        <v>1151</v>
      </c>
      <c r="B167" s="108" t="s">
        <v>1145</v>
      </c>
      <c r="C167" s="22"/>
      <c r="D167" s="22"/>
    </row>
    <row r="168" spans="1:4" ht="27.6" x14ac:dyDescent="0.3">
      <c r="A168" s="147" t="s">
        <v>1151</v>
      </c>
      <c r="B168" s="110" t="s">
        <v>1293</v>
      </c>
      <c r="C168" s="121"/>
      <c r="D168" s="36"/>
    </row>
    <row r="169" spans="1:4" ht="138" x14ac:dyDescent="0.3">
      <c r="A169" s="147" t="s">
        <v>1151</v>
      </c>
      <c r="B169" s="110" t="s">
        <v>1294</v>
      </c>
      <c r="C169" s="121"/>
      <c r="D169" s="36"/>
    </row>
    <row r="170" spans="1:4" ht="14.4" x14ac:dyDescent="0.3">
      <c r="A170" s="137" t="s">
        <v>1186</v>
      </c>
      <c r="B170" s="108" t="s">
        <v>922</v>
      </c>
      <c r="C170" s="22"/>
      <c r="D170" s="22"/>
    </row>
    <row r="171" spans="1:4" ht="27.6" x14ac:dyDescent="0.3">
      <c r="A171" s="137" t="s">
        <v>1186</v>
      </c>
      <c r="B171" s="108" t="s">
        <v>1154</v>
      </c>
      <c r="C171" s="22"/>
      <c r="D171" s="22"/>
    </row>
    <row r="172" spans="1:4" ht="27.6" x14ac:dyDescent="0.3">
      <c r="A172" s="147" t="s">
        <v>1186</v>
      </c>
      <c r="B172" s="110" t="s">
        <v>1295</v>
      </c>
      <c r="C172" s="121"/>
      <c r="D172" s="36"/>
    </row>
    <row r="173" spans="1:4" ht="82.8" x14ac:dyDescent="0.3">
      <c r="A173" s="147" t="s">
        <v>1186</v>
      </c>
      <c r="B173" s="110" t="s">
        <v>1296</v>
      </c>
      <c r="C173" s="121"/>
      <c r="D173" s="36"/>
    </row>
    <row r="174" spans="1:4" ht="14.4" x14ac:dyDescent="0.3">
      <c r="A174" s="147" t="s">
        <v>1186</v>
      </c>
      <c r="B174" s="110" t="s">
        <v>1297</v>
      </c>
      <c r="C174" s="121"/>
      <c r="D174" s="36"/>
    </row>
    <row r="175" spans="1:4" ht="14.4" x14ac:dyDescent="0.3">
      <c r="A175" s="137" t="s">
        <v>1186</v>
      </c>
      <c r="B175" s="108" t="s">
        <v>1298</v>
      </c>
      <c r="C175" s="22"/>
      <c r="D175" s="22"/>
    </row>
    <row r="176" spans="1:4" ht="27.6" x14ac:dyDescent="0.3">
      <c r="A176" s="147" t="s">
        <v>1186</v>
      </c>
      <c r="B176" s="110" t="s">
        <v>1299</v>
      </c>
      <c r="C176" s="121"/>
      <c r="D176" s="36"/>
    </row>
    <row r="177" spans="1:4" ht="27.6" x14ac:dyDescent="0.3">
      <c r="A177" s="147" t="s">
        <v>1186</v>
      </c>
      <c r="B177" s="110" t="s">
        <v>1300</v>
      </c>
      <c r="C177" s="121"/>
      <c r="D177" s="36"/>
    </row>
    <row r="178" spans="1:4" ht="14.4" x14ac:dyDescent="0.3">
      <c r="A178" s="147" t="s">
        <v>1186</v>
      </c>
      <c r="B178" s="110" t="s">
        <v>1301</v>
      </c>
      <c r="C178" s="121"/>
      <c r="D178" s="36"/>
    </row>
    <row r="179" spans="1:4" ht="14.4" x14ac:dyDescent="0.3">
      <c r="A179" s="147" t="s">
        <v>1186</v>
      </c>
      <c r="B179" s="110" t="s">
        <v>1302</v>
      </c>
      <c r="C179" s="121"/>
      <c r="D179" s="36"/>
    </row>
    <row r="180" spans="1:4" ht="27.6" x14ac:dyDescent="0.3">
      <c r="A180" s="137" t="s">
        <v>1186</v>
      </c>
      <c r="B180" s="108" t="s">
        <v>1303</v>
      </c>
      <c r="C180" s="22"/>
      <c r="D180" s="22"/>
    </row>
    <row r="181" spans="1:4" ht="27.6" x14ac:dyDescent="0.3">
      <c r="A181" s="147" t="s">
        <v>1186</v>
      </c>
      <c r="B181" s="110" t="s">
        <v>1094</v>
      </c>
      <c r="C181" s="121"/>
      <c r="D181" s="36"/>
    </row>
    <row r="182" spans="1:4" ht="14.4" x14ac:dyDescent="0.3">
      <c r="A182" s="137" t="s">
        <v>1186</v>
      </c>
      <c r="B182" s="108" t="s">
        <v>1145</v>
      </c>
      <c r="C182" s="26"/>
      <c r="D182" s="22"/>
    </row>
    <row r="183" spans="1:4" ht="27.6" x14ac:dyDescent="0.3">
      <c r="A183" s="147" t="s">
        <v>1186</v>
      </c>
      <c r="B183" s="110" t="s">
        <v>1304</v>
      </c>
      <c r="C183" s="121"/>
      <c r="D183" s="36"/>
    </row>
    <row r="184" spans="1:4" ht="14.4" x14ac:dyDescent="0.3">
      <c r="A184" s="137" t="s">
        <v>1230</v>
      </c>
      <c r="B184" s="108" t="s">
        <v>922</v>
      </c>
      <c r="C184" s="22"/>
      <c r="D184" s="22"/>
    </row>
    <row r="185" spans="1:4" ht="14.4" x14ac:dyDescent="0.3">
      <c r="A185" s="137" t="s">
        <v>1230</v>
      </c>
      <c r="B185" s="108" t="s">
        <v>1136</v>
      </c>
      <c r="C185" s="22"/>
      <c r="D185" s="22"/>
    </row>
    <row r="186" spans="1:4" ht="27.6" x14ac:dyDescent="0.3">
      <c r="A186" s="147" t="s">
        <v>1230</v>
      </c>
      <c r="B186" s="110" t="s">
        <v>1305</v>
      </c>
      <c r="C186" s="121"/>
      <c r="D186" s="36"/>
    </row>
    <row r="187" spans="1:4" ht="27.6" x14ac:dyDescent="0.3">
      <c r="A187" s="147" t="s">
        <v>1230</v>
      </c>
      <c r="B187" s="110" t="s">
        <v>1306</v>
      </c>
      <c r="C187" s="121"/>
      <c r="D187" s="36"/>
    </row>
    <row r="188" spans="1:4" ht="27.6" x14ac:dyDescent="0.3">
      <c r="A188" s="147" t="s">
        <v>1230</v>
      </c>
      <c r="B188" s="110" t="s">
        <v>1307</v>
      </c>
      <c r="C188" s="121"/>
      <c r="D188" s="36"/>
    </row>
    <row r="189" spans="1:4" ht="27.6" x14ac:dyDescent="0.3">
      <c r="A189" s="137" t="s">
        <v>1230</v>
      </c>
      <c r="B189" s="108" t="s">
        <v>1308</v>
      </c>
      <c r="C189" s="22"/>
      <c r="D189" s="22"/>
    </row>
    <row r="190" spans="1:4" ht="27.6" x14ac:dyDescent="0.3">
      <c r="A190" s="147" t="s">
        <v>1230</v>
      </c>
      <c r="B190" s="110" t="s">
        <v>1100</v>
      </c>
      <c r="C190" s="121"/>
      <c r="D190" s="36"/>
    </row>
    <row r="191" spans="1:4" ht="41.4" x14ac:dyDescent="0.3">
      <c r="A191" s="147" t="s">
        <v>1230</v>
      </c>
      <c r="B191" s="110" t="s">
        <v>1309</v>
      </c>
      <c r="C191" s="121"/>
      <c r="D191" s="36"/>
    </row>
    <row r="192" spans="1:4" ht="14.4" x14ac:dyDescent="0.3">
      <c r="A192" s="137" t="s">
        <v>1230</v>
      </c>
      <c r="B192" s="108" t="s">
        <v>1164</v>
      </c>
      <c r="C192" s="22"/>
      <c r="D192" s="22"/>
    </row>
    <row r="193" spans="1:4" ht="69" x14ac:dyDescent="0.3">
      <c r="A193" s="147" t="s">
        <v>1230</v>
      </c>
      <c r="B193" s="110" t="s">
        <v>1310</v>
      </c>
      <c r="C193" s="121"/>
      <c r="D193" s="36"/>
    </row>
    <row r="194" spans="1:4" ht="14.4" x14ac:dyDescent="0.3">
      <c r="A194" s="137" t="s">
        <v>1230</v>
      </c>
      <c r="B194" s="108" t="s">
        <v>1145</v>
      </c>
      <c r="C194" s="22"/>
      <c r="D194" s="22"/>
    </row>
    <row r="195" spans="1:4" ht="41.4" x14ac:dyDescent="0.3">
      <c r="A195" s="147" t="s">
        <v>1230</v>
      </c>
      <c r="B195" s="110" t="s">
        <v>1311</v>
      </c>
      <c r="C195" s="121"/>
      <c r="D195" s="36"/>
    </row>
    <row r="196" spans="1:4" ht="14.4" x14ac:dyDescent="0.3">
      <c r="A196" s="137" t="s">
        <v>1251</v>
      </c>
      <c r="B196" s="108" t="s">
        <v>922</v>
      </c>
      <c r="C196" s="22"/>
      <c r="D196" s="22"/>
    </row>
    <row r="197" spans="1:4" ht="41.4" x14ac:dyDescent="0.3">
      <c r="A197" s="137" t="s">
        <v>1251</v>
      </c>
      <c r="B197" s="108" t="s">
        <v>1312</v>
      </c>
      <c r="C197" s="22"/>
      <c r="D197" s="22"/>
    </row>
    <row r="198" spans="1:4" ht="27.6" x14ac:dyDescent="0.3">
      <c r="A198" s="147" t="s">
        <v>1251</v>
      </c>
      <c r="B198" s="110" t="s">
        <v>1105</v>
      </c>
      <c r="C198" s="121"/>
      <c r="D198" s="36"/>
    </row>
    <row r="199" spans="1:4" ht="14.4" x14ac:dyDescent="0.3">
      <c r="A199" s="137" t="s">
        <v>1254</v>
      </c>
      <c r="B199" s="108" t="s">
        <v>922</v>
      </c>
      <c r="C199" s="22"/>
      <c r="D199" s="22"/>
    </row>
    <row r="200" spans="1:4" ht="41.4" x14ac:dyDescent="0.3">
      <c r="A200" s="137" t="s">
        <v>1254</v>
      </c>
      <c r="B200" s="108" t="s">
        <v>1313</v>
      </c>
      <c r="C200" s="22"/>
      <c r="D200" s="22"/>
    </row>
    <row r="201" spans="1:4" ht="41.4" x14ac:dyDescent="0.3">
      <c r="A201" s="147" t="s">
        <v>1254</v>
      </c>
      <c r="B201" s="110" t="s">
        <v>1314</v>
      </c>
      <c r="C201" s="121"/>
      <c r="D201" s="36"/>
    </row>
    <row r="202" spans="1:4" ht="27.6" x14ac:dyDescent="0.3">
      <c r="A202" s="147" t="s">
        <v>1254</v>
      </c>
      <c r="B202" s="110" t="s">
        <v>1315</v>
      </c>
      <c r="C202" s="121"/>
      <c r="D202" s="36"/>
    </row>
    <row r="203" spans="1:4" ht="27.6" x14ac:dyDescent="0.3">
      <c r="A203" s="147" t="s">
        <v>1254</v>
      </c>
      <c r="B203" s="110" t="s">
        <v>1316</v>
      </c>
      <c r="C203" s="121"/>
      <c r="D203" s="36"/>
    </row>
    <row r="204" spans="1:4" ht="27.6" x14ac:dyDescent="0.3">
      <c r="A204" s="147" t="s">
        <v>1254</v>
      </c>
      <c r="B204" s="110" t="s">
        <v>1317</v>
      </c>
      <c r="C204" s="121"/>
      <c r="D204" s="36"/>
    </row>
    <row r="205" spans="1:4" ht="27.6" x14ac:dyDescent="0.3">
      <c r="A205" s="147" t="s">
        <v>1254</v>
      </c>
      <c r="B205" s="110" t="s">
        <v>1318</v>
      </c>
      <c r="C205" s="121"/>
      <c r="D205" s="36"/>
    </row>
    <row r="206" spans="1:4" ht="14.4" x14ac:dyDescent="0.3">
      <c r="A206" s="137" t="s">
        <v>1254</v>
      </c>
      <c r="B206" s="108" t="s">
        <v>1145</v>
      </c>
      <c r="C206" s="22"/>
      <c r="D206" s="22"/>
    </row>
    <row r="207" spans="1:4" ht="27.6" x14ac:dyDescent="0.3">
      <c r="A207" s="147" t="s">
        <v>1254</v>
      </c>
      <c r="B207" s="110" t="s">
        <v>1043</v>
      </c>
      <c r="C207" s="121"/>
      <c r="D207" s="36"/>
    </row>
    <row r="208" spans="1:4" ht="14.4" x14ac:dyDescent="0.3">
      <c r="A208" s="137" t="s">
        <v>1268</v>
      </c>
      <c r="B208" s="108" t="s">
        <v>922</v>
      </c>
      <c r="C208" s="22"/>
      <c r="D208" s="22"/>
    </row>
    <row r="209" spans="1:4" ht="41.4" x14ac:dyDescent="0.3">
      <c r="A209" s="137" t="s">
        <v>1268</v>
      </c>
      <c r="B209" s="108" t="s">
        <v>1313</v>
      </c>
      <c r="C209" s="22"/>
      <c r="D209" s="22"/>
    </row>
    <row r="210" spans="1:4" ht="41.4" x14ac:dyDescent="0.3">
      <c r="A210" s="147" t="s">
        <v>1268</v>
      </c>
      <c r="B210" s="110" t="s">
        <v>1319</v>
      </c>
      <c r="C210" s="121"/>
      <c r="D210" s="36"/>
    </row>
    <row r="211" spans="1:4" ht="14.4" x14ac:dyDescent="0.3">
      <c r="A211" s="137" t="s">
        <v>1268</v>
      </c>
      <c r="B211" s="108" t="s">
        <v>1145</v>
      </c>
      <c r="C211" s="22"/>
      <c r="D211" s="22"/>
    </row>
    <row r="212" spans="1:4" ht="27.6" x14ac:dyDescent="0.3">
      <c r="A212" s="147" t="s">
        <v>1268</v>
      </c>
      <c r="B212" s="110" t="s">
        <v>1048</v>
      </c>
      <c r="C212" s="121"/>
      <c r="D212" s="36"/>
    </row>
    <row r="213" spans="1:4" ht="14.4" x14ac:dyDescent="0.3">
      <c r="A213" s="137" t="s">
        <v>1277</v>
      </c>
      <c r="B213" s="108" t="s">
        <v>922</v>
      </c>
      <c r="C213" s="22"/>
      <c r="D213" s="22"/>
    </row>
    <row r="214" spans="1:4" ht="41.4" x14ac:dyDescent="0.3">
      <c r="A214" s="137" t="s">
        <v>1277</v>
      </c>
      <c r="B214" s="108" t="s">
        <v>1322</v>
      </c>
      <c r="C214" s="22"/>
      <c r="D214" s="22"/>
    </row>
    <row r="215" spans="1:4" ht="14.4" x14ac:dyDescent="0.3">
      <c r="A215" s="36" t="s">
        <v>1277</v>
      </c>
      <c r="B215" s="110" t="s">
        <v>1323</v>
      </c>
      <c r="C215" s="121"/>
      <c r="D215" s="36"/>
    </row>
    <row r="216" spans="1:4" ht="14.4" x14ac:dyDescent="0.3"/>
    <row r="217" spans="1:4" ht="14.4" x14ac:dyDescent="0.3">
      <c r="A217" s="17"/>
      <c r="B217" s="17"/>
      <c r="C217" s="17"/>
      <c r="D217" s="17"/>
    </row>
    <row r="218" spans="1:4" ht="14.4" x14ac:dyDescent="0.3">
      <c r="A218" s="17"/>
      <c r="B218" s="15" t="s">
        <v>75</v>
      </c>
      <c r="C218" s="2">
        <f>COUNTIF($C$5:$C$215,"C")</f>
        <v>1</v>
      </c>
      <c r="D218" s="17"/>
    </row>
    <row r="219" spans="1:4" ht="14.4" x14ac:dyDescent="0.3">
      <c r="A219" s="17"/>
      <c r="B219" s="15" t="s">
        <v>81</v>
      </c>
      <c r="C219" s="2">
        <f>COUNTIF($C$5:$C$215,"NC")</f>
        <v>1</v>
      </c>
      <c r="D219" s="17"/>
    </row>
    <row r="220" spans="1:4" ht="14.4" x14ac:dyDescent="0.3">
      <c r="A220" s="17"/>
      <c r="B220" s="15" t="s">
        <v>84</v>
      </c>
      <c r="C220" s="2">
        <f>COUNTIF($C$5:$C$215,"NA")</f>
        <v>1</v>
      </c>
      <c r="D220" s="17"/>
    </row>
  </sheetData>
  <autoFilter ref="A5:D154" xr:uid="{00000000-0009-0000-0000-000010000000}"/>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dxfId="92" priority="1" operator="beginsWith" text="C">
      <formula>LEFT((C8),LEN("C"))=("C")</formula>
    </cfRule>
    <cfRule type="beginsWith" dxfId="91" priority="2" operator="beginsWith" text="NC">
      <formula>LEFT((C8),LEN("NC"))=("NC")</formula>
    </cfRule>
    <cfRule type="beginsWith" dxfId="90" priority="3" operator="beginsWith" text="NA">
      <formula>LEFT((C8),LEN("NA"))=("NA")</formula>
    </cfRule>
  </conditionalFormatting>
  <dataValidations count="1">
    <dataValidation type="list" allowBlank="1" sqref="C8 C10 C12 C15:C17 C21:C22 C25:C26 C29:C32 C34:C36 C39:C41 C44:C49 C52:C60 C63 C66 C69 C71:C77 C80:C85 C88:C90 C93 C95 C98 C101 C104:C109 C112:C113 C116:C117 C120:C121 C124 C127:C132 C135 C138 C141:C142 C145:C148 C151 C154 C164:C166 C168:C169 C172:C174 C176:C179 C181 C183 C186:C188 C190:C191 C193 C195 C198 C201:C205 C207 C210 C212 C215" xr:uid="{00000000-0002-0000-1000-000000000000}">
      <formula1>"C,NC,NA"</formula1>
    </dataValidation>
  </dataValidations>
  <hyperlinks>
    <hyperlink ref="B1" location="'Tabla de contenido'!A1" display="VOLVER A TABLA DE CONTENIDO" xr:uid="{00000000-0004-0000-1000-000000000000}"/>
  </hyperlinks>
  <pageMargins left="0.7" right="0.7" top="0.75" bottom="0.75" header="0" footer="0"/>
  <pageSetup orientation="portrait"/>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41B47"/>
  </sheetPr>
  <dimension ref="A1:D104"/>
  <sheetViews>
    <sheetView showGridLines="0" workbookViewId="0">
      <selection sqref="A1:D1"/>
    </sheetView>
  </sheetViews>
  <sheetFormatPr baseColWidth="10" defaultColWidth="14.44140625" defaultRowHeight="15" customHeight="1" outlineLevelCol="1" x14ac:dyDescent="0.3"/>
  <cols>
    <col min="1" max="1" width="19.33203125" customWidth="1"/>
    <col min="2" max="2" width="76" customWidth="1"/>
    <col min="3" max="3" width="11.5546875" customWidth="1"/>
    <col min="4" max="4" width="40.21875" customWidth="1" outlineLevel="1"/>
    <col min="5" max="24" width="10.77734375" customWidth="1"/>
  </cols>
  <sheetData>
    <row r="1" spans="1:4" ht="14.4" x14ac:dyDescent="0.3">
      <c r="A1" s="269"/>
      <c r="B1" s="270" t="s">
        <v>0</v>
      </c>
      <c r="C1" s="269"/>
      <c r="D1" s="269"/>
    </row>
    <row r="2" spans="1:4" ht="14.4" x14ac:dyDescent="0.3">
      <c r="A2" s="148" t="s">
        <v>1320</v>
      </c>
      <c r="B2" s="149" t="s">
        <v>1321</v>
      </c>
      <c r="C2" s="150"/>
      <c r="D2" s="151"/>
    </row>
    <row r="3" spans="1:4" ht="55.2" x14ac:dyDescent="0.3">
      <c r="A3" s="148" t="s">
        <v>1324</v>
      </c>
      <c r="B3" s="149" t="s">
        <v>1325</v>
      </c>
      <c r="C3" s="152"/>
      <c r="D3" s="151"/>
    </row>
    <row r="4" spans="1:4" ht="14.4" x14ac:dyDescent="0.3">
      <c r="A4" s="148" t="s">
        <v>1326</v>
      </c>
      <c r="B4" s="149" t="s">
        <v>1327</v>
      </c>
      <c r="C4" s="152"/>
      <c r="D4" s="151"/>
    </row>
    <row r="5" spans="1:4" ht="14.4" x14ac:dyDescent="0.3">
      <c r="A5" s="285" t="s">
        <v>1328</v>
      </c>
      <c r="B5" s="149" t="s">
        <v>1329</v>
      </c>
      <c r="C5" s="152"/>
      <c r="D5" s="151"/>
    </row>
    <row r="6" spans="1:4" ht="28.8" x14ac:dyDescent="0.3">
      <c r="A6" s="282"/>
      <c r="B6" s="153" t="s">
        <v>1330</v>
      </c>
      <c r="C6" s="152"/>
      <c r="D6" s="151"/>
    </row>
    <row r="7" spans="1:4" ht="14.4" x14ac:dyDescent="0.3">
      <c r="A7" s="148" t="s">
        <v>7</v>
      </c>
      <c r="B7" s="149" t="s">
        <v>9</v>
      </c>
      <c r="C7" s="148" t="s">
        <v>10</v>
      </c>
      <c r="D7" s="148" t="s">
        <v>11</v>
      </c>
    </row>
    <row r="8" spans="1:4" ht="14.4" x14ac:dyDescent="0.3">
      <c r="A8" s="154" t="s">
        <v>1331</v>
      </c>
      <c r="B8" s="155" t="s">
        <v>1136</v>
      </c>
      <c r="C8" s="155"/>
      <c r="D8" s="156"/>
    </row>
    <row r="9" spans="1:4" ht="27.6" x14ac:dyDescent="0.3">
      <c r="A9" s="154" t="s">
        <v>1331</v>
      </c>
      <c r="B9" s="155" t="s">
        <v>1290</v>
      </c>
      <c r="C9" s="155"/>
      <c r="D9" s="156"/>
    </row>
    <row r="10" spans="1:4" ht="55.2" x14ac:dyDescent="0.3">
      <c r="A10" s="157" t="s">
        <v>1331</v>
      </c>
      <c r="B10" s="158" t="s">
        <v>1332</v>
      </c>
      <c r="C10" s="159" t="s">
        <v>16</v>
      </c>
      <c r="D10" s="160"/>
    </row>
    <row r="11" spans="1:4" ht="55.2" x14ac:dyDescent="0.3">
      <c r="A11" s="157" t="s">
        <v>1331</v>
      </c>
      <c r="B11" s="158" t="s">
        <v>1333</v>
      </c>
      <c r="C11" s="159" t="s">
        <v>20</v>
      </c>
      <c r="D11" s="160"/>
    </row>
    <row r="12" spans="1:4" ht="14.4" x14ac:dyDescent="0.3">
      <c r="A12" s="157" t="s">
        <v>1331</v>
      </c>
      <c r="B12" s="158" t="s">
        <v>1334</v>
      </c>
      <c r="C12" s="159" t="s">
        <v>24</v>
      </c>
      <c r="D12" s="160"/>
    </row>
    <row r="13" spans="1:4" ht="14.4" x14ac:dyDescent="0.3">
      <c r="A13" s="154" t="s">
        <v>1331</v>
      </c>
      <c r="B13" s="155" t="s">
        <v>1335</v>
      </c>
      <c r="C13" s="155"/>
      <c r="D13" s="155"/>
    </row>
    <row r="14" spans="1:4" ht="41.4" x14ac:dyDescent="0.3">
      <c r="A14" s="157" t="s">
        <v>1331</v>
      </c>
      <c r="B14" s="161" t="s">
        <v>1336</v>
      </c>
      <c r="C14" s="159"/>
      <c r="D14" s="160"/>
    </row>
    <row r="15" spans="1:4" ht="41.4" x14ac:dyDescent="0.3">
      <c r="A15" s="157" t="s">
        <v>1331</v>
      </c>
      <c r="B15" s="161" t="s">
        <v>1337</v>
      </c>
      <c r="C15" s="159"/>
      <c r="D15" s="160"/>
    </row>
    <row r="16" spans="1:4" ht="14.4" x14ac:dyDescent="0.3">
      <c r="A16" s="162" t="s">
        <v>1331</v>
      </c>
      <c r="B16" s="163" t="s">
        <v>1145</v>
      </c>
      <c r="C16" s="163"/>
      <c r="D16" s="163"/>
    </row>
    <row r="17" spans="1:4" ht="14.4" x14ac:dyDescent="0.3">
      <c r="A17" s="157" t="s">
        <v>1331</v>
      </c>
      <c r="B17" s="161" t="s">
        <v>1338</v>
      </c>
      <c r="C17" s="159"/>
      <c r="D17" s="160"/>
    </row>
    <row r="18" spans="1:4" ht="55.2" x14ac:dyDescent="0.3">
      <c r="A18" s="157" t="s">
        <v>1331</v>
      </c>
      <c r="B18" s="161" t="s">
        <v>1339</v>
      </c>
      <c r="C18" s="159"/>
      <c r="D18" s="160"/>
    </row>
    <row r="19" spans="1:4" ht="14.4" x14ac:dyDescent="0.3">
      <c r="A19" s="154" t="s">
        <v>1340</v>
      </c>
      <c r="B19" s="155" t="s">
        <v>1136</v>
      </c>
      <c r="C19" s="155"/>
      <c r="D19" s="155"/>
    </row>
    <row r="20" spans="1:4" ht="27.6" x14ac:dyDescent="0.3">
      <c r="A20" s="154" t="s">
        <v>1340</v>
      </c>
      <c r="B20" s="155" t="s">
        <v>1175</v>
      </c>
      <c r="C20" s="155"/>
      <c r="D20" s="155"/>
    </row>
    <row r="21" spans="1:4" ht="14.4" x14ac:dyDescent="0.3">
      <c r="A21" s="157" t="s">
        <v>1340</v>
      </c>
      <c r="B21" s="158" t="s">
        <v>1341</v>
      </c>
      <c r="C21" s="159"/>
      <c r="D21" s="160"/>
    </row>
    <row r="22" spans="1:4" ht="14.4" x14ac:dyDescent="0.3">
      <c r="A22" s="154" t="s">
        <v>1340</v>
      </c>
      <c r="B22" s="155" t="s">
        <v>1342</v>
      </c>
      <c r="C22" s="155"/>
      <c r="D22" s="155"/>
    </row>
    <row r="23" spans="1:4" ht="14.4" x14ac:dyDescent="0.3">
      <c r="A23" s="157" t="s">
        <v>1340</v>
      </c>
      <c r="B23" s="161" t="s">
        <v>1343</v>
      </c>
      <c r="C23" s="159"/>
      <c r="D23" s="160"/>
    </row>
    <row r="24" spans="1:4" ht="14.4" x14ac:dyDescent="0.3">
      <c r="A24" s="157" t="s">
        <v>1340</v>
      </c>
      <c r="B24" s="161" t="s">
        <v>1344</v>
      </c>
      <c r="C24" s="159"/>
      <c r="D24" s="164"/>
    </row>
    <row r="25" spans="1:4" ht="14.4" x14ac:dyDescent="0.3">
      <c r="A25" s="157" t="s">
        <v>1340</v>
      </c>
      <c r="B25" s="161" t="s">
        <v>1345</v>
      </c>
      <c r="C25" s="159"/>
      <c r="D25" s="160"/>
    </row>
    <row r="26" spans="1:4" ht="14.4" x14ac:dyDescent="0.3">
      <c r="A26" s="157" t="s">
        <v>1340</v>
      </c>
      <c r="B26" s="161" t="s">
        <v>1346</v>
      </c>
      <c r="C26" s="159"/>
      <c r="D26" s="160"/>
    </row>
    <row r="27" spans="1:4" ht="14.4" x14ac:dyDescent="0.3">
      <c r="A27" s="157" t="s">
        <v>1340</v>
      </c>
      <c r="B27" s="161" t="s">
        <v>1347</v>
      </c>
      <c r="C27" s="159"/>
      <c r="D27" s="160"/>
    </row>
    <row r="28" spans="1:4" ht="14.4" x14ac:dyDescent="0.3">
      <c r="A28" s="157" t="s">
        <v>1340</v>
      </c>
      <c r="B28" s="161" t="s">
        <v>1348</v>
      </c>
      <c r="C28" s="159"/>
      <c r="D28" s="160"/>
    </row>
    <row r="29" spans="1:4" ht="41.4" x14ac:dyDescent="0.3">
      <c r="A29" s="157" t="s">
        <v>1340</v>
      </c>
      <c r="B29" s="161" t="s">
        <v>1349</v>
      </c>
      <c r="C29" s="159"/>
      <c r="D29" s="160"/>
    </row>
    <row r="30" spans="1:4" ht="27.6" x14ac:dyDescent="0.3">
      <c r="A30" s="157" t="s">
        <v>1340</v>
      </c>
      <c r="B30" s="161" t="s">
        <v>1350</v>
      </c>
      <c r="C30" s="159"/>
      <c r="D30" s="160"/>
    </row>
    <row r="31" spans="1:4" ht="27.6" x14ac:dyDescent="0.3">
      <c r="A31" s="154" t="s">
        <v>1340</v>
      </c>
      <c r="B31" s="155" t="s">
        <v>1351</v>
      </c>
      <c r="C31" s="155"/>
      <c r="D31" s="155"/>
    </row>
    <row r="32" spans="1:4" ht="14.4" x14ac:dyDescent="0.3">
      <c r="A32" s="157" t="s">
        <v>1340</v>
      </c>
      <c r="B32" s="161" t="s">
        <v>1352</v>
      </c>
      <c r="C32" s="159"/>
      <c r="D32" s="160"/>
    </row>
    <row r="33" spans="1:4" ht="55.2" x14ac:dyDescent="0.3">
      <c r="A33" s="157" t="s">
        <v>1340</v>
      </c>
      <c r="B33" s="161" t="s">
        <v>1353</v>
      </c>
      <c r="C33" s="159"/>
      <c r="D33" s="164"/>
    </row>
    <row r="34" spans="1:4" ht="27.6" x14ac:dyDescent="0.3">
      <c r="A34" s="157" t="s">
        <v>1340</v>
      </c>
      <c r="B34" s="161" t="s">
        <v>1354</v>
      </c>
      <c r="C34" s="159"/>
      <c r="D34" s="164"/>
    </row>
    <row r="35" spans="1:4" ht="27.6" x14ac:dyDescent="0.3">
      <c r="A35" s="157" t="s">
        <v>1340</v>
      </c>
      <c r="B35" s="161" t="s">
        <v>1355</v>
      </c>
      <c r="C35" s="159"/>
      <c r="D35" s="160"/>
    </row>
    <row r="36" spans="1:4" ht="27.6" x14ac:dyDescent="0.3">
      <c r="A36" s="154" t="s">
        <v>1340</v>
      </c>
      <c r="B36" s="155" t="s">
        <v>1356</v>
      </c>
      <c r="C36" s="155"/>
      <c r="D36" s="155"/>
    </row>
    <row r="37" spans="1:4" ht="55.2" x14ac:dyDescent="0.3">
      <c r="A37" s="157" t="s">
        <v>1340</v>
      </c>
      <c r="B37" s="161" t="s">
        <v>1357</v>
      </c>
      <c r="C37" s="159"/>
      <c r="D37" s="160"/>
    </row>
    <row r="38" spans="1:4" ht="27.6" x14ac:dyDescent="0.3">
      <c r="A38" s="157" t="s">
        <v>1340</v>
      </c>
      <c r="B38" s="161" t="s">
        <v>1358</v>
      </c>
      <c r="C38" s="159"/>
      <c r="D38" s="160"/>
    </row>
    <row r="39" spans="1:4" ht="27.6" x14ac:dyDescent="0.3">
      <c r="A39" s="157" t="s">
        <v>1340</v>
      </c>
      <c r="B39" s="161" t="s">
        <v>1359</v>
      </c>
      <c r="C39" s="159"/>
      <c r="D39" s="160"/>
    </row>
    <row r="40" spans="1:4" ht="14.4" x14ac:dyDescent="0.3">
      <c r="A40" s="157" t="s">
        <v>1340</v>
      </c>
      <c r="B40" s="161" t="s">
        <v>1360</v>
      </c>
      <c r="C40" s="159"/>
      <c r="D40" s="160"/>
    </row>
    <row r="41" spans="1:4" ht="27.6" x14ac:dyDescent="0.3">
      <c r="A41" s="162" t="s">
        <v>1340</v>
      </c>
      <c r="B41" s="163" t="s">
        <v>1361</v>
      </c>
      <c r="C41" s="163"/>
      <c r="D41" s="163"/>
    </row>
    <row r="42" spans="1:4" ht="14.4" x14ac:dyDescent="0.3">
      <c r="A42" s="157" t="s">
        <v>1340</v>
      </c>
      <c r="B42" s="161" t="s">
        <v>1362</v>
      </c>
      <c r="C42" s="159"/>
      <c r="D42" s="160"/>
    </row>
    <row r="43" spans="1:4" ht="27.6" x14ac:dyDescent="0.3">
      <c r="A43" s="157" t="s">
        <v>1340</v>
      </c>
      <c r="B43" s="161" t="s">
        <v>1363</v>
      </c>
      <c r="C43" s="159"/>
      <c r="D43" s="165"/>
    </row>
    <row r="44" spans="1:4" ht="27.6" x14ac:dyDescent="0.3">
      <c r="A44" s="157" t="s">
        <v>1340</v>
      </c>
      <c r="B44" s="161" t="s">
        <v>1364</v>
      </c>
      <c r="C44" s="159"/>
      <c r="D44" s="160"/>
    </row>
    <row r="45" spans="1:4" ht="27.6" x14ac:dyDescent="0.3">
      <c r="A45" s="162" t="s">
        <v>1340</v>
      </c>
      <c r="B45" s="163" t="s">
        <v>1365</v>
      </c>
      <c r="C45" s="163"/>
      <c r="D45" s="163"/>
    </row>
    <row r="46" spans="1:4" ht="27.6" x14ac:dyDescent="0.3">
      <c r="A46" s="157" t="s">
        <v>1340</v>
      </c>
      <c r="B46" s="161" t="s">
        <v>1366</v>
      </c>
      <c r="C46" s="159"/>
      <c r="D46" s="160"/>
    </row>
    <row r="47" spans="1:4" ht="14.4" x14ac:dyDescent="0.3">
      <c r="A47" s="157" t="s">
        <v>1340</v>
      </c>
      <c r="B47" s="161" t="s">
        <v>1367</v>
      </c>
      <c r="C47" s="159"/>
      <c r="D47" s="160"/>
    </row>
    <row r="48" spans="1:4" ht="41.4" x14ac:dyDescent="0.3">
      <c r="A48" s="162" t="s">
        <v>1340</v>
      </c>
      <c r="B48" s="163" t="s">
        <v>1368</v>
      </c>
      <c r="C48" s="163"/>
      <c r="D48" s="163"/>
    </row>
    <row r="49" spans="1:4" ht="14.4" x14ac:dyDescent="0.3">
      <c r="A49" s="157" t="s">
        <v>1340</v>
      </c>
      <c r="B49" s="161" t="s">
        <v>1369</v>
      </c>
      <c r="C49" s="159"/>
      <c r="D49" s="160"/>
    </row>
    <row r="50" spans="1:4" ht="14.4" x14ac:dyDescent="0.3">
      <c r="A50" s="157" t="s">
        <v>1340</v>
      </c>
      <c r="B50" s="161" t="s">
        <v>1370</v>
      </c>
      <c r="C50" s="159"/>
      <c r="D50" s="160"/>
    </row>
    <row r="51" spans="1:4" ht="14.4" x14ac:dyDescent="0.3">
      <c r="A51" s="162" t="s">
        <v>1340</v>
      </c>
      <c r="B51" s="163" t="s">
        <v>1145</v>
      </c>
      <c r="C51" s="163"/>
      <c r="D51" s="163"/>
    </row>
    <row r="52" spans="1:4" ht="14.4" x14ac:dyDescent="0.3">
      <c r="A52" s="157" t="s">
        <v>1340</v>
      </c>
      <c r="B52" s="161" t="s">
        <v>1043</v>
      </c>
      <c r="C52" s="159"/>
      <c r="D52" s="160"/>
    </row>
    <row r="53" spans="1:4" ht="14.4" x14ac:dyDescent="0.3">
      <c r="A53" s="162" t="s">
        <v>1371</v>
      </c>
      <c r="B53" s="163" t="s">
        <v>1136</v>
      </c>
      <c r="C53" s="163"/>
      <c r="D53" s="163"/>
    </row>
    <row r="54" spans="1:4" ht="27.6" x14ac:dyDescent="0.3">
      <c r="A54" s="157" t="s">
        <v>1371</v>
      </c>
      <c r="B54" s="161" t="s">
        <v>1372</v>
      </c>
      <c r="C54" s="159"/>
      <c r="D54" s="160"/>
    </row>
    <row r="55" spans="1:4" ht="55.2" x14ac:dyDescent="0.3">
      <c r="A55" s="157" t="s">
        <v>1371</v>
      </c>
      <c r="B55" s="161" t="s">
        <v>1373</v>
      </c>
      <c r="C55" s="159"/>
      <c r="D55" s="160"/>
    </row>
    <row r="56" spans="1:4" ht="27.6" x14ac:dyDescent="0.3">
      <c r="A56" s="157" t="s">
        <v>1371</v>
      </c>
      <c r="B56" s="161" t="s">
        <v>1374</v>
      </c>
      <c r="C56" s="159"/>
      <c r="D56" s="160"/>
    </row>
    <row r="57" spans="1:4" ht="27.6" x14ac:dyDescent="0.3">
      <c r="A57" s="157" t="s">
        <v>1371</v>
      </c>
      <c r="B57" s="161" t="s">
        <v>1375</v>
      </c>
      <c r="C57" s="159"/>
      <c r="D57" s="160"/>
    </row>
    <row r="58" spans="1:4" ht="27.6" x14ac:dyDescent="0.3">
      <c r="A58" s="157" t="s">
        <v>1371</v>
      </c>
      <c r="B58" s="161" t="s">
        <v>1376</v>
      </c>
      <c r="C58" s="159"/>
      <c r="D58" s="160"/>
    </row>
    <row r="59" spans="1:4" ht="27.6" x14ac:dyDescent="0.3">
      <c r="A59" s="157" t="s">
        <v>1371</v>
      </c>
      <c r="B59" s="161" t="s">
        <v>1377</v>
      </c>
      <c r="C59" s="159"/>
      <c r="D59" s="160"/>
    </row>
    <row r="60" spans="1:4" ht="14.4" x14ac:dyDescent="0.3">
      <c r="A60" s="157" t="s">
        <v>1371</v>
      </c>
      <c r="B60" s="161" t="s">
        <v>1378</v>
      </c>
      <c r="C60" s="159"/>
      <c r="D60" s="160"/>
    </row>
    <row r="61" spans="1:4" ht="41.4" x14ac:dyDescent="0.3">
      <c r="A61" s="157" t="s">
        <v>1371</v>
      </c>
      <c r="B61" s="161" t="s">
        <v>1379</v>
      </c>
      <c r="C61" s="159"/>
      <c r="D61" s="160"/>
    </row>
    <row r="62" spans="1:4" ht="14.4" x14ac:dyDescent="0.3">
      <c r="A62" s="162" t="s">
        <v>1371</v>
      </c>
      <c r="B62" s="163" t="s">
        <v>1145</v>
      </c>
      <c r="C62" s="163"/>
      <c r="D62" s="163"/>
    </row>
    <row r="63" spans="1:4" ht="14.4" x14ac:dyDescent="0.3">
      <c r="A63" s="157" t="s">
        <v>1371</v>
      </c>
      <c r="B63" s="161" t="s">
        <v>1380</v>
      </c>
      <c r="C63" s="159"/>
      <c r="D63" s="160"/>
    </row>
    <row r="64" spans="1:4" ht="14.4" x14ac:dyDescent="0.3">
      <c r="A64" s="154" t="s">
        <v>1381</v>
      </c>
      <c r="B64" s="155" t="s">
        <v>1136</v>
      </c>
      <c r="C64" s="166"/>
      <c r="D64" s="166"/>
    </row>
    <row r="65" spans="1:4" ht="27.6" x14ac:dyDescent="0.3">
      <c r="A65" s="154" t="s">
        <v>1381</v>
      </c>
      <c r="B65" s="155" t="s">
        <v>1382</v>
      </c>
      <c r="C65" s="166"/>
      <c r="D65" s="166"/>
    </row>
    <row r="66" spans="1:4" ht="55.2" x14ac:dyDescent="0.3">
      <c r="A66" s="157" t="s">
        <v>1381</v>
      </c>
      <c r="B66" s="161" t="s">
        <v>1383</v>
      </c>
      <c r="C66" s="159"/>
      <c r="D66" s="160"/>
    </row>
    <row r="67" spans="1:4" ht="27.6" x14ac:dyDescent="0.3">
      <c r="A67" s="157" t="s">
        <v>1381</v>
      </c>
      <c r="B67" s="161" t="s">
        <v>1384</v>
      </c>
      <c r="C67" s="159"/>
      <c r="D67" s="160"/>
    </row>
    <row r="68" spans="1:4" ht="14.4" x14ac:dyDescent="0.3">
      <c r="A68" s="157" t="s">
        <v>1381</v>
      </c>
      <c r="B68" s="161" t="s">
        <v>1385</v>
      </c>
      <c r="C68" s="159"/>
      <c r="D68" s="160"/>
    </row>
    <row r="69" spans="1:4" ht="14.4" x14ac:dyDescent="0.3">
      <c r="A69" s="162" t="s">
        <v>1381</v>
      </c>
      <c r="B69" s="163" t="s">
        <v>1145</v>
      </c>
      <c r="C69" s="163"/>
      <c r="D69" s="163"/>
    </row>
    <row r="70" spans="1:4" ht="14.4" x14ac:dyDescent="0.3">
      <c r="A70" s="157" t="s">
        <v>1381</v>
      </c>
      <c r="B70" s="161" t="s">
        <v>1117</v>
      </c>
      <c r="C70" s="159"/>
      <c r="D70" s="160"/>
    </row>
    <row r="71" spans="1:4" ht="27.6" x14ac:dyDescent="0.3">
      <c r="A71" s="154" t="s">
        <v>1386</v>
      </c>
      <c r="B71" s="155" t="s">
        <v>1136</v>
      </c>
      <c r="C71" s="155"/>
      <c r="D71" s="155"/>
    </row>
    <row r="72" spans="1:4" ht="27.6" x14ac:dyDescent="0.3">
      <c r="A72" s="154" t="s">
        <v>1386</v>
      </c>
      <c r="B72" s="155" t="s">
        <v>1387</v>
      </c>
      <c r="C72" s="155"/>
      <c r="D72" s="155"/>
    </row>
    <row r="73" spans="1:4" ht="27.6" x14ac:dyDescent="0.3">
      <c r="A73" s="154" t="s">
        <v>1386</v>
      </c>
      <c r="B73" s="155" t="s">
        <v>1388</v>
      </c>
      <c r="C73" s="155"/>
      <c r="D73" s="155"/>
    </row>
    <row r="74" spans="1:4" ht="27.6" x14ac:dyDescent="0.3">
      <c r="A74" s="157" t="s">
        <v>1386</v>
      </c>
      <c r="B74" s="161" t="s">
        <v>1389</v>
      </c>
      <c r="C74" s="159"/>
      <c r="D74" s="160"/>
    </row>
    <row r="75" spans="1:4" ht="27.6" x14ac:dyDescent="0.3">
      <c r="A75" s="157" t="s">
        <v>1386</v>
      </c>
      <c r="B75" s="161" t="s">
        <v>1390</v>
      </c>
      <c r="C75" s="159"/>
      <c r="D75" s="160"/>
    </row>
    <row r="76" spans="1:4" ht="27.6" x14ac:dyDescent="0.3">
      <c r="A76" s="157" t="s">
        <v>1386</v>
      </c>
      <c r="B76" s="161" t="s">
        <v>1391</v>
      </c>
      <c r="C76" s="159"/>
      <c r="D76" s="160"/>
    </row>
    <row r="77" spans="1:4" ht="27.6" x14ac:dyDescent="0.3">
      <c r="A77" s="154" t="s">
        <v>1386</v>
      </c>
      <c r="B77" s="155" t="s">
        <v>1392</v>
      </c>
      <c r="C77" s="155"/>
      <c r="D77" s="155"/>
    </row>
    <row r="78" spans="1:4" ht="27.6" x14ac:dyDescent="0.3">
      <c r="A78" s="157" t="s">
        <v>1386</v>
      </c>
      <c r="B78" s="161" t="s">
        <v>1393</v>
      </c>
      <c r="C78" s="159"/>
      <c r="D78" s="160"/>
    </row>
    <row r="79" spans="1:4" ht="27.6" x14ac:dyDescent="0.3">
      <c r="A79" s="157" t="s">
        <v>1386</v>
      </c>
      <c r="B79" s="161" t="s">
        <v>1394</v>
      </c>
      <c r="C79" s="159"/>
      <c r="D79" s="160"/>
    </row>
    <row r="80" spans="1:4" ht="27.6" x14ac:dyDescent="0.3">
      <c r="A80" s="157" t="s">
        <v>1386</v>
      </c>
      <c r="B80" s="161" t="s">
        <v>1395</v>
      </c>
      <c r="C80" s="159"/>
      <c r="D80" s="160"/>
    </row>
    <row r="81" spans="1:4" ht="41.4" x14ac:dyDescent="0.3">
      <c r="A81" s="157" t="s">
        <v>1386</v>
      </c>
      <c r="B81" s="161" t="s">
        <v>1396</v>
      </c>
      <c r="C81" s="159"/>
      <c r="D81" s="160"/>
    </row>
    <row r="82" spans="1:4" ht="41.4" x14ac:dyDescent="0.3">
      <c r="A82" s="157" t="s">
        <v>1386</v>
      </c>
      <c r="B82" s="161" t="s">
        <v>1397</v>
      </c>
      <c r="C82" s="159"/>
      <c r="D82" s="160"/>
    </row>
    <row r="83" spans="1:4" ht="27.6" x14ac:dyDescent="0.3">
      <c r="A83" s="157" t="s">
        <v>1386</v>
      </c>
      <c r="B83" s="161" t="s">
        <v>1398</v>
      </c>
      <c r="C83" s="159"/>
      <c r="D83" s="160"/>
    </row>
    <row r="84" spans="1:4" ht="27.6" x14ac:dyDescent="0.3">
      <c r="A84" s="154" t="s">
        <v>1386</v>
      </c>
      <c r="B84" s="155" t="s">
        <v>1145</v>
      </c>
      <c r="C84" s="155"/>
      <c r="D84" s="155"/>
    </row>
    <row r="85" spans="1:4" ht="27.6" x14ac:dyDescent="0.3">
      <c r="A85" s="157" t="s">
        <v>1386</v>
      </c>
      <c r="B85" s="161" t="s">
        <v>1399</v>
      </c>
      <c r="C85" s="159"/>
      <c r="D85" s="160"/>
    </row>
    <row r="86" spans="1:4" ht="27.6" x14ac:dyDescent="0.3">
      <c r="A86" s="154" t="s">
        <v>1400</v>
      </c>
      <c r="B86" s="155" t="s">
        <v>1136</v>
      </c>
      <c r="C86" s="155"/>
      <c r="D86" s="155"/>
    </row>
    <row r="87" spans="1:4" ht="27.6" x14ac:dyDescent="0.3">
      <c r="A87" s="154" t="s">
        <v>1400</v>
      </c>
      <c r="B87" s="167" t="s">
        <v>1401</v>
      </c>
      <c r="C87" s="155"/>
      <c r="D87" s="155"/>
    </row>
    <row r="88" spans="1:4" ht="27.6" x14ac:dyDescent="0.3">
      <c r="A88" s="157" t="s">
        <v>1400</v>
      </c>
      <c r="B88" s="161" t="s">
        <v>1402</v>
      </c>
      <c r="C88" s="159"/>
      <c r="D88" s="160"/>
    </row>
    <row r="89" spans="1:4" ht="41.4" x14ac:dyDescent="0.3">
      <c r="A89" s="157" t="s">
        <v>1400</v>
      </c>
      <c r="B89" s="161" t="s">
        <v>1403</v>
      </c>
      <c r="C89" s="159"/>
      <c r="D89" s="160"/>
    </row>
    <row r="90" spans="1:4" ht="27.6" x14ac:dyDescent="0.3">
      <c r="A90" s="157" t="s">
        <v>1400</v>
      </c>
      <c r="B90" s="161" t="s">
        <v>1404</v>
      </c>
      <c r="C90" s="159"/>
      <c r="D90" s="160"/>
    </row>
    <row r="91" spans="1:4" ht="27.6" x14ac:dyDescent="0.3">
      <c r="A91" s="157" t="s">
        <v>1400</v>
      </c>
      <c r="B91" s="161" t="s">
        <v>1405</v>
      </c>
      <c r="C91" s="159"/>
      <c r="D91" s="160"/>
    </row>
    <row r="92" spans="1:4" ht="27.6" x14ac:dyDescent="0.3">
      <c r="A92" s="154" t="s">
        <v>1400</v>
      </c>
      <c r="B92" s="155" t="s">
        <v>1145</v>
      </c>
      <c r="C92" s="155"/>
      <c r="D92" s="155"/>
    </row>
    <row r="93" spans="1:4" ht="27.6" x14ac:dyDescent="0.3">
      <c r="A93" s="157" t="s">
        <v>1400</v>
      </c>
      <c r="B93" s="161" t="s">
        <v>1406</v>
      </c>
      <c r="C93" s="159"/>
      <c r="D93" s="160"/>
    </row>
    <row r="94" spans="1:4" ht="14.4" x14ac:dyDescent="0.3">
      <c r="A94" s="156" t="s">
        <v>1407</v>
      </c>
      <c r="B94" s="155" t="s">
        <v>720</v>
      </c>
      <c r="C94" s="155"/>
      <c r="D94" s="155"/>
    </row>
    <row r="95" spans="1:4" ht="27.6" x14ac:dyDescent="0.3">
      <c r="A95" s="156" t="s">
        <v>1407</v>
      </c>
      <c r="B95" s="155" t="s">
        <v>1408</v>
      </c>
      <c r="C95" s="155"/>
      <c r="D95" s="155"/>
    </row>
    <row r="96" spans="1:4" ht="27.6" x14ac:dyDescent="0.3">
      <c r="A96" s="160" t="s">
        <v>1407</v>
      </c>
      <c r="B96" s="161" t="s">
        <v>1409</v>
      </c>
      <c r="C96" s="159"/>
      <c r="D96" s="160"/>
    </row>
    <row r="97" spans="1:4" ht="27.6" x14ac:dyDescent="0.3">
      <c r="A97" s="160" t="s">
        <v>1407</v>
      </c>
      <c r="B97" s="161" t="s">
        <v>1410</v>
      </c>
      <c r="C97" s="159"/>
      <c r="D97" s="160"/>
    </row>
    <row r="98" spans="1:4" ht="14.4" x14ac:dyDescent="0.3">
      <c r="A98" s="156" t="s">
        <v>1407</v>
      </c>
      <c r="B98" s="155" t="s">
        <v>1411</v>
      </c>
      <c r="C98" s="155"/>
      <c r="D98" s="155"/>
    </row>
    <row r="99" spans="1:4" ht="14.4" x14ac:dyDescent="0.3">
      <c r="A99" s="160" t="s">
        <v>1407</v>
      </c>
      <c r="B99" s="161" t="s">
        <v>1412</v>
      </c>
      <c r="C99" s="159"/>
      <c r="D99" s="160"/>
    </row>
    <row r="100" spans="1:4" ht="14.4" x14ac:dyDescent="0.3">
      <c r="A100" s="17"/>
      <c r="B100" s="46"/>
      <c r="C100" s="17"/>
      <c r="D100" s="17"/>
    </row>
    <row r="101" spans="1:4" ht="14.4" x14ac:dyDescent="0.3">
      <c r="A101" s="17"/>
      <c r="B101" s="46"/>
      <c r="C101" s="17"/>
      <c r="D101" s="17"/>
    </row>
    <row r="102" spans="1:4" ht="14.4" x14ac:dyDescent="0.3">
      <c r="A102" s="17"/>
      <c r="B102" s="15" t="s">
        <v>75</v>
      </c>
      <c r="C102" s="2">
        <f>COUNTIF($C$5:$C$99,"C")</f>
        <v>1</v>
      </c>
      <c r="D102" s="17"/>
    </row>
    <row r="103" spans="1:4" ht="14.4" x14ac:dyDescent="0.3">
      <c r="A103" s="17"/>
      <c r="B103" s="15" t="s">
        <v>81</v>
      </c>
      <c r="C103" s="2">
        <f>COUNTIF($C$5:$C$99,"NC")</f>
        <v>1</v>
      </c>
      <c r="D103" s="17"/>
    </row>
    <row r="104" spans="1:4" ht="14.4" x14ac:dyDescent="0.3">
      <c r="A104" s="17"/>
      <c r="B104" s="15" t="s">
        <v>84</v>
      </c>
      <c r="C104" s="2">
        <f>COUNTIF($C$5:$C$99,"NA")</f>
        <v>1</v>
      </c>
      <c r="D104" s="17"/>
    </row>
  </sheetData>
  <autoFilter ref="A7:D99" xr:uid="{00000000-0009-0000-0000-000011000000}"/>
  <customSheetViews>
    <customSheetView guid="{0D95EE29-7809-4A7B-AA05-28E397903348}" filter="1" showAutoFilter="1">
      <pageMargins left="0.7" right="0.7" top="0.75" bottom="0.75" header="0.3" footer="0.3"/>
      <autoFilter ref="A7:D99" xr:uid="{6D68540C-7A96-405A-B8F9-FB859A2B5F44}"/>
    </customSheetView>
  </customSheetViews>
  <mergeCells count="1">
    <mergeCell ref="A5:A6"/>
  </mergeCells>
  <conditionalFormatting sqref="C10:C12 C14:C15 C17:C18 C21 C23:C30 C32:C35 C37:C40 C42:C44 C46:C47 C49:C50 C52 C54:C61 C63 C66:C68 C70 C74:C76 C78:C83 C85 C88:C91 C93 C96:C97 C99">
    <cfRule type="beginsWith" dxfId="89" priority="1" operator="beginsWith" text="C">
      <formula>LEFT((C10),LEN("C"))=("C")</formula>
    </cfRule>
    <cfRule type="beginsWith" dxfId="88" priority="2" operator="beginsWith" text="NC">
      <formula>LEFT((C10),LEN("NC"))=("NC")</formula>
    </cfRule>
    <cfRule type="beginsWith" dxfId="87" priority="3" operator="beginsWith" text="NA">
      <formula>LEFT((C10),LEN("NA"))=("NA")</formula>
    </cfRule>
  </conditionalFormatting>
  <dataValidations count="1">
    <dataValidation type="list" allowBlank="1" sqref="C10:C12 C14:C15 C17:C18 C21 C23:C30 C32:C35 C37:C40 C42:C44 C46:C47 C49:C50 C52 C54:C61 C63 C66:C68 C70 C74:C76 C78:C83 C85 C88:C91 C93 C96:C97 C99" xr:uid="{00000000-0002-0000-1100-000000000000}">
      <formula1>"C,NC,NA"</formula1>
    </dataValidation>
  </dataValidations>
  <hyperlinks>
    <hyperlink ref="B1" location="'Tabla de contenido'!A1" display="VOLVER A TABLA DE CONTENIDO" xr:uid="{00000000-0004-0000-1100-000000000000}"/>
  </hyperlink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41B47"/>
  </sheetPr>
  <dimension ref="A1:D120"/>
  <sheetViews>
    <sheetView showGridLines="0" workbookViewId="0">
      <selection sqref="A1:D1"/>
    </sheetView>
  </sheetViews>
  <sheetFormatPr baseColWidth="10" defaultColWidth="14.44140625" defaultRowHeight="15" customHeight="1" outlineLevelCol="1" x14ac:dyDescent="0.3"/>
  <cols>
    <col min="1" max="1" width="20.33203125" customWidth="1"/>
    <col min="2" max="2" width="76" customWidth="1"/>
    <col min="3" max="3" width="11.5546875" customWidth="1"/>
    <col min="4" max="4" width="40.21875" customWidth="1" outlineLevel="1"/>
    <col min="5" max="24" width="10.77734375" customWidth="1"/>
  </cols>
  <sheetData>
    <row r="1" spans="1:4" ht="14.4" x14ac:dyDescent="0.3">
      <c r="A1" s="269"/>
      <c r="B1" s="270" t="s">
        <v>0</v>
      </c>
      <c r="C1" s="269"/>
      <c r="D1" s="269"/>
    </row>
    <row r="2" spans="1:4" ht="14.4" x14ac:dyDescent="0.3">
      <c r="A2" s="74" t="s">
        <v>1320</v>
      </c>
      <c r="B2" s="115" t="s">
        <v>1413</v>
      </c>
      <c r="C2" s="116"/>
      <c r="D2" s="77"/>
    </row>
    <row r="3" spans="1:4" ht="41.4" x14ac:dyDescent="0.3">
      <c r="A3" s="6" t="s">
        <v>1324</v>
      </c>
      <c r="B3" s="40" t="s">
        <v>1414</v>
      </c>
      <c r="C3" s="117"/>
      <c r="D3" s="19"/>
    </row>
    <row r="4" spans="1:4" ht="14.4" x14ac:dyDescent="0.3">
      <c r="A4" s="6" t="s">
        <v>1326</v>
      </c>
      <c r="B4" s="40" t="s">
        <v>1327</v>
      </c>
      <c r="C4" s="136"/>
      <c r="D4" s="6"/>
    </row>
    <row r="5" spans="1:4" ht="14.4" x14ac:dyDescent="0.3">
      <c r="A5" s="286" t="s">
        <v>1415</v>
      </c>
      <c r="B5" s="40" t="s">
        <v>1329</v>
      </c>
      <c r="C5" s="136"/>
      <c r="D5" s="6"/>
    </row>
    <row r="6" spans="1:4" ht="27.6" x14ac:dyDescent="0.3">
      <c r="A6" s="287"/>
      <c r="B6" s="40" t="s">
        <v>1416</v>
      </c>
      <c r="C6" s="136"/>
      <c r="D6" s="6"/>
    </row>
    <row r="7" spans="1:4" ht="14.4" x14ac:dyDescent="0.3">
      <c r="A7" s="6" t="s">
        <v>7</v>
      </c>
      <c r="B7" s="40" t="s">
        <v>9</v>
      </c>
      <c r="C7" s="6" t="s">
        <v>10</v>
      </c>
      <c r="D7" s="6" t="s">
        <v>11</v>
      </c>
    </row>
    <row r="8" spans="1:4" ht="14.4" x14ac:dyDescent="0.3">
      <c r="A8" s="168" t="s">
        <v>1417</v>
      </c>
      <c r="B8" s="169" t="s">
        <v>1136</v>
      </c>
      <c r="C8" s="170"/>
      <c r="D8" s="20"/>
    </row>
    <row r="9" spans="1:4" ht="28.2" x14ac:dyDescent="0.3">
      <c r="A9" s="171" t="s">
        <v>1417</v>
      </c>
      <c r="B9" s="47" t="s">
        <v>1418</v>
      </c>
      <c r="C9" s="9" t="s">
        <v>16</v>
      </c>
      <c r="D9" s="50"/>
    </row>
    <row r="10" spans="1:4" ht="14.4" x14ac:dyDescent="0.3">
      <c r="A10" s="171" t="s">
        <v>1417</v>
      </c>
      <c r="B10" s="47" t="s">
        <v>1419</v>
      </c>
      <c r="C10" s="9" t="s">
        <v>20</v>
      </c>
      <c r="D10" s="36"/>
    </row>
    <row r="11" spans="1:4" ht="14.4" x14ac:dyDescent="0.3">
      <c r="A11" s="171" t="s">
        <v>1417</v>
      </c>
      <c r="B11" s="47" t="s">
        <v>1420</v>
      </c>
      <c r="C11" s="9" t="s">
        <v>24</v>
      </c>
      <c r="D11" s="36"/>
    </row>
    <row r="12" spans="1:4" ht="14.4" x14ac:dyDescent="0.3">
      <c r="A12" s="171" t="s">
        <v>1417</v>
      </c>
      <c r="B12" s="47" t="s">
        <v>1421</v>
      </c>
      <c r="C12" s="9"/>
      <c r="D12" s="36"/>
    </row>
    <row r="13" spans="1:4" ht="14.4" x14ac:dyDescent="0.3">
      <c r="A13" s="168" t="s">
        <v>1417</v>
      </c>
      <c r="B13" s="169" t="s">
        <v>1422</v>
      </c>
      <c r="C13" s="170"/>
      <c r="D13" s="20"/>
    </row>
    <row r="14" spans="1:4" ht="41.4" x14ac:dyDescent="0.3">
      <c r="A14" s="171" t="s">
        <v>1417</v>
      </c>
      <c r="B14" s="47" t="s">
        <v>1423</v>
      </c>
      <c r="C14" s="9"/>
      <c r="D14" s="36"/>
    </row>
    <row r="15" spans="1:4" ht="14.4" x14ac:dyDescent="0.3">
      <c r="A15" s="168" t="s">
        <v>1417</v>
      </c>
      <c r="B15" s="169" t="s">
        <v>1145</v>
      </c>
      <c r="C15" s="170"/>
      <c r="D15" s="20"/>
    </row>
    <row r="16" spans="1:4" ht="14.4" x14ac:dyDescent="0.3">
      <c r="A16" s="171" t="s">
        <v>1417</v>
      </c>
      <c r="B16" s="47" t="s">
        <v>1338</v>
      </c>
      <c r="C16" s="9"/>
      <c r="D16" s="36"/>
    </row>
    <row r="17" spans="1:4" ht="69" x14ac:dyDescent="0.3">
      <c r="A17" s="171" t="s">
        <v>1417</v>
      </c>
      <c r="B17" s="47" t="s">
        <v>1424</v>
      </c>
      <c r="C17" s="9"/>
      <c r="D17" s="36"/>
    </row>
    <row r="18" spans="1:4" ht="14.4" x14ac:dyDescent="0.3">
      <c r="A18" s="168" t="s">
        <v>1340</v>
      </c>
      <c r="B18" s="169" t="s">
        <v>1136</v>
      </c>
      <c r="C18" s="170"/>
      <c r="D18" s="20"/>
    </row>
    <row r="19" spans="1:4" ht="27.6" x14ac:dyDescent="0.3">
      <c r="A19" s="171" t="s">
        <v>1340</v>
      </c>
      <c r="B19" s="47" t="s">
        <v>1175</v>
      </c>
      <c r="C19" s="9"/>
      <c r="D19" s="36"/>
    </row>
    <row r="20" spans="1:4" ht="27.6" x14ac:dyDescent="0.3">
      <c r="A20" s="171" t="s">
        <v>1340</v>
      </c>
      <c r="B20" s="47" t="s">
        <v>1425</v>
      </c>
      <c r="C20" s="9"/>
      <c r="D20" s="36"/>
    </row>
    <row r="21" spans="1:4" ht="27.6" x14ac:dyDescent="0.3">
      <c r="A21" s="171" t="s">
        <v>1340</v>
      </c>
      <c r="B21" s="47" t="s">
        <v>1426</v>
      </c>
      <c r="C21" s="9"/>
      <c r="D21" s="36"/>
    </row>
    <row r="22" spans="1:4" ht="55.2" x14ac:dyDescent="0.3">
      <c r="A22" s="171" t="s">
        <v>1340</v>
      </c>
      <c r="B22" s="47" t="s">
        <v>1427</v>
      </c>
      <c r="C22" s="9"/>
      <c r="D22" s="36"/>
    </row>
    <row r="23" spans="1:4" ht="14.4" x14ac:dyDescent="0.3">
      <c r="A23" s="168" t="s">
        <v>1340</v>
      </c>
      <c r="B23" s="169" t="s">
        <v>1428</v>
      </c>
      <c r="C23" s="170"/>
      <c r="D23" s="20"/>
    </row>
    <row r="24" spans="1:4" ht="27.6" x14ac:dyDescent="0.3">
      <c r="A24" s="171" t="s">
        <v>1340</v>
      </c>
      <c r="B24" s="47" t="s">
        <v>1429</v>
      </c>
      <c r="C24" s="9"/>
      <c r="D24" s="36"/>
    </row>
    <row r="25" spans="1:4" ht="14.4" x14ac:dyDescent="0.3">
      <c r="A25" s="171" t="s">
        <v>1340</v>
      </c>
      <c r="B25" s="47" t="s">
        <v>1430</v>
      </c>
      <c r="C25" s="9"/>
      <c r="D25" s="36"/>
    </row>
    <row r="26" spans="1:4" ht="27.6" x14ac:dyDescent="0.3">
      <c r="A26" s="171" t="s">
        <v>1340</v>
      </c>
      <c r="B26" s="47" t="s">
        <v>1431</v>
      </c>
      <c r="C26" s="9"/>
      <c r="D26" s="50"/>
    </row>
    <row r="27" spans="1:4" ht="82.8" x14ac:dyDescent="0.3">
      <c r="A27" s="171" t="s">
        <v>1340</v>
      </c>
      <c r="B27" s="47" t="s">
        <v>1432</v>
      </c>
      <c r="C27" s="172"/>
      <c r="D27" s="50"/>
    </row>
    <row r="28" spans="1:4" ht="27.6" x14ac:dyDescent="0.3">
      <c r="A28" s="171" t="s">
        <v>1340</v>
      </c>
      <c r="B28" s="47" t="s">
        <v>1433</v>
      </c>
      <c r="C28" s="172"/>
      <c r="D28" s="50"/>
    </row>
    <row r="29" spans="1:4" ht="27.6" x14ac:dyDescent="0.3">
      <c r="A29" s="168" t="s">
        <v>1340</v>
      </c>
      <c r="B29" s="169" t="s">
        <v>1434</v>
      </c>
      <c r="C29" s="170"/>
      <c r="D29" s="20"/>
    </row>
    <row r="30" spans="1:4" ht="27.6" x14ac:dyDescent="0.3">
      <c r="A30" s="171" t="s">
        <v>1340</v>
      </c>
      <c r="B30" s="47" t="s">
        <v>1435</v>
      </c>
      <c r="C30" s="9"/>
      <c r="D30" s="36"/>
    </row>
    <row r="31" spans="1:4" ht="14.4" x14ac:dyDescent="0.3">
      <c r="A31" s="171" t="s">
        <v>1340</v>
      </c>
      <c r="B31" s="47" t="s">
        <v>1436</v>
      </c>
      <c r="C31" s="9"/>
      <c r="D31" s="50"/>
    </row>
    <row r="32" spans="1:4" ht="27.6" x14ac:dyDescent="0.3">
      <c r="A32" s="171" t="s">
        <v>1340</v>
      </c>
      <c r="B32" s="47" t="s">
        <v>1437</v>
      </c>
      <c r="C32" s="9"/>
      <c r="D32" s="50"/>
    </row>
    <row r="33" spans="1:4" ht="14.4" x14ac:dyDescent="0.3">
      <c r="A33" s="171" t="s">
        <v>1340</v>
      </c>
      <c r="B33" s="47" t="s">
        <v>1438</v>
      </c>
      <c r="C33" s="9"/>
      <c r="D33" s="36"/>
    </row>
    <row r="34" spans="1:4" ht="14.4" x14ac:dyDescent="0.3">
      <c r="A34" s="168" t="s">
        <v>1340</v>
      </c>
      <c r="B34" s="169" t="s">
        <v>1439</v>
      </c>
      <c r="C34" s="170"/>
      <c r="D34" s="20"/>
    </row>
    <row r="35" spans="1:4" ht="14.4" x14ac:dyDescent="0.3">
      <c r="A35" s="171" t="s">
        <v>1340</v>
      </c>
      <c r="B35" s="47" t="s">
        <v>1440</v>
      </c>
      <c r="C35" s="9"/>
      <c r="D35" s="36"/>
    </row>
    <row r="36" spans="1:4" ht="14.4" x14ac:dyDescent="0.3">
      <c r="A36" s="171" t="s">
        <v>1340</v>
      </c>
      <c r="B36" s="47" t="s">
        <v>1441</v>
      </c>
      <c r="C36" s="9"/>
      <c r="D36" s="36"/>
    </row>
    <row r="37" spans="1:4" ht="14.4" x14ac:dyDescent="0.3">
      <c r="A37" s="171" t="s">
        <v>1340</v>
      </c>
      <c r="B37" s="47" t="s">
        <v>1442</v>
      </c>
      <c r="C37" s="9"/>
      <c r="D37" s="36"/>
    </row>
    <row r="38" spans="1:4" ht="14.4" x14ac:dyDescent="0.3">
      <c r="A38" s="168" t="s">
        <v>1340</v>
      </c>
      <c r="B38" s="169" t="s">
        <v>1443</v>
      </c>
      <c r="C38" s="170"/>
      <c r="D38" s="20"/>
    </row>
    <row r="39" spans="1:4" ht="14.4" x14ac:dyDescent="0.3">
      <c r="A39" s="171" t="s">
        <v>1340</v>
      </c>
      <c r="B39" s="47" t="s">
        <v>1444</v>
      </c>
      <c r="C39" s="9"/>
      <c r="D39" s="36"/>
    </row>
    <row r="40" spans="1:4" ht="14.4" x14ac:dyDescent="0.3">
      <c r="A40" s="171" t="s">
        <v>1340</v>
      </c>
      <c r="B40" s="47" t="s">
        <v>1445</v>
      </c>
      <c r="C40" s="9"/>
      <c r="D40" s="36"/>
    </row>
    <row r="41" spans="1:4" ht="14.4" x14ac:dyDescent="0.3">
      <c r="A41" s="171" t="s">
        <v>1340</v>
      </c>
      <c r="B41" s="47" t="s">
        <v>1446</v>
      </c>
      <c r="C41" s="9"/>
      <c r="D41" s="36"/>
    </row>
    <row r="42" spans="1:4" ht="27.6" x14ac:dyDescent="0.3">
      <c r="A42" s="171" t="s">
        <v>1340</v>
      </c>
      <c r="B42" s="47" t="s">
        <v>1447</v>
      </c>
      <c r="C42" s="9"/>
      <c r="D42" s="36"/>
    </row>
    <row r="43" spans="1:4" ht="41.4" x14ac:dyDescent="0.3">
      <c r="A43" s="171" t="s">
        <v>1340</v>
      </c>
      <c r="B43" s="47" t="s">
        <v>1448</v>
      </c>
      <c r="C43" s="172"/>
      <c r="D43" s="36"/>
    </row>
    <row r="44" spans="1:4" ht="14.4" x14ac:dyDescent="0.3">
      <c r="A44" s="168" t="s">
        <v>1340</v>
      </c>
      <c r="B44" s="169" t="s">
        <v>1449</v>
      </c>
      <c r="C44" s="170"/>
      <c r="D44" s="20"/>
    </row>
    <row r="45" spans="1:4" ht="14.4" x14ac:dyDescent="0.3">
      <c r="A45" s="171" t="s">
        <v>1340</v>
      </c>
      <c r="B45" s="47" t="s">
        <v>1450</v>
      </c>
      <c r="C45" s="9"/>
      <c r="D45" s="36"/>
    </row>
    <row r="46" spans="1:4" ht="14.4" x14ac:dyDescent="0.3">
      <c r="A46" s="171" t="s">
        <v>1340</v>
      </c>
      <c r="B46" s="47" t="s">
        <v>1451</v>
      </c>
      <c r="C46" s="9"/>
      <c r="D46" s="36"/>
    </row>
    <row r="47" spans="1:4" ht="14.4" x14ac:dyDescent="0.3">
      <c r="A47" s="171" t="s">
        <v>1340</v>
      </c>
      <c r="B47" s="47" t="s">
        <v>1452</v>
      </c>
      <c r="C47" s="9"/>
      <c r="D47" s="36"/>
    </row>
    <row r="48" spans="1:4" ht="14.4" x14ac:dyDescent="0.3">
      <c r="A48" s="168" t="s">
        <v>1340</v>
      </c>
      <c r="B48" s="169" t="s">
        <v>1145</v>
      </c>
      <c r="C48" s="170"/>
      <c r="D48" s="20"/>
    </row>
    <row r="49" spans="1:4" ht="14.4" x14ac:dyDescent="0.3">
      <c r="A49" s="171" t="s">
        <v>1340</v>
      </c>
      <c r="B49" s="47" t="s">
        <v>1304</v>
      </c>
      <c r="C49" s="9"/>
      <c r="D49" s="36"/>
    </row>
    <row r="50" spans="1:4" ht="14.4" x14ac:dyDescent="0.3">
      <c r="A50" s="168" t="s">
        <v>1371</v>
      </c>
      <c r="B50" s="169" t="s">
        <v>1136</v>
      </c>
      <c r="C50" s="170"/>
      <c r="D50" s="20"/>
    </row>
    <row r="51" spans="1:4" ht="27.6" x14ac:dyDescent="0.3">
      <c r="A51" s="171" t="s">
        <v>1371</v>
      </c>
      <c r="B51" s="47" t="s">
        <v>1190</v>
      </c>
      <c r="C51" s="9"/>
      <c r="D51" s="36"/>
    </row>
    <row r="52" spans="1:4" ht="27.6" x14ac:dyDescent="0.3">
      <c r="A52" s="168" t="s">
        <v>1371</v>
      </c>
      <c r="B52" s="169" t="s">
        <v>1453</v>
      </c>
      <c r="C52" s="170"/>
      <c r="D52" s="20"/>
    </row>
    <row r="53" spans="1:4" ht="14.4" x14ac:dyDescent="0.3">
      <c r="A53" s="171" t="s">
        <v>1371</v>
      </c>
      <c r="B53" s="47" t="s">
        <v>1454</v>
      </c>
      <c r="C53" s="9"/>
      <c r="D53" s="36"/>
    </row>
    <row r="54" spans="1:4" ht="41.4" x14ac:dyDescent="0.3">
      <c r="A54" s="171" t="s">
        <v>1371</v>
      </c>
      <c r="B54" s="47" t="s">
        <v>1455</v>
      </c>
      <c r="C54" s="172"/>
      <c r="D54" s="36"/>
    </row>
    <row r="55" spans="1:4" ht="27.6" x14ac:dyDescent="0.3">
      <c r="A55" s="171" t="s">
        <v>1371</v>
      </c>
      <c r="B55" s="47" t="s">
        <v>1456</v>
      </c>
      <c r="C55" s="172"/>
      <c r="D55" s="36"/>
    </row>
    <row r="56" spans="1:4" ht="27.6" x14ac:dyDescent="0.3">
      <c r="A56" s="171" t="s">
        <v>1371</v>
      </c>
      <c r="B56" s="47" t="s">
        <v>1457</v>
      </c>
      <c r="C56" s="172"/>
      <c r="D56" s="36"/>
    </row>
    <row r="57" spans="1:4" ht="14.4" x14ac:dyDescent="0.3">
      <c r="A57" s="171" t="s">
        <v>1371</v>
      </c>
      <c r="B57" s="47" t="s">
        <v>1458</v>
      </c>
      <c r="C57" s="172"/>
      <c r="D57" s="36"/>
    </row>
    <row r="58" spans="1:4" ht="27.6" x14ac:dyDescent="0.3">
      <c r="A58" s="171" t="s">
        <v>1371</v>
      </c>
      <c r="B58" s="47" t="s">
        <v>1459</v>
      </c>
      <c r="C58" s="172"/>
      <c r="D58" s="36"/>
    </row>
    <row r="59" spans="1:4" ht="27.6" x14ac:dyDescent="0.3">
      <c r="A59" s="171" t="s">
        <v>1371</v>
      </c>
      <c r="B59" s="47" t="s">
        <v>1460</v>
      </c>
      <c r="C59" s="172"/>
      <c r="D59" s="36"/>
    </row>
    <row r="60" spans="1:4" ht="55.2" x14ac:dyDescent="0.3">
      <c r="A60" s="171" t="s">
        <v>1371</v>
      </c>
      <c r="B60" s="47" t="s">
        <v>1461</v>
      </c>
      <c r="C60" s="172"/>
      <c r="D60" s="36"/>
    </row>
    <row r="61" spans="1:4" ht="14.4" x14ac:dyDescent="0.3">
      <c r="A61" s="168" t="s">
        <v>1371</v>
      </c>
      <c r="B61" s="169" t="s">
        <v>1462</v>
      </c>
      <c r="C61" s="170"/>
      <c r="D61" s="20"/>
    </row>
    <row r="62" spans="1:4" ht="14.4" x14ac:dyDescent="0.3">
      <c r="A62" s="171" t="s">
        <v>1371</v>
      </c>
      <c r="B62" s="47" t="s">
        <v>1463</v>
      </c>
      <c r="C62" s="9"/>
      <c r="D62" s="36"/>
    </row>
    <row r="63" spans="1:4" ht="14.4" x14ac:dyDescent="0.3">
      <c r="A63" s="171" t="s">
        <v>1371</v>
      </c>
      <c r="B63" s="47" t="s">
        <v>1464</v>
      </c>
      <c r="C63" s="172"/>
      <c r="D63" s="36"/>
    </row>
    <row r="64" spans="1:4" ht="14.4" x14ac:dyDescent="0.3">
      <c r="A64" s="168" t="s">
        <v>1371</v>
      </c>
      <c r="B64" s="169" t="s">
        <v>1465</v>
      </c>
      <c r="C64" s="170"/>
      <c r="D64" s="20"/>
    </row>
    <row r="65" spans="1:4" ht="27.6" x14ac:dyDescent="0.3">
      <c r="A65" s="171" t="s">
        <v>1371</v>
      </c>
      <c r="B65" s="47" t="s">
        <v>1466</v>
      </c>
      <c r="C65" s="9"/>
      <c r="D65" s="36"/>
    </row>
    <row r="66" spans="1:4" ht="41.4" x14ac:dyDescent="0.3">
      <c r="A66" s="171" t="s">
        <v>1371</v>
      </c>
      <c r="B66" s="47" t="s">
        <v>1467</v>
      </c>
      <c r="C66" s="172"/>
      <c r="D66" s="36"/>
    </row>
    <row r="67" spans="1:4" ht="14.4" x14ac:dyDescent="0.3">
      <c r="A67" s="168" t="s">
        <v>1371</v>
      </c>
      <c r="B67" s="169" t="s">
        <v>1145</v>
      </c>
      <c r="C67" s="170"/>
      <c r="D67" s="20"/>
    </row>
    <row r="68" spans="1:4" ht="14.4" x14ac:dyDescent="0.3">
      <c r="A68" s="171" t="s">
        <v>1371</v>
      </c>
      <c r="B68" s="47" t="s">
        <v>1468</v>
      </c>
      <c r="C68" s="9"/>
      <c r="D68" s="36"/>
    </row>
    <row r="69" spans="1:4" ht="41.4" x14ac:dyDescent="0.3">
      <c r="A69" s="168" t="s">
        <v>1469</v>
      </c>
      <c r="B69" s="169" t="s">
        <v>1136</v>
      </c>
      <c r="C69" s="170"/>
      <c r="D69" s="20"/>
    </row>
    <row r="70" spans="1:4" ht="41.4" x14ac:dyDescent="0.3">
      <c r="A70" s="171" t="s">
        <v>1469</v>
      </c>
      <c r="B70" s="37" t="s">
        <v>1470</v>
      </c>
      <c r="C70" s="9"/>
      <c r="D70" s="36"/>
    </row>
    <row r="71" spans="1:4" ht="41.4" x14ac:dyDescent="0.3">
      <c r="A71" s="171" t="s">
        <v>1469</v>
      </c>
      <c r="B71" s="173" t="s">
        <v>1471</v>
      </c>
      <c r="C71" s="9"/>
      <c r="D71" s="36"/>
    </row>
    <row r="72" spans="1:4" ht="41.4" x14ac:dyDescent="0.3">
      <c r="A72" s="168" t="s">
        <v>1469</v>
      </c>
      <c r="B72" s="169" t="s">
        <v>1145</v>
      </c>
      <c r="C72" s="170"/>
      <c r="D72" s="20"/>
    </row>
    <row r="73" spans="1:4" ht="41.4" x14ac:dyDescent="0.3">
      <c r="A73" s="171" t="s">
        <v>1469</v>
      </c>
      <c r="B73" s="37" t="s">
        <v>1034</v>
      </c>
      <c r="C73" s="9"/>
      <c r="D73" s="36"/>
    </row>
    <row r="74" spans="1:4" ht="27.6" x14ac:dyDescent="0.3">
      <c r="A74" s="168" t="s">
        <v>1386</v>
      </c>
      <c r="B74" s="169" t="s">
        <v>1136</v>
      </c>
      <c r="C74" s="170"/>
      <c r="D74" s="20"/>
    </row>
    <row r="75" spans="1:4" ht="27.6" x14ac:dyDescent="0.3">
      <c r="A75" s="171" t="s">
        <v>1386</v>
      </c>
      <c r="B75" s="37" t="s">
        <v>1472</v>
      </c>
      <c r="C75" s="9"/>
      <c r="D75" s="36"/>
    </row>
    <row r="76" spans="1:4" ht="27.6" x14ac:dyDescent="0.3">
      <c r="A76" s="171" t="s">
        <v>1386</v>
      </c>
      <c r="B76" s="37" t="s">
        <v>1473</v>
      </c>
      <c r="C76" s="9"/>
      <c r="D76" s="36"/>
    </row>
    <row r="77" spans="1:4" ht="27.6" x14ac:dyDescent="0.3">
      <c r="A77" s="171" t="s">
        <v>1386</v>
      </c>
      <c r="B77" s="37" t="s">
        <v>1474</v>
      </c>
      <c r="C77" s="9"/>
      <c r="D77" s="36"/>
    </row>
    <row r="78" spans="1:4" ht="41.4" x14ac:dyDescent="0.3">
      <c r="A78" s="171" t="s">
        <v>1386</v>
      </c>
      <c r="B78" s="140" t="s">
        <v>1475</v>
      </c>
      <c r="C78" s="9"/>
      <c r="D78" s="36"/>
    </row>
    <row r="79" spans="1:4" ht="27.6" x14ac:dyDescent="0.3">
      <c r="A79" s="171" t="s">
        <v>1386</v>
      </c>
      <c r="B79" s="37" t="s">
        <v>1476</v>
      </c>
      <c r="C79" s="9"/>
      <c r="D79" s="36"/>
    </row>
    <row r="80" spans="1:4" ht="27.6" x14ac:dyDescent="0.3">
      <c r="A80" s="171" t="s">
        <v>1386</v>
      </c>
      <c r="B80" s="37" t="s">
        <v>1477</v>
      </c>
      <c r="C80" s="9"/>
      <c r="D80" s="36"/>
    </row>
    <row r="81" spans="1:4" ht="27.6" x14ac:dyDescent="0.3">
      <c r="A81" s="171" t="s">
        <v>1386</v>
      </c>
      <c r="B81" s="37" t="s">
        <v>1478</v>
      </c>
      <c r="C81" s="9"/>
      <c r="D81" s="36"/>
    </row>
    <row r="82" spans="1:4" ht="27.6" x14ac:dyDescent="0.3">
      <c r="A82" s="171" t="s">
        <v>1386</v>
      </c>
      <c r="B82" s="37" t="s">
        <v>1479</v>
      </c>
      <c r="C82" s="172"/>
      <c r="D82" s="36"/>
    </row>
    <row r="83" spans="1:4" ht="41.4" x14ac:dyDescent="0.3">
      <c r="A83" s="171" t="s">
        <v>1386</v>
      </c>
      <c r="B83" s="37" t="s">
        <v>1480</v>
      </c>
      <c r="C83" s="172"/>
      <c r="D83" s="36"/>
    </row>
    <row r="84" spans="1:4" ht="27.6" x14ac:dyDescent="0.3">
      <c r="A84" s="168" t="s">
        <v>1386</v>
      </c>
      <c r="B84" s="169" t="s">
        <v>1145</v>
      </c>
      <c r="C84" s="170"/>
      <c r="D84" s="20"/>
    </row>
    <row r="85" spans="1:4" ht="27.6" x14ac:dyDescent="0.3">
      <c r="A85" s="171" t="s">
        <v>1386</v>
      </c>
      <c r="B85" s="37" t="s">
        <v>1481</v>
      </c>
      <c r="C85" s="9"/>
      <c r="D85" s="36"/>
    </row>
    <row r="86" spans="1:4" ht="27.6" x14ac:dyDescent="0.3">
      <c r="A86" s="168" t="s">
        <v>1482</v>
      </c>
      <c r="B86" s="169" t="s">
        <v>1136</v>
      </c>
      <c r="C86" s="170"/>
      <c r="D86" s="20"/>
    </row>
    <row r="87" spans="1:4" ht="27.6" x14ac:dyDescent="0.3">
      <c r="A87" s="171" t="s">
        <v>1482</v>
      </c>
      <c r="B87" s="37" t="s">
        <v>1483</v>
      </c>
      <c r="C87" s="9"/>
      <c r="D87" s="36"/>
    </row>
    <row r="88" spans="1:4" ht="27.6" x14ac:dyDescent="0.3">
      <c r="A88" s="168" t="s">
        <v>1482</v>
      </c>
      <c r="B88" s="169" t="s">
        <v>1484</v>
      </c>
      <c r="C88" s="170"/>
      <c r="D88" s="20"/>
    </row>
    <row r="89" spans="1:4" ht="27.6" x14ac:dyDescent="0.3">
      <c r="A89" s="171" t="s">
        <v>1482</v>
      </c>
      <c r="B89" s="37" t="s">
        <v>1485</v>
      </c>
      <c r="C89" s="9"/>
      <c r="D89" s="36"/>
    </row>
    <row r="90" spans="1:4" ht="27.6" x14ac:dyDescent="0.3">
      <c r="A90" s="171" t="s">
        <v>1482</v>
      </c>
      <c r="B90" s="37" t="s">
        <v>1486</v>
      </c>
      <c r="C90" s="172"/>
      <c r="D90" s="36"/>
    </row>
    <row r="91" spans="1:4" ht="27.6" x14ac:dyDescent="0.3">
      <c r="A91" s="171" t="s">
        <v>1482</v>
      </c>
      <c r="B91" s="37" t="s">
        <v>1487</v>
      </c>
      <c r="C91" s="172"/>
      <c r="D91" s="36"/>
    </row>
    <row r="92" spans="1:4" ht="27.6" x14ac:dyDescent="0.3">
      <c r="A92" s="171" t="s">
        <v>1482</v>
      </c>
      <c r="B92" s="37" t="s">
        <v>1488</v>
      </c>
      <c r="C92" s="172"/>
      <c r="D92" s="36"/>
    </row>
    <row r="93" spans="1:4" ht="27.6" x14ac:dyDescent="0.3">
      <c r="A93" s="171" t="s">
        <v>1482</v>
      </c>
      <c r="B93" s="37" t="s">
        <v>1489</v>
      </c>
      <c r="C93" s="172"/>
      <c r="D93" s="36"/>
    </row>
    <row r="94" spans="1:4" ht="27.6" x14ac:dyDescent="0.3">
      <c r="A94" s="171" t="s">
        <v>1482</v>
      </c>
      <c r="B94" s="37" t="s">
        <v>1490</v>
      </c>
      <c r="C94" s="172"/>
      <c r="D94" s="36"/>
    </row>
    <row r="95" spans="1:4" ht="27.6" x14ac:dyDescent="0.3">
      <c r="A95" s="171" t="s">
        <v>1482</v>
      </c>
      <c r="B95" s="37" t="s">
        <v>1491</v>
      </c>
      <c r="C95" s="172"/>
      <c r="D95" s="36"/>
    </row>
    <row r="96" spans="1:4" ht="27.6" x14ac:dyDescent="0.3">
      <c r="A96" s="171" t="s">
        <v>1482</v>
      </c>
      <c r="B96" s="37" t="s">
        <v>1492</v>
      </c>
      <c r="C96" s="172"/>
      <c r="D96" s="36"/>
    </row>
    <row r="97" spans="1:4" ht="27.6" x14ac:dyDescent="0.3">
      <c r="A97" s="171" t="s">
        <v>1482</v>
      </c>
      <c r="B97" s="37" t="s">
        <v>1493</v>
      </c>
      <c r="C97" s="172"/>
      <c r="D97" s="36"/>
    </row>
    <row r="98" spans="1:4" ht="27.6" x14ac:dyDescent="0.3">
      <c r="A98" s="168" t="s">
        <v>1482</v>
      </c>
      <c r="B98" s="169" t="s">
        <v>1494</v>
      </c>
      <c r="C98" s="170"/>
      <c r="D98" s="20"/>
    </row>
    <row r="99" spans="1:4" ht="27.6" x14ac:dyDescent="0.3">
      <c r="A99" s="171" t="s">
        <v>1482</v>
      </c>
      <c r="B99" s="37" t="s">
        <v>1495</v>
      </c>
      <c r="C99" s="9"/>
      <c r="D99" s="36"/>
    </row>
    <row r="100" spans="1:4" ht="27.6" x14ac:dyDescent="0.3">
      <c r="A100" s="171" t="s">
        <v>1482</v>
      </c>
      <c r="B100" s="37" t="s">
        <v>1496</v>
      </c>
      <c r="C100" s="172"/>
      <c r="D100" s="36"/>
    </row>
    <row r="101" spans="1:4" ht="27.6" x14ac:dyDescent="0.3">
      <c r="A101" s="171" t="s">
        <v>1482</v>
      </c>
      <c r="B101" s="37" t="s">
        <v>1497</v>
      </c>
      <c r="C101" s="172"/>
      <c r="D101" s="36"/>
    </row>
    <row r="102" spans="1:4" ht="27.6" x14ac:dyDescent="0.3">
      <c r="A102" s="171" t="s">
        <v>1482</v>
      </c>
      <c r="B102" s="37" t="s">
        <v>1498</v>
      </c>
      <c r="C102" s="172"/>
      <c r="D102" s="36"/>
    </row>
    <row r="103" spans="1:4" ht="27.6" x14ac:dyDescent="0.3">
      <c r="A103" s="171" t="s">
        <v>1482</v>
      </c>
      <c r="B103" s="37" t="s">
        <v>1499</v>
      </c>
      <c r="C103" s="172"/>
      <c r="D103" s="36"/>
    </row>
    <row r="104" spans="1:4" ht="27.6" x14ac:dyDescent="0.3">
      <c r="A104" s="171" t="s">
        <v>1482</v>
      </c>
      <c r="B104" s="47" t="s">
        <v>1500</v>
      </c>
      <c r="C104" s="172"/>
      <c r="D104" s="36"/>
    </row>
    <row r="105" spans="1:4" ht="27.6" x14ac:dyDescent="0.3">
      <c r="A105" s="168" t="s">
        <v>1482</v>
      </c>
      <c r="B105" s="169" t="s">
        <v>1145</v>
      </c>
      <c r="C105" s="170"/>
      <c r="D105" s="20"/>
    </row>
    <row r="106" spans="1:4" ht="27.6" x14ac:dyDescent="0.3">
      <c r="A106" s="171" t="s">
        <v>1482</v>
      </c>
      <c r="B106" s="37" t="s">
        <v>1501</v>
      </c>
      <c r="C106" s="9"/>
      <c r="D106" s="36"/>
    </row>
    <row r="107" spans="1:4" ht="14.4" x14ac:dyDescent="0.3">
      <c r="A107" s="168" t="s">
        <v>1502</v>
      </c>
      <c r="B107" s="169" t="s">
        <v>720</v>
      </c>
      <c r="C107" s="170"/>
      <c r="D107" s="20"/>
    </row>
    <row r="108" spans="1:4" ht="27.6" x14ac:dyDescent="0.3">
      <c r="A108" s="168" t="s">
        <v>1502</v>
      </c>
      <c r="B108" s="169" t="s">
        <v>1503</v>
      </c>
      <c r="C108" s="170"/>
      <c r="D108" s="20"/>
    </row>
    <row r="109" spans="1:4" ht="14.4" x14ac:dyDescent="0.3">
      <c r="A109" s="171" t="s">
        <v>1502</v>
      </c>
      <c r="B109" s="47" t="s">
        <v>1504</v>
      </c>
      <c r="C109" s="9"/>
      <c r="D109" s="36"/>
    </row>
    <row r="110" spans="1:4" ht="14.4" x14ac:dyDescent="0.3">
      <c r="A110" s="171" t="s">
        <v>1502</v>
      </c>
      <c r="B110" s="47" t="s">
        <v>1505</v>
      </c>
      <c r="C110" s="172"/>
      <c r="D110" s="36"/>
    </row>
    <row r="111" spans="1:4" ht="14.4" x14ac:dyDescent="0.3">
      <c r="A111" s="171" t="s">
        <v>1502</v>
      </c>
      <c r="B111" s="47" t="s">
        <v>1506</v>
      </c>
      <c r="C111" s="172"/>
      <c r="D111" s="36"/>
    </row>
    <row r="112" spans="1:4" ht="14.4" x14ac:dyDescent="0.3">
      <c r="A112" s="171" t="s">
        <v>1502</v>
      </c>
      <c r="B112" s="47" t="s">
        <v>1507</v>
      </c>
      <c r="C112" s="172"/>
      <c r="D112" s="36"/>
    </row>
    <row r="113" spans="1:4" ht="14.4" x14ac:dyDescent="0.3">
      <c r="A113" s="171" t="s">
        <v>1502</v>
      </c>
      <c r="B113" s="47" t="s">
        <v>1508</v>
      </c>
      <c r="C113" s="172"/>
      <c r="D113" s="36"/>
    </row>
    <row r="114" spans="1:4" ht="14.4" x14ac:dyDescent="0.3">
      <c r="A114" s="168" t="s">
        <v>1502</v>
      </c>
      <c r="B114" s="169" t="s">
        <v>1145</v>
      </c>
      <c r="C114" s="170"/>
      <c r="D114" s="20"/>
    </row>
    <row r="115" spans="1:4" ht="14.4" x14ac:dyDescent="0.3">
      <c r="A115" s="171" t="s">
        <v>1502</v>
      </c>
      <c r="B115" s="47" t="s">
        <v>1323</v>
      </c>
      <c r="C115" s="9"/>
      <c r="D115" s="36"/>
    </row>
    <row r="116" spans="1:4" ht="14.4" x14ac:dyDescent="0.3">
      <c r="A116" s="17"/>
      <c r="B116" s="46"/>
      <c r="C116" s="17"/>
      <c r="D116" s="17"/>
    </row>
    <row r="117" spans="1:4" ht="14.4" x14ac:dyDescent="0.3">
      <c r="A117" s="17"/>
      <c r="B117" s="46"/>
      <c r="C117" s="17"/>
      <c r="D117" s="17"/>
    </row>
    <row r="118" spans="1:4" ht="14.4" x14ac:dyDescent="0.3">
      <c r="A118" s="17"/>
      <c r="B118" s="15" t="s">
        <v>75</v>
      </c>
      <c r="C118" s="2">
        <f>COUNTIF($C$5:$C$115,"C")</f>
        <v>1</v>
      </c>
      <c r="D118" s="17"/>
    </row>
    <row r="119" spans="1:4" ht="14.4" x14ac:dyDescent="0.3">
      <c r="A119" s="17"/>
      <c r="B119" s="15" t="s">
        <v>81</v>
      </c>
      <c r="C119" s="2">
        <f>COUNTIF($C$5:$C$115,"NC")</f>
        <v>1</v>
      </c>
      <c r="D119" s="17"/>
    </row>
    <row r="120" spans="1:4" ht="14.4" x14ac:dyDescent="0.3">
      <c r="A120" s="17"/>
      <c r="B120" s="15" t="s">
        <v>84</v>
      </c>
      <c r="C120" s="2">
        <f>COUNTIF($C$5:$C$115,"NA")</f>
        <v>1</v>
      </c>
      <c r="D120" s="17"/>
    </row>
  </sheetData>
  <autoFilter ref="A7:D115" xr:uid="{00000000-0009-0000-0000-000012000000}"/>
  <mergeCells count="1">
    <mergeCell ref="A5:A6"/>
  </mergeCells>
  <conditionalFormatting sqref="C9:C12 C14 C16:C17 C19:C22 C24:C28 C30:C33 C35:C37 C39:C43 C45:C47 C49 C51 C53:C60 C62:C63 C65:C66 C68 C70:C71 C73 C75:C83 C85 C87 C89:C97 C99:C104 C106 C109:C113 C115">
    <cfRule type="beginsWith" dxfId="86" priority="1" operator="beginsWith" text="C">
      <formula>LEFT((C9),LEN("C"))=("C")</formula>
    </cfRule>
    <cfRule type="beginsWith" dxfId="85" priority="2" operator="beginsWith" text="NC">
      <formula>LEFT((C9),LEN("NC"))=("NC")</formula>
    </cfRule>
    <cfRule type="beginsWith" dxfId="84" priority="3" operator="beginsWith" text="NA">
      <formula>LEFT((C9),LEN("NA"))=("NA")</formula>
    </cfRule>
  </conditionalFormatting>
  <dataValidations count="1">
    <dataValidation type="list" allowBlank="1" sqref="C9:C12 C14 C16:C17 C19:C22 C24:C28 C30:C33 C35:C37 C39:C43 C45:C47 C49 C51 C53:C60 C62:C63 C65:C66 C68 C70:C71 C73 C75:C83 C85 C87 C89:C97 C99:C104 C106 C109:C113 C115" xr:uid="{00000000-0002-0000-1200-000000000000}">
      <formula1>"C,NC,NA"</formula1>
    </dataValidation>
  </dataValidations>
  <hyperlinks>
    <hyperlink ref="B1" location="'Tabla de contenido'!A1" display="VOLVER A TABLA DE CONTENIDO" xr:uid="{00000000-0004-0000-1200-000000000000}"/>
  </hyperlink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41B47"/>
  </sheetPr>
  <dimension ref="A1:D112"/>
  <sheetViews>
    <sheetView showGridLines="0" workbookViewId="0">
      <selection activeCell="B1" sqref="B1"/>
    </sheetView>
  </sheetViews>
  <sheetFormatPr baseColWidth="10" defaultColWidth="14.44140625" defaultRowHeight="15" customHeight="1" outlineLevelCol="1" x14ac:dyDescent="0.3"/>
  <cols>
    <col min="1" max="1" width="20.33203125" customWidth="1"/>
    <col min="2" max="2" width="76" customWidth="1"/>
    <col min="3" max="3" width="11.5546875" customWidth="1"/>
    <col min="4" max="4" width="40.21875" customWidth="1" outlineLevel="1"/>
    <col min="5" max="24" width="10.77734375" customWidth="1"/>
  </cols>
  <sheetData>
    <row r="1" spans="1:4" ht="14.4" x14ac:dyDescent="0.3">
      <c r="A1" s="269"/>
      <c r="B1" s="270" t="s">
        <v>0</v>
      </c>
      <c r="C1" s="269"/>
      <c r="D1" s="269"/>
    </row>
    <row r="2" spans="1:4" ht="14.4" x14ac:dyDescent="0.3">
      <c r="A2" s="74" t="s">
        <v>1320</v>
      </c>
      <c r="B2" s="75" t="s">
        <v>1413</v>
      </c>
      <c r="C2" s="116"/>
      <c r="D2" s="77"/>
    </row>
    <row r="3" spans="1:4" ht="27.6" x14ac:dyDescent="0.3">
      <c r="A3" s="6" t="s">
        <v>1324</v>
      </c>
      <c r="B3" s="18" t="s">
        <v>1509</v>
      </c>
      <c r="C3" s="117"/>
      <c r="D3" s="19"/>
    </row>
    <row r="4" spans="1:4" ht="14.4" x14ac:dyDescent="0.3">
      <c r="A4" s="6" t="s">
        <v>1326</v>
      </c>
      <c r="B4" s="18" t="s">
        <v>1327</v>
      </c>
      <c r="C4" s="174"/>
      <c r="D4" s="19"/>
    </row>
    <row r="5" spans="1:4" ht="14.4" x14ac:dyDescent="0.3">
      <c r="A5" s="286" t="s">
        <v>1510</v>
      </c>
      <c r="B5" s="18" t="s">
        <v>1329</v>
      </c>
      <c r="C5" s="174"/>
      <c r="D5" s="19"/>
    </row>
    <row r="6" spans="1:4" ht="14.4" x14ac:dyDescent="0.3">
      <c r="A6" s="287"/>
      <c r="B6" s="18" t="s">
        <v>1511</v>
      </c>
      <c r="C6" s="174"/>
      <c r="D6" s="19"/>
    </row>
    <row r="7" spans="1:4" ht="14.4" x14ac:dyDescent="0.3">
      <c r="A7" s="6" t="s">
        <v>7</v>
      </c>
      <c r="B7" s="18" t="s">
        <v>9</v>
      </c>
      <c r="C7" s="6" t="s">
        <v>10</v>
      </c>
      <c r="D7" s="6" t="s">
        <v>11</v>
      </c>
    </row>
    <row r="8" spans="1:4" ht="14.4" x14ac:dyDescent="0.3">
      <c r="A8" s="168" t="s">
        <v>1417</v>
      </c>
      <c r="B8" s="169" t="s">
        <v>1136</v>
      </c>
      <c r="C8" s="170"/>
      <c r="D8" s="20"/>
    </row>
    <row r="9" spans="1:4" ht="27.6" x14ac:dyDescent="0.3">
      <c r="A9" s="171" t="s">
        <v>1417</v>
      </c>
      <c r="B9" s="37" t="s">
        <v>1290</v>
      </c>
      <c r="C9" s="9" t="s">
        <v>16</v>
      </c>
      <c r="D9" s="50"/>
    </row>
    <row r="10" spans="1:4" ht="41.4" x14ac:dyDescent="0.3">
      <c r="A10" s="171" t="s">
        <v>1417</v>
      </c>
      <c r="B10" s="37" t="s">
        <v>1512</v>
      </c>
      <c r="C10" s="9" t="s">
        <v>20</v>
      </c>
      <c r="D10" s="36"/>
    </row>
    <row r="11" spans="1:4" ht="41.4" x14ac:dyDescent="0.3">
      <c r="A11" s="171" t="s">
        <v>1417</v>
      </c>
      <c r="B11" s="37" t="s">
        <v>1513</v>
      </c>
      <c r="C11" s="172" t="s">
        <v>24</v>
      </c>
      <c r="D11" s="36"/>
    </row>
    <row r="12" spans="1:4" ht="41.4" x14ac:dyDescent="0.3">
      <c r="A12" s="171" t="s">
        <v>1417</v>
      </c>
      <c r="B12" s="37" t="s">
        <v>1514</v>
      </c>
      <c r="C12" s="172"/>
      <c r="D12" s="36"/>
    </row>
    <row r="13" spans="1:4" ht="14.4" x14ac:dyDescent="0.3">
      <c r="A13" s="168" t="s">
        <v>1417</v>
      </c>
      <c r="B13" s="169" t="s">
        <v>1515</v>
      </c>
      <c r="C13" s="170"/>
      <c r="D13" s="20"/>
    </row>
    <row r="14" spans="1:4" ht="41.4" x14ac:dyDescent="0.3">
      <c r="A14" s="171" t="s">
        <v>1417</v>
      </c>
      <c r="B14" s="37" t="s">
        <v>1516</v>
      </c>
      <c r="C14" s="9"/>
      <c r="D14" s="36"/>
    </row>
    <row r="15" spans="1:4" ht="55.2" x14ac:dyDescent="0.3">
      <c r="A15" s="171" t="s">
        <v>1417</v>
      </c>
      <c r="B15" s="37" t="s">
        <v>1517</v>
      </c>
      <c r="C15" s="9"/>
      <c r="D15" s="36"/>
    </row>
    <row r="16" spans="1:4" ht="14.4" x14ac:dyDescent="0.3">
      <c r="A16" s="168" t="s">
        <v>1417</v>
      </c>
      <c r="B16" s="169" t="s">
        <v>1145</v>
      </c>
      <c r="C16" s="170"/>
      <c r="D16" s="20"/>
    </row>
    <row r="17" spans="1:4" ht="14.4" x14ac:dyDescent="0.3">
      <c r="A17" s="171" t="s">
        <v>1417</v>
      </c>
      <c r="B17" s="37" t="s">
        <v>1518</v>
      </c>
      <c r="C17" s="9"/>
      <c r="D17" s="36"/>
    </row>
    <row r="18" spans="1:4" ht="69" x14ac:dyDescent="0.3">
      <c r="A18" s="171" t="s">
        <v>1417</v>
      </c>
      <c r="B18" s="37" t="s">
        <v>1519</v>
      </c>
      <c r="C18" s="9"/>
      <c r="D18" s="36"/>
    </row>
    <row r="19" spans="1:4" ht="14.4" x14ac:dyDescent="0.3">
      <c r="A19" s="168" t="s">
        <v>1340</v>
      </c>
      <c r="B19" s="169" t="s">
        <v>1136</v>
      </c>
      <c r="C19" s="170"/>
      <c r="D19" s="20"/>
    </row>
    <row r="20" spans="1:4" ht="27.6" x14ac:dyDescent="0.3">
      <c r="A20" s="171" t="s">
        <v>1340</v>
      </c>
      <c r="B20" s="37" t="s">
        <v>1137</v>
      </c>
      <c r="C20" s="9"/>
      <c r="D20" s="36"/>
    </row>
    <row r="21" spans="1:4" ht="14.4" x14ac:dyDescent="0.3">
      <c r="A21" s="171" t="s">
        <v>1340</v>
      </c>
      <c r="B21" s="37" t="s">
        <v>1450</v>
      </c>
      <c r="C21" s="9"/>
      <c r="D21" s="36"/>
    </row>
    <row r="22" spans="1:4" ht="14.4" x14ac:dyDescent="0.3">
      <c r="A22" s="171" t="s">
        <v>1340</v>
      </c>
      <c r="B22" s="37" t="s">
        <v>1451</v>
      </c>
      <c r="C22" s="9"/>
      <c r="D22" s="36"/>
    </row>
    <row r="23" spans="1:4" ht="14.4" x14ac:dyDescent="0.3">
      <c r="A23" s="171" t="s">
        <v>1340</v>
      </c>
      <c r="B23" s="37" t="s">
        <v>1520</v>
      </c>
      <c r="C23" s="9"/>
      <c r="D23" s="36"/>
    </row>
    <row r="24" spans="1:4" ht="41.4" x14ac:dyDescent="0.3">
      <c r="A24" s="171" t="s">
        <v>1340</v>
      </c>
      <c r="B24" s="37" t="s">
        <v>1521</v>
      </c>
      <c r="C24" s="172"/>
      <c r="D24" s="36"/>
    </row>
    <row r="25" spans="1:4" ht="82.8" x14ac:dyDescent="0.3">
      <c r="A25" s="171" t="s">
        <v>1340</v>
      </c>
      <c r="B25" s="37" t="s">
        <v>1522</v>
      </c>
      <c r="C25" s="9"/>
      <c r="D25" s="36"/>
    </row>
    <row r="26" spans="1:4" ht="14.4" x14ac:dyDescent="0.3">
      <c r="A26" s="171" t="s">
        <v>1340</v>
      </c>
      <c r="B26" s="37" t="s">
        <v>1523</v>
      </c>
      <c r="C26" s="9"/>
      <c r="D26" s="36"/>
    </row>
    <row r="27" spans="1:4" ht="14.4" x14ac:dyDescent="0.3">
      <c r="A27" s="171" t="s">
        <v>1340</v>
      </c>
      <c r="B27" s="37" t="s">
        <v>1524</v>
      </c>
      <c r="C27" s="9"/>
      <c r="D27" s="36"/>
    </row>
    <row r="28" spans="1:4" ht="14.4" x14ac:dyDescent="0.3">
      <c r="A28" s="171" t="s">
        <v>1340</v>
      </c>
      <c r="B28" s="37" t="s">
        <v>1525</v>
      </c>
      <c r="C28" s="9"/>
      <c r="D28" s="50"/>
    </row>
    <row r="29" spans="1:4" ht="14.4" x14ac:dyDescent="0.3">
      <c r="A29" s="171" t="s">
        <v>1340</v>
      </c>
      <c r="B29" s="37" t="s">
        <v>1526</v>
      </c>
      <c r="C29" s="172"/>
      <c r="D29" s="50"/>
    </row>
    <row r="30" spans="1:4" ht="14.4" x14ac:dyDescent="0.3">
      <c r="A30" s="171" t="s">
        <v>1340</v>
      </c>
      <c r="B30" s="37" t="s">
        <v>1527</v>
      </c>
      <c r="C30" s="172"/>
      <c r="D30" s="50"/>
    </row>
    <row r="31" spans="1:4" ht="14.4" x14ac:dyDescent="0.3">
      <c r="A31" s="171" t="s">
        <v>1340</v>
      </c>
      <c r="B31" s="37" t="s">
        <v>1528</v>
      </c>
      <c r="C31" s="172"/>
      <c r="D31" s="50"/>
    </row>
    <row r="32" spans="1:4" ht="14.4" x14ac:dyDescent="0.3">
      <c r="A32" s="171" t="s">
        <v>1340</v>
      </c>
      <c r="B32" s="37" t="s">
        <v>1529</v>
      </c>
      <c r="C32" s="172"/>
      <c r="D32" s="50"/>
    </row>
    <row r="33" spans="1:4" ht="14.4" x14ac:dyDescent="0.3">
      <c r="A33" s="171" t="s">
        <v>1340</v>
      </c>
      <c r="B33" s="37" t="s">
        <v>1530</v>
      </c>
      <c r="C33" s="172"/>
      <c r="D33" s="50"/>
    </row>
    <row r="34" spans="1:4" ht="14.4" x14ac:dyDescent="0.3">
      <c r="A34" s="168" t="s">
        <v>1340</v>
      </c>
      <c r="B34" s="169" t="s">
        <v>1145</v>
      </c>
      <c r="C34" s="170"/>
      <c r="D34" s="20"/>
    </row>
    <row r="35" spans="1:4" ht="14.4" x14ac:dyDescent="0.3">
      <c r="A35" s="171" t="s">
        <v>1340</v>
      </c>
      <c r="B35" s="37" t="s">
        <v>1147</v>
      </c>
      <c r="C35" s="9"/>
      <c r="D35" s="36"/>
    </row>
    <row r="36" spans="1:4" ht="14.4" x14ac:dyDescent="0.3">
      <c r="A36" s="168" t="s">
        <v>1371</v>
      </c>
      <c r="B36" s="169" t="s">
        <v>1136</v>
      </c>
      <c r="C36" s="170"/>
      <c r="D36" s="20"/>
    </row>
    <row r="37" spans="1:4" ht="27.6" x14ac:dyDescent="0.3">
      <c r="A37" s="171" t="s">
        <v>1371</v>
      </c>
      <c r="B37" s="37" t="s">
        <v>1531</v>
      </c>
      <c r="C37" s="9"/>
      <c r="D37" s="36"/>
    </row>
    <row r="38" spans="1:4" ht="14.4" x14ac:dyDescent="0.3">
      <c r="A38" s="168" t="s">
        <v>1371</v>
      </c>
      <c r="B38" s="169" t="s">
        <v>1532</v>
      </c>
      <c r="C38" s="170"/>
      <c r="D38" s="20"/>
    </row>
    <row r="39" spans="1:4" ht="27.6" x14ac:dyDescent="0.3">
      <c r="A39" s="171" t="s">
        <v>1371</v>
      </c>
      <c r="B39" s="37" t="s">
        <v>1533</v>
      </c>
      <c r="C39" s="9"/>
      <c r="D39" s="36"/>
    </row>
    <row r="40" spans="1:4" ht="27.6" x14ac:dyDescent="0.3">
      <c r="A40" s="171" t="s">
        <v>1371</v>
      </c>
      <c r="B40" s="37" t="s">
        <v>1534</v>
      </c>
      <c r="C40" s="9"/>
      <c r="D40" s="36"/>
    </row>
    <row r="41" spans="1:4" ht="14.4" x14ac:dyDescent="0.3">
      <c r="A41" s="171" t="s">
        <v>1371</v>
      </c>
      <c r="B41" s="37" t="s">
        <v>1535</v>
      </c>
      <c r="C41" s="9"/>
      <c r="D41" s="36"/>
    </row>
    <row r="42" spans="1:4" ht="14.4" x14ac:dyDescent="0.3">
      <c r="A42" s="171" t="s">
        <v>1371</v>
      </c>
      <c r="B42" s="37" t="s">
        <v>1536</v>
      </c>
      <c r="C42" s="9"/>
      <c r="D42" s="54"/>
    </row>
    <row r="43" spans="1:4" ht="14.4" x14ac:dyDescent="0.3">
      <c r="A43" s="171" t="s">
        <v>1371</v>
      </c>
      <c r="B43" s="37" t="s">
        <v>1537</v>
      </c>
      <c r="C43" s="9"/>
      <c r="D43" s="36"/>
    </row>
    <row r="44" spans="1:4" ht="27.6" x14ac:dyDescent="0.3">
      <c r="A44" s="171" t="s">
        <v>1371</v>
      </c>
      <c r="B44" s="37" t="s">
        <v>1538</v>
      </c>
      <c r="C44" s="9"/>
      <c r="D44" s="54"/>
    </row>
    <row r="45" spans="1:4" ht="14.4" x14ac:dyDescent="0.3">
      <c r="A45" s="168" t="s">
        <v>1371</v>
      </c>
      <c r="B45" s="169" t="s">
        <v>1145</v>
      </c>
      <c r="C45" s="170"/>
      <c r="D45" s="20"/>
    </row>
    <row r="46" spans="1:4" ht="14.4" x14ac:dyDescent="0.3">
      <c r="A46" s="171" t="s">
        <v>1371</v>
      </c>
      <c r="B46" s="37" t="s">
        <v>1034</v>
      </c>
      <c r="C46" s="9"/>
      <c r="D46" s="36"/>
    </row>
    <row r="47" spans="1:4" ht="41.4" x14ac:dyDescent="0.3">
      <c r="A47" s="168" t="s">
        <v>1469</v>
      </c>
      <c r="B47" s="169" t="s">
        <v>1136</v>
      </c>
      <c r="C47" s="170"/>
      <c r="D47" s="20"/>
    </row>
    <row r="48" spans="1:4" ht="41.4" x14ac:dyDescent="0.3">
      <c r="A48" s="171" t="s">
        <v>1469</v>
      </c>
      <c r="B48" s="37" t="s">
        <v>1539</v>
      </c>
      <c r="C48" s="9"/>
      <c r="D48" s="36"/>
    </row>
    <row r="49" spans="1:4" ht="69" x14ac:dyDescent="0.3">
      <c r="A49" s="171" t="s">
        <v>1469</v>
      </c>
      <c r="B49" s="37" t="s">
        <v>1540</v>
      </c>
      <c r="C49" s="9"/>
      <c r="D49" s="36"/>
    </row>
    <row r="50" spans="1:4" ht="41.4" x14ac:dyDescent="0.3">
      <c r="A50" s="168" t="s">
        <v>1469</v>
      </c>
      <c r="B50" s="169" t="s">
        <v>1541</v>
      </c>
      <c r="C50" s="170"/>
      <c r="D50" s="20"/>
    </row>
    <row r="51" spans="1:4" ht="41.4" x14ac:dyDescent="0.3">
      <c r="A51" s="171" t="s">
        <v>1469</v>
      </c>
      <c r="B51" s="37" t="s">
        <v>1542</v>
      </c>
      <c r="C51" s="9"/>
      <c r="D51" s="36"/>
    </row>
    <row r="52" spans="1:4" ht="41.4" x14ac:dyDescent="0.3">
      <c r="A52" s="171" t="s">
        <v>1469</v>
      </c>
      <c r="B52" s="37" t="s">
        <v>1543</v>
      </c>
      <c r="C52" s="9"/>
      <c r="D52" s="36"/>
    </row>
    <row r="53" spans="1:4" ht="41.4" x14ac:dyDescent="0.3">
      <c r="A53" s="171" t="s">
        <v>1469</v>
      </c>
      <c r="B53" s="37" t="s">
        <v>1544</v>
      </c>
      <c r="C53" s="9"/>
      <c r="D53" s="36"/>
    </row>
    <row r="54" spans="1:4" ht="41.4" x14ac:dyDescent="0.3">
      <c r="A54" s="171" t="s">
        <v>1469</v>
      </c>
      <c r="B54" s="37" t="s">
        <v>1545</v>
      </c>
      <c r="C54" s="9"/>
      <c r="D54" s="36"/>
    </row>
    <row r="55" spans="1:4" ht="69" x14ac:dyDescent="0.3">
      <c r="A55" s="171" t="s">
        <v>1469</v>
      </c>
      <c r="B55" s="37" t="s">
        <v>1546</v>
      </c>
      <c r="C55" s="9"/>
      <c r="D55" s="36"/>
    </row>
    <row r="56" spans="1:4" ht="41.4" x14ac:dyDescent="0.3">
      <c r="A56" s="171" t="s">
        <v>1469</v>
      </c>
      <c r="B56" s="37" t="s">
        <v>1547</v>
      </c>
      <c r="C56" s="172"/>
      <c r="D56" s="36"/>
    </row>
    <row r="57" spans="1:4" ht="41.4" x14ac:dyDescent="0.3">
      <c r="A57" s="171" t="s">
        <v>1469</v>
      </c>
      <c r="B57" s="37" t="s">
        <v>1548</v>
      </c>
      <c r="C57" s="172"/>
      <c r="D57" s="36"/>
    </row>
    <row r="58" spans="1:4" ht="41.4" x14ac:dyDescent="0.3">
      <c r="A58" s="171" t="s">
        <v>1469</v>
      </c>
      <c r="B58" s="37" t="s">
        <v>1549</v>
      </c>
      <c r="C58" s="172"/>
      <c r="D58" s="36"/>
    </row>
    <row r="59" spans="1:4" ht="41.4" x14ac:dyDescent="0.3">
      <c r="A59" s="171" t="s">
        <v>1469</v>
      </c>
      <c r="B59" s="37" t="s">
        <v>1550</v>
      </c>
      <c r="C59" s="172"/>
      <c r="D59" s="36"/>
    </row>
    <row r="60" spans="1:4" ht="41.4" x14ac:dyDescent="0.3">
      <c r="A60" s="168" t="s">
        <v>1469</v>
      </c>
      <c r="B60" s="169" t="s">
        <v>1145</v>
      </c>
      <c r="C60" s="170"/>
      <c r="D60" s="20"/>
    </row>
    <row r="61" spans="1:4" ht="41.4" x14ac:dyDescent="0.3">
      <c r="A61" s="171" t="s">
        <v>1469</v>
      </c>
      <c r="B61" s="37" t="s">
        <v>1041</v>
      </c>
      <c r="C61" s="9"/>
      <c r="D61" s="36"/>
    </row>
    <row r="62" spans="1:4" ht="27.6" x14ac:dyDescent="0.3">
      <c r="A62" s="168" t="s">
        <v>1386</v>
      </c>
      <c r="B62" s="169" t="s">
        <v>1136</v>
      </c>
      <c r="C62" s="170"/>
      <c r="D62" s="20"/>
    </row>
    <row r="63" spans="1:4" ht="27.6" x14ac:dyDescent="0.3">
      <c r="A63" s="171" t="s">
        <v>1386</v>
      </c>
      <c r="B63" s="37" t="s">
        <v>1551</v>
      </c>
      <c r="C63" s="9"/>
      <c r="D63" s="36"/>
    </row>
    <row r="64" spans="1:4" ht="27.6" x14ac:dyDescent="0.3">
      <c r="A64" s="171" t="s">
        <v>1386</v>
      </c>
      <c r="B64" s="37" t="s">
        <v>1552</v>
      </c>
      <c r="C64" s="9"/>
      <c r="D64" s="36"/>
    </row>
    <row r="65" spans="1:4" ht="27.6" x14ac:dyDescent="0.3">
      <c r="A65" s="171" t="s">
        <v>1386</v>
      </c>
      <c r="B65" s="37" t="s">
        <v>1553</v>
      </c>
      <c r="C65" s="9"/>
      <c r="D65" s="36"/>
    </row>
    <row r="66" spans="1:4" ht="27.6" x14ac:dyDescent="0.3">
      <c r="A66" s="171" t="s">
        <v>1386</v>
      </c>
      <c r="B66" s="37" t="s">
        <v>1554</v>
      </c>
      <c r="C66" s="9"/>
      <c r="D66" s="36"/>
    </row>
    <row r="67" spans="1:4" ht="27.6" x14ac:dyDescent="0.3">
      <c r="A67" s="168" t="s">
        <v>1386</v>
      </c>
      <c r="B67" s="169" t="s">
        <v>1555</v>
      </c>
      <c r="C67" s="170"/>
      <c r="D67" s="20"/>
    </row>
    <row r="68" spans="1:4" ht="27.6" x14ac:dyDescent="0.3">
      <c r="A68" s="171" t="s">
        <v>1386</v>
      </c>
      <c r="B68" s="37" t="s">
        <v>1556</v>
      </c>
      <c r="C68" s="9"/>
      <c r="D68" s="36"/>
    </row>
    <row r="69" spans="1:4" ht="27.6" x14ac:dyDescent="0.3">
      <c r="A69" s="171" t="s">
        <v>1386</v>
      </c>
      <c r="B69" s="37" t="s">
        <v>1557</v>
      </c>
      <c r="C69" s="172"/>
      <c r="D69" s="36"/>
    </row>
    <row r="70" spans="1:4" ht="27.6" x14ac:dyDescent="0.3">
      <c r="A70" s="171" t="s">
        <v>1386</v>
      </c>
      <c r="B70" s="37" t="s">
        <v>1558</v>
      </c>
      <c r="C70" s="172"/>
      <c r="D70" s="36"/>
    </row>
    <row r="71" spans="1:4" ht="27.6" x14ac:dyDescent="0.3">
      <c r="A71" s="171" t="s">
        <v>1386</v>
      </c>
      <c r="B71" s="37" t="s">
        <v>1559</v>
      </c>
      <c r="C71" s="172"/>
      <c r="D71" s="36"/>
    </row>
    <row r="72" spans="1:4" ht="27.6" x14ac:dyDescent="0.3">
      <c r="A72" s="171" t="s">
        <v>1386</v>
      </c>
      <c r="B72" s="37" t="s">
        <v>1560</v>
      </c>
      <c r="C72" s="172"/>
      <c r="D72" s="36"/>
    </row>
    <row r="73" spans="1:4" ht="27.6" x14ac:dyDescent="0.3">
      <c r="A73" s="171" t="s">
        <v>1386</v>
      </c>
      <c r="B73" s="37" t="s">
        <v>1561</v>
      </c>
      <c r="C73" s="9"/>
      <c r="D73" s="36"/>
    </row>
    <row r="74" spans="1:4" ht="27.6" x14ac:dyDescent="0.3">
      <c r="A74" s="168" t="s">
        <v>1386</v>
      </c>
      <c r="B74" s="169" t="s">
        <v>1145</v>
      </c>
      <c r="C74" s="170"/>
      <c r="D74" s="20"/>
    </row>
    <row r="75" spans="1:4" ht="27.6" x14ac:dyDescent="0.3">
      <c r="A75" s="171" t="s">
        <v>1386</v>
      </c>
      <c r="B75" s="37" t="s">
        <v>1501</v>
      </c>
      <c r="C75" s="9"/>
      <c r="D75" s="36"/>
    </row>
    <row r="76" spans="1:4" ht="27.6" x14ac:dyDescent="0.3">
      <c r="A76" s="168" t="s">
        <v>1482</v>
      </c>
      <c r="B76" s="169" t="s">
        <v>1136</v>
      </c>
      <c r="C76" s="170"/>
      <c r="D76" s="20"/>
    </row>
    <row r="77" spans="1:4" ht="27.6" x14ac:dyDescent="0.3">
      <c r="A77" s="171" t="s">
        <v>1482</v>
      </c>
      <c r="B77" s="37" t="s">
        <v>1562</v>
      </c>
      <c r="C77" s="9"/>
      <c r="D77" s="36"/>
    </row>
    <row r="78" spans="1:4" ht="27.6" x14ac:dyDescent="0.3">
      <c r="A78" s="168" t="s">
        <v>1482</v>
      </c>
      <c r="B78" s="169" t="s">
        <v>1563</v>
      </c>
      <c r="C78" s="170"/>
      <c r="D78" s="20"/>
    </row>
    <row r="79" spans="1:4" ht="27.6" x14ac:dyDescent="0.3">
      <c r="A79" s="171" t="s">
        <v>1482</v>
      </c>
      <c r="B79" s="37" t="s">
        <v>1564</v>
      </c>
      <c r="C79" s="9"/>
      <c r="D79" s="36"/>
    </row>
    <row r="80" spans="1:4" ht="27.6" x14ac:dyDescent="0.3">
      <c r="A80" s="171" t="s">
        <v>1482</v>
      </c>
      <c r="B80" s="37" t="s">
        <v>1565</v>
      </c>
      <c r="C80" s="9"/>
      <c r="D80" s="36"/>
    </row>
    <row r="81" spans="1:4" ht="27.6" x14ac:dyDescent="0.3">
      <c r="A81" s="171" t="s">
        <v>1482</v>
      </c>
      <c r="B81" s="37" t="s">
        <v>1566</v>
      </c>
      <c r="C81" s="9"/>
      <c r="D81" s="36"/>
    </row>
    <row r="82" spans="1:4" ht="27.6" x14ac:dyDescent="0.3">
      <c r="A82" s="171" t="s">
        <v>1482</v>
      </c>
      <c r="B82" s="37" t="s">
        <v>1567</v>
      </c>
      <c r="C82" s="9"/>
      <c r="D82" s="36"/>
    </row>
    <row r="83" spans="1:4" ht="27.6" x14ac:dyDescent="0.3">
      <c r="A83" s="171" t="s">
        <v>1482</v>
      </c>
      <c r="B83" s="37" t="s">
        <v>1568</v>
      </c>
      <c r="C83" s="9"/>
      <c r="D83" s="36"/>
    </row>
    <row r="84" spans="1:4" ht="27.6" x14ac:dyDescent="0.3">
      <c r="A84" s="171" t="s">
        <v>1482</v>
      </c>
      <c r="B84" s="37" t="s">
        <v>1569</v>
      </c>
      <c r="C84" s="172"/>
      <c r="D84" s="36"/>
    </row>
    <row r="85" spans="1:4" ht="27.6" x14ac:dyDescent="0.3">
      <c r="A85" s="171" t="s">
        <v>1482</v>
      </c>
      <c r="B85" s="37" t="s">
        <v>1570</v>
      </c>
      <c r="C85" s="172"/>
      <c r="D85" s="36"/>
    </row>
    <row r="86" spans="1:4" ht="27.6" x14ac:dyDescent="0.3">
      <c r="A86" s="171" t="s">
        <v>1482</v>
      </c>
      <c r="B86" s="37" t="s">
        <v>1571</v>
      </c>
      <c r="C86" s="172"/>
      <c r="D86" s="36"/>
    </row>
    <row r="87" spans="1:4" ht="27.6" x14ac:dyDescent="0.3">
      <c r="A87" s="171" t="s">
        <v>1482</v>
      </c>
      <c r="B87" s="37" t="s">
        <v>1572</v>
      </c>
      <c r="C87" s="172"/>
      <c r="D87" s="36"/>
    </row>
    <row r="88" spans="1:4" ht="27.6" x14ac:dyDescent="0.3">
      <c r="A88" s="171" t="s">
        <v>1482</v>
      </c>
      <c r="B88" s="37" t="s">
        <v>1573</v>
      </c>
      <c r="C88" s="172"/>
      <c r="D88" s="36"/>
    </row>
    <row r="89" spans="1:4" ht="27.6" x14ac:dyDescent="0.3">
      <c r="A89" s="171" t="s">
        <v>1482</v>
      </c>
      <c r="B89" s="37" t="s">
        <v>1574</v>
      </c>
      <c r="C89" s="172"/>
      <c r="D89" s="36"/>
    </row>
    <row r="90" spans="1:4" ht="27.6" x14ac:dyDescent="0.3">
      <c r="A90" s="171" t="s">
        <v>1482</v>
      </c>
      <c r="B90" s="37" t="s">
        <v>1575</v>
      </c>
      <c r="C90" s="172"/>
      <c r="D90" s="36"/>
    </row>
    <row r="91" spans="1:4" ht="27.6" x14ac:dyDescent="0.3">
      <c r="A91" s="171" t="s">
        <v>1482</v>
      </c>
      <c r="B91" s="37" t="s">
        <v>1576</v>
      </c>
      <c r="C91" s="172"/>
      <c r="D91" s="36"/>
    </row>
    <row r="92" spans="1:4" ht="27.6" x14ac:dyDescent="0.3">
      <c r="A92" s="171" t="s">
        <v>1482</v>
      </c>
      <c r="B92" s="37" t="s">
        <v>1577</v>
      </c>
      <c r="C92" s="172"/>
      <c r="D92" s="36"/>
    </row>
    <row r="93" spans="1:4" ht="27.6" x14ac:dyDescent="0.3">
      <c r="A93" s="171" t="s">
        <v>1482</v>
      </c>
      <c r="B93" s="37" t="s">
        <v>1578</v>
      </c>
      <c r="C93" s="172"/>
      <c r="D93" s="36"/>
    </row>
    <row r="94" spans="1:4" ht="27.6" x14ac:dyDescent="0.3">
      <c r="A94" s="171" t="s">
        <v>1482</v>
      </c>
      <c r="B94" s="37" t="s">
        <v>1579</v>
      </c>
      <c r="C94" s="172"/>
      <c r="D94" s="36"/>
    </row>
    <row r="95" spans="1:4" ht="27.6" x14ac:dyDescent="0.3">
      <c r="A95" s="171" t="s">
        <v>1482</v>
      </c>
      <c r="B95" s="37" t="s">
        <v>1582</v>
      </c>
      <c r="C95" s="172"/>
      <c r="D95" s="36"/>
    </row>
    <row r="96" spans="1:4" ht="27.6" x14ac:dyDescent="0.3">
      <c r="A96" s="171" t="s">
        <v>1482</v>
      </c>
      <c r="B96" s="37" t="s">
        <v>1584</v>
      </c>
      <c r="C96" s="172"/>
      <c r="D96" s="36"/>
    </row>
    <row r="97" spans="1:4" ht="27.6" x14ac:dyDescent="0.3">
      <c r="A97" s="171" t="s">
        <v>1482</v>
      </c>
      <c r="B97" s="37" t="s">
        <v>1590</v>
      </c>
      <c r="C97" s="172"/>
      <c r="D97" s="36"/>
    </row>
    <row r="98" spans="1:4" ht="27.6" x14ac:dyDescent="0.3">
      <c r="A98" s="171" t="s">
        <v>1482</v>
      </c>
      <c r="B98" s="37" t="s">
        <v>1591</v>
      </c>
      <c r="C98" s="172"/>
      <c r="D98" s="36"/>
    </row>
    <row r="99" spans="1:4" ht="27.6" x14ac:dyDescent="0.3">
      <c r="A99" s="168" t="s">
        <v>1482</v>
      </c>
      <c r="B99" s="169" t="s">
        <v>1145</v>
      </c>
      <c r="C99" s="170"/>
      <c r="D99" s="20"/>
    </row>
    <row r="100" spans="1:4" ht="27.6" x14ac:dyDescent="0.3">
      <c r="A100" s="171" t="s">
        <v>1482</v>
      </c>
      <c r="B100" s="37" t="s">
        <v>1592</v>
      </c>
      <c r="C100" s="9"/>
      <c r="D100" s="36"/>
    </row>
    <row r="101" spans="1:4" ht="14.4" x14ac:dyDescent="0.3">
      <c r="A101" s="168" t="s">
        <v>1502</v>
      </c>
      <c r="B101" s="169" t="s">
        <v>1594</v>
      </c>
      <c r="C101" s="170"/>
      <c r="D101" s="20"/>
    </row>
    <row r="102" spans="1:4" ht="27.6" x14ac:dyDescent="0.3">
      <c r="A102" s="50" t="s">
        <v>1502</v>
      </c>
      <c r="B102" s="37" t="s">
        <v>1596</v>
      </c>
      <c r="C102" s="9"/>
      <c r="D102" s="36"/>
    </row>
    <row r="103" spans="1:4" ht="14.4" x14ac:dyDescent="0.3">
      <c r="A103" s="168" t="s">
        <v>1502</v>
      </c>
      <c r="B103" s="169" t="s">
        <v>1597</v>
      </c>
      <c r="C103" s="170"/>
      <c r="D103" s="20"/>
    </row>
    <row r="104" spans="1:4" ht="14.4" x14ac:dyDescent="0.3">
      <c r="A104" s="50" t="s">
        <v>1502</v>
      </c>
      <c r="B104" s="37" t="s">
        <v>1598</v>
      </c>
      <c r="C104" s="9"/>
      <c r="D104" s="36"/>
    </row>
    <row r="105" spans="1:4" ht="14.4" x14ac:dyDescent="0.3">
      <c r="A105" s="50" t="s">
        <v>1502</v>
      </c>
      <c r="B105" s="37" t="s">
        <v>1599</v>
      </c>
      <c r="C105" s="9"/>
      <c r="D105" s="36"/>
    </row>
    <row r="106" spans="1:4" ht="14.4" x14ac:dyDescent="0.3">
      <c r="A106" s="168" t="s">
        <v>1502</v>
      </c>
      <c r="B106" s="169" t="s">
        <v>1145</v>
      </c>
      <c r="C106" s="170"/>
      <c r="D106" s="20"/>
    </row>
    <row r="107" spans="1:4" ht="14.4" x14ac:dyDescent="0.3">
      <c r="A107" s="50" t="s">
        <v>1502</v>
      </c>
      <c r="B107" s="37" t="s">
        <v>1601</v>
      </c>
      <c r="C107" s="9"/>
      <c r="D107" s="36"/>
    </row>
    <row r="108" spans="1:4" ht="14.4" x14ac:dyDescent="0.3">
      <c r="A108" s="17"/>
      <c r="B108" s="14"/>
      <c r="C108" s="17"/>
      <c r="D108" s="17"/>
    </row>
    <row r="109" spans="1:4" ht="14.4" x14ac:dyDescent="0.3">
      <c r="A109" s="17"/>
      <c r="B109" s="14"/>
      <c r="C109" s="17"/>
      <c r="D109" s="17"/>
    </row>
    <row r="110" spans="1:4" ht="14.4" x14ac:dyDescent="0.3">
      <c r="A110" s="17"/>
      <c r="B110" s="15" t="s">
        <v>75</v>
      </c>
      <c r="C110" s="2">
        <f>COUNTIF($C$5:$C$107,"C")</f>
        <v>1</v>
      </c>
      <c r="D110" s="17"/>
    </row>
    <row r="111" spans="1:4" ht="14.4" x14ac:dyDescent="0.3">
      <c r="A111" s="17"/>
      <c r="B111" s="15" t="s">
        <v>81</v>
      </c>
      <c r="C111" s="2">
        <f>COUNTIF($C$5:$C$107,"NC")</f>
        <v>1</v>
      </c>
      <c r="D111" s="17"/>
    </row>
    <row r="112" spans="1:4" ht="14.4" x14ac:dyDescent="0.3">
      <c r="A112" s="17"/>
      <c r="B112" s="15" t="s">
        <v>84</v>
      </c>
      <c r="C112" s="2">
        <f>COUNTIF($C$5:$C$107,"NA")</f>
        <v>1</v>
      </c>
      <c r="D112" s="17"/>
    </row>
  </sheetData>
  <autoFilter ref="A7:D107" xr:uid="{00000000-0009-0000-0000-000013000000}"/>
  <mergeCells count="1">
    <mergeCell ref="A5:A6"/>
  </mergeCells>
  <conditionalFormatting sqref="C9:C12 C14:C15 C17:C18 C20:C33 C35 C37 C39:C44 C46 C48:C49 C51:C59 C61 C63:C66 C68:C73 C75 C77 C79:C98 C100 C102 C104:C105 C107">
    <cfRule type="beginsWith" dxfId="83" priority="1" operator="beginsWith" text="C">
      <formula>LEFT((C9),LEN("C"))=("C")</formula>
    </cfRule>
    <cfRule type="beginsWith" dxfId="82" priority="2" operator="beginsWith" text="NC">
      <formula>LEFT((C9),LEN("NC"))=("NC")</formula>
    </cfRule>
    <cfRule type="beginsWith" dxfId="81" priority="3" operator="beginsWith" text="NA">
      <formula>LEFT((C9),LEN("NA"))=("NA")</formula>
    </cfRule>
  </conditionalFormatting>
  <dataValidations count="1">
    <dataValidation type="list" allowBlank="1" sqref="C9:C12 C14:C15 C17:C18 C20:C33 C35 C37 C39:C44 C46 C48:C49 C51:C59 C61 C63:C66 C68:C73 C75 C77 C79:C98 C100 C102 C104:C105 C107" xr:uid="{00000000-0002-0000-1300-000000000000}">
      <formula1>"C,NC,NA"</formula1>
    </dataValidation>
  </dataValidations>
  <hyperlinks>
    <hyperlink ref="B1" location="'Tabla de contenido'!A1" display="VOLVER A TABLA DE CONTENIDO" xr:uid="{00000000-0004-0000-1300-000000000000}"/>
  </hyperlink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41B47"/>
  </sheetPr>
  <dimension ref="A1:X58"/>
  <sheetViews>
    <sheetView showGridLines="0" workbookViewId="0">
      <selection activeCell="B1" sqref="B1"/>
    </sheetView>
  </sheetViews>
  <sheetFormatPr baseColWidth="10" defaultColWidth="14.44140625" defaultRowHeight="15" customHeight="1" outlineLevelCol="1" x14ac:dyDescent="0.3"/>
  <cols>
    <col min="1" max="1" width="14.6640625" customWidth="1"/>
    <col min="2" max="2" width="55.5546875" customWidth="1"/>
    <col min="3" max="3" width="10.88671875" customWidth="1"/>
    <col min="4" max="4" width="25.33203125" hidden="1" customWidth="1" outlineLevel="1"/>
    <col min="5" max="5" width="1.77734375" customWidth="1" collapsed="1"/>
    <col min="6" max="6" width="10.88671875" customWidth="1"/>
    <col min="7" max="7" width="29" hidden="1" customWidth="1" outlineLevel="1"/>
    <col min="8" max="8" width="1.44140625" customWidth="1" collapsed="1"/>
    <col min="9" max="9" width="10.88671875" customWidth="1"/>
    <col min="10" max="10" width="25.77734375" hidden="1" customWidth="1" outlineLevel="1"/>
    <col min="11" max="11" width="1.88671875" customWidth="1" collapsed="1"/>
    <col min="12" max="12" width="11.109375" customWidth="1"/>
    <col min="13" max="13" width="20.44140625" hidden="1" customWidth="1" outlineLevel="1"/>
    <col min="14" max="14" width="2" customWidth="1" collapsed="1"/>
    <col min="15" max="15" width="10.88671875" customWidth="1"/>
    <col min="16" max="16" width="18.33203125" hidden="1" customWidth="1" outlineLevel="1"/>
    <col min="17" max="17" width="1.88671875" customWidth="1" collapsed="1"/>
    <col min="18" max="18" width="10.88671875" customWidth="1"/>
    <col min="19" max="19" width="13.88671875" hidden="1" customWidth="1" outlineLevel="1"/>
    <col min="20" max="20" width="1.77734375" customWidth="1" collapsed="1"/>
    <col min="21" max="21" width="10.88671875" customWidth="1"/>
    <col min="22" max="22" width="25.6640625" hidden="1" customWidth="1" outlineLevel="1"/>
    <col min="23" max="23" width="2.77734375" hidden="1" customWidth="1" outlineLevel="1"/>
    <col min="24" max="24" width="14.44140625" collapsed="1"/>
  </cols>
  <sheetData>
    <row r="1" spans="1:22" ht="14.4" x14ac:dyDescent="0.3">
      <c r="A1" s="269"/>
      <c r="B1" s="270" t="s">
        <v>0</v>
      </c>
      <c r="C1" s="269"/>
      <c r="D1" s="269"/>
      <c r="V1" s="2"/>
    </row>
    <row r="2" spans="1:22" ht="14.4" x14ac:dyDescent="0.3">
      <c r="A2" s="2"/>
      <c r="B2" s="98"/>
      <c r="C2" s="2">
        <v>1</v>
      </c>
      <c r="D2" s="2"/>
      <c r="E2" s="2"/>
      <c r="F2" s="2">
        <v>2</v>
      </c>
      <c r="G2" s="2"/>
      <c r="H2" s="2"/>
      <c r="I2" s="2">
        <v>3</v>
      </c>
      <c r="J2" s="2"/>
      <c r="K2" s="2"/>
      <c r="L2" s="2">
        <v>4</v>
      </c>
      <c r="M2" s="2"/>
      <c r="N2" s="2"/>
      <c r="O2" s="2">
        <v>5</v>
      </c>
      <c r="P2" s="2"/>
      <c r="Q2" s="2"/>
      <c r="R2" s="2">
        <v>6</v>
      </c>
      <c r="S2" s="2"/>
      <c r="T2" s="2"/>
      <c r="U2" s="2">
        <v>7</v>
      </c>
      <c r="V2" s="51"/>
    </row>
    <row r="3" spans="1:22" ht="27.6" x14ac:dyDescent="0.3">
      <c r="A3" s="74"/>
      <c r="B3" s="115" t="s">
        <v>919</v>
      </c>
      <c r="C3" s="116"/>
      <c r="D3" s="77"/>
      <c r="E3" s="2"/>
      <c r="F3" s="116"/>
      <c r="G3" s="175"/>
      <c r="H3" s="2"/>
      <c r="I3" s="176"/>
      <c r="J3" s="175"/>
      <c r="K3" s="2"/>
      <c r="L3" s="176"/>
      <c r="M3" s="175"/>
      <c r="N3" s="2"/>
      <c r="O3" s="176"/>
      <c r="P3" s="175"/>
      <c r="Q3" s="2"/>
      <c r="R3" s="116"/>
      <c r="S3" s="175"/>
      <c r="T3" s="2"/>
      <c r="U3" s="176"/>
      <c r="V3" s="5"/>
    </row>
    <row r="4" spans="1:22" ht="27.6" x14ac:dyDescent="0.3">
      <c r="A4" s="5"/>
      <c r="B4" s="18" t="s">
        <v>1580</v>
      </c>
      <c r="C4" s="177" t="s">
        <v>1581</v>
      </c>
      <c r="D4" s="51"/>
      <c r="E4" s="2"/>
      <c r="F4" s="177" t="s">
        <v>1583</v>
      </c>
      <c r="G4" s="51"/>
      <c r="H4" s="2"/>
      <c r="I4" s="177" t="s">
        <v>1585</v>
      </c>
      <c r="J4" s="51"/>
      <c r="K4" s="2"/>
      <c r="L4" s="177" t="s">
        <v>1586</v>
      </c>
      <c r="M4" s="51"/>
      <c r="N4" s="2"/>
      <c r="O4" s="177" t="s">
        <v>1587</v>
      </c>
      <c r="P4" s="51"/>
      <c r="Q4" s="2"/>
      <c r="R4" s="177" t="s">
        <v>1588</v>
      </c>
      <c r="S4" s="51"/>
      <c r="T4" s="2"/>
      <c r="U4" s="177" t="s">
        <v>1589</v>
      </c>
      <c r="V4" s="5" t="s">
        <v>11</v>
      </c>
    </row>
    <row r="5" spans="1:22" ht="14.4" x14ac:dyDescent="0.3">
      <c r="A5" s="5"/>
      <c r="B5" s="105" t="s">
        <v>922</v>
      </c>
      <c r="C5" s="101"/>
      <c r="D5" s="5"/>
      <c r="E5" s="2"/>
      <c r="F5" s="101"/>
      <c r="G5" s="5"/>
      <c r="H5" s="2"/>
      <c r="I5" s="101"/>
      <c r="J5" s="5"/>
      <c r="K5" s="2"/>
      <c r="L5" s="101"/>
      <c r="M5" s="5"/>
      <c r="N5" s="2"/>
      <c r="O5" s="101"/>
      <c r="P5" s="5"/>
      <c r="Q5" s="2"/>
      <c r="R5" s="101"/>
      <c r="S5" s="5"/>
      <c r="T5" s="2"/>
      <c r="U5" s="101"/>
      <c r="V5" s="52"/>
    </row>
    <row r="6" spans="1:22" ht="14.4" x14ac:dyDescent="0.3">
      <c r="A6" s="5" t="s">
        <v>7</v>
      </c>
      <c r="B6" s="105" t="s">
        <v>9</v>
      </c>
      <c r="C6" s="101" t="s">
        <v>10</v>
      </c>
      <c r="D6" s="5" t="s">
        <v>11</v>
      </c>
      <c r="E6" s="2"/>
      <c r="F6" s="101" t="s">
        <v>10</v>
      </c>
      <c r="G6" s="5" t="s">
        <v>11</v>
      </c>
      <c r="H6" s="2"/>
      <c r="I6" s="101" t="s">
        <v>10</v>
      </c>
      <c r="J6" s="5" t="s">
        <v>11</v>
      </c>
      <c r="K6" s="2"/>
      <c r="L6" s="101" t="s">
        <v>10</v>
      </c>
      <c r="M6" s="5" t="s">
        <v>11</v>
      </c>
      <c r="N6" s="2"/>
      <c r="O6" s="101" t="s">
        <v>10</v>
      </c>
      <c r="P6" s="5" t="s">
        <v>11</v>
      </c>
      <c r="Q6" s="2"/>
      <c r="R6" s="101" t="s">
        <v>10</v>
      </c>
      <c r="S6" s="5" t="s">
        <v>11</v>
      </c>
      <c r="T6" s="2"/>
      <c r="U6" s="101" t="s">
        <v>10</v>
      </c>
      <c r="V6" s="52"/>
    </row>
    <row r="7" spans="1:22" ht="27.6" x14ac:dyDescent="0.3">
      <c r="A7" s="178" t="s">
        <v>1593</v>
      </c>
      <c r="B7" s="21" t="s">
        <v>1595</v>
      </c>
      <c r="C7" s="170"/>
      <c r="D7" s="170"/>
      <c r="E7" s="170"/>
      <c r="F7" s="170"/>
      <c r="G7" s="170"/>
      <c r="H7" s="170"/>
      <c r="I7" s="170"/>
      <c r="J7" s="170"/>
      <c r="K7" s="170"/>
      <c r="L7" s="170"/>
      <c r="M7" s="170"/>
      <c r="N7" s="170"/>
      <c r="O7" s="170"/>
      <c r="P7" s="170"/>
      <c r="Q7" s="170"/>
      <c r="R7" s="170"/>
      <c r="S7" s="170"/>
      <c r="T7" s="170"/>
      <c r="U7" s="170"/>
      <c r="V7" s="38"/>
    </row>
    <row r="8" spans="1:22" ht="28.2" x14ac:dyDescent="0.3">
      <c r="A8" s="180" t="s">
        <v>1593</v>
      </c>
      <c r="B8" s="47" t="s">
        <v>1600</v>
      </c>
      <c r="C8" s="9" t="s">
        <v>16</v>
      </c>
      <c r="D8" s="38"/>
      <c r="E8" s="2"/>
      <c r="F8" s="9" t="s">
        <v>16</v>
      </c>
      <c r="G8" s="181"/>
      <c r="H8" s="179"/>
      <c r="I8" s="9" t="s">
        <v>16</v>
      </c>
      <c r="J8" s="38"/>
      <c r="K8" s="2"/>
      <c r="L8" s="9" t="s">
        <v>16</v>
      </c>
      <c r="M8" s="38"/>
      <c r="N8" s="2"/>
      <c r="O8" s="9" t="s">
        <v>16</v>
      </c>
      <c r="P8" s="52"/>
      <c r="Q8" s="2"/>
      <c r="R8" s="9" t="s">
        <v>16</v>
      </c>
      <c r="S8" s="52"/>
      <c r="T8" s="179"/>
      <c r="U8" s="9" t="s">
        <v>16</v>
      </c>
      <c r="V8" s="38"/>
    </row>
    <row r="9" spans="1:22" ht="110.4" x14ac:dyDescent="0.3">
      <c r="A9" s="180" t="s">
        <v>1593</v>
      </c>
      <c r="B9" s="47" t="s">
        <v>1602</v>
      </c>
      <c r="C9" s="9" t="s">
        <v>20</v>
      </c>
      <c r="D9" s="38"/>
      <c r="E9" s="2"/>
      <c r="F9" s="9" t="s">
        <v>20</v>
      </c>
      <c r="G9" s="38"/>
      <c r="H9" s="2"/>
      <c r="I9" s="9" t="s">
        <v>20</v>
      </c>
      <c r="J9" s="38"/>
      <c r="K9" s="2"/>
      <c r="L9" s="9" t="s">
        <v>20</v>
      </c>
      <c r="M9" s="38"/>
      <c r="N9" s="2"/>
      <c r="O9" s="9" t="s">
        <v>20</v>
      </c>
      <c r="P9" s="52"/>
      <c r="Q9" s="2"/>
      <c r="R9" s="9" t="s">
        <v>20</v>
      </c>
      <c r="S9" s="52"/>
      <c r="T9" s="179"/>
      <c r="U9" s="9" t="s">
        <v>20</v>
      </c>
      <c r="V9" s="38"/>
    </row>
    <row r="10" spans="1:22" ht="55.2" x14ac:dyDescent="0.3">
      <c r="A10" s="180" t="s">
        <v>1593</v>
      </c>
      <c r="B10" s="47" t="s">
        <v>1603</v>
      </c>
      <c r="C10" s="9" t="s">
        <v>24</v>
      </c>
      <c r="D10" s="38"/>
      <c r="E10" s="2"/>
      <c r="F10" s="9" t="s">
        <v>24</v>
      </c>
      <c r="G10" s="38"/>
      <c r="H10" s="2"/>
      <c r="I10" s="9" t="s">
        <v>24</v>
      </c>
      <c r="J10" s="38"/>
      <c r="K10" s="2"/>
      <c r="L10" s="9" t="s">
        <v>24</v>
      </c>
      <c r="M10" s="38"/>
      <c r="N10" s="2"/>
      <c r="O10" s="9" t="s">
        <v>24</v>
      </c>
      <c r="P10" s="52"/>
      <c r="Q10" s="2"/>
      <c r="R10" s="9" t="s">
        <v>24</v>
      </c>
      <c r="S10" s="52"/>
      <c r="T10" s="179"/>
      <c r="U10" s="9" t="s">
        <v>24</v>
      </c>
      <c r="V10" s="38"/>
    </row>
    <row r="11" spans="1:22" ht="14.4" x14ac:dyDescent="0.3">
      <c r="A11" s="178" t="s">
        <v>1593</v>
      </c>
      <c r="B11" s="21" t="s">
        <v>1604</v>
      </c>
      <c r="C11" s="170"/>
      <c r="D11" s="170"/>
      <c r="E11" s="170"/>
      <c r="F11" s="170"/>
      <c r="G11" s="170"/>
      <c r="H11" s="170"/>
      <c r="I11" s="170"/>
      <c r="J11" s="170"/>
      <c r="K11" s="170"/>
      <c r="L11" s="170"/>
      <c r="M11" s="170"/>
      <c r="N11" s="170"/>
      <c r="O11" s="170"/>
      <c r="P11" s="170"/>
      <c r="Q11" s="170"/>
      <c r="R11" s="170"/>
      <c r="S11" s="170"/>
      <c r="T11" s="170"/>
      <c r="U11" s="170"/>
      <c r="V11" s="38"/>
    </row>
    <row r="12" spans="1:22" ht="27.6" x14ac:dyDescent="0.3">
      <c r="A12" s="180" t="s">
        <v>1593</v>
      </c>
      <c r="B12" s="47" t="s">
        <v>1293</v>
      </c>
      <c r="C12" s="9"/>
      <c r="D12" s="38"/>
      <c r="E12" s="2"/>
      <c r="F12" s="9"/>
      <c r="G12" s="38"/>
      <c r="H12" s="2"/>
      <c r="I12" s="9"/>
      <c r="J12" s="38"/>
      <c r="K12" s="2"/>
      <c r="L12" s="9"/>
      <c r="M12" s="38"/>
      <c r="N12" s="2"/>
      <c r="O12" s="9"/>
      <c r="P12" s="52"/>
      <c r="Q12" s="2"/>
      <c r="R12" s="9"/>
      <c r="S12" s="52"/>
      <c r="T12" s="179"/>
      <c r="U12" s="9"/>
      <c r="V12" s="38"/>
    </row>
    <row r="13" spans="1:22" ht="138" x14ac:dyDescent="0.3">
      <c r="A13" s="180" t="s">
        <v>1593</v>
      </c>
      <c r="B13" s="47" t="s">
        <v>1605</v>
      </c>
      <c r="C13" s="9"/>
      <c r="D13" s="38"/>
      <c r="E13" s="2"/>
      <c r="F13" s="9"/>
      <c r="G13" s="38"/>
      <c r="H13" s="2"/>
      <c r="I13" s="9"/>
      <c r="J13" s="38"/>
      <c r="K13" s="2"/>
      <c r="L13" s="9"/>
      <c r="M13" s="38"/>
      <c r="N13" s="2"/>
      <c r="O13" s="9"/>
      <c r="P13" s="52"/>
      <c r="Q13" s="2"/>
      <c r="R13" s="9"/>
      <c r="S13" s="52"/>
      <c r="T13" s="179"/>
      <c r="U13" s="9"/>
      <c r="V13" s="38"/>
    </row>
    <row r="14" spans="1:22" ht="27.6" x14ac:dyDescent="0.3">
      <c r="A14" s="178" t="s">
        <v>1606</v>
      </c>
      <c r="B14" s="21" t="s">
        <v>1136</v>
      </c>
      <c r="C14" s="170"/>
      <c r="D14" s="170"/>
      <c r="E14" s="170"/>
      <c r="F14" s="170"/>
      <c r="G14" s="170"/>
      <c r="H14" s="170"/>
      <c r="I14" s="170"/>
      <c r="J14" s="170"/>
      <c r="K14" s="170"/>
      <c r="L14" s="170"/>
      <c r="M14" s="170"/>
      <c r="N14" s="170"/>
      <c r="O14" s="170"/>
      <c r="P14" s="170"/>
      <c r="Q14" s="170"/>
      <c r="R14" s="170"/>
      <c r="S14" s="170"/>
      <c r="T14" s="170"/>
      <c r="U14" s="170"/>
      <c r="V14" s="38"/>
    </row>
    <row r="15" spans="1:22" ht="27.6" x14ac:dyDescent="0.3">
      <c r="A15" s="180" t="s">
        <v>1606</v>
      </c>
      <c r="B15" s="47" t="s">
        <v>1608</v>
      </c>
      <c r="C15" s="9"/>
      <c r="D15" s="38"/>
      <c r="E15" s="2"/>
      <c r="F15" s="9"/>
      <c r="G15" s="38"/>
      <c r="H15" s="2"/>
      <c r="I15" s="9"/>
      <c r="J15" s="38"/>
      <c r="K15" s="2"/>
      <c r="L15" s="9"/>
      <c r="M15" s="38"/>
      <c r="N15" s="2"/>
      <c r="O15" s="9"/>
      <c r="P15" s="52"/>
      <c r="Q15" s="2"/>
      <c r="R15" s="9"/>
      <c r="S15" s="52"/>
      <c r="T15" s="179"/>
      <c r="U15" s="9"/>
      <c r="V15" s="38"/>
    </row>
    <row r="16" spans="1:22" ht="14.4" x14ac:dyDescent="0.3">
      <c r="A16" s="178" t="s">
        <v>1606</v>
      </c>
      <c r="B16" s="21" t="s">
        <v>1084</v>
      </c>
      <c r="C16" s="56"/>
      <c r="D16" s="56"/>
      <c r="E16" s="56"/>
      <c r="F16" s="56"/>
      <c r="G16" s="56"/>
      <c r="H16" s="56"/>
      <c r="I16" s="56"/>
      <c r="J16" s="56"/>
      <c r="K16" s="56"/>
      <c r="L16" s="56"/>
      <c r="M16" s="56"/>
      <c r="N16" s="56"/>
      <c r="O16" s="56"/>
      <c r="P16" s="56"/>
      <c r="Q16" s="56"/>
      <c r="R16" s="56"/>
      <c r="S16" s="56"/>
      <c r="T16" s="56"/>
      <c r="U16" s="56"/>
      <c r="V16" s="183"/>
    </row>
    <row r="17" spans="1:4" ht="14.4" x14ac:dyDescent="0.3">
      <c r="A17" s="180" t="s">
        <v>1606</v>
      </c>
      <c r="B17" s="185" t="s">
        <v>1610</v>
      </c>
      <c r="C17" s="9"/>
      <c r="D17" s="38"/>
    </row>
    <row r="18" spans="1:4" ht="14.4" x14ac:dyDescent="0.3">
      <c r="A18" s="180" t="s">
        <v>1606</v>
      </c>
      <c r="B18" s="47" t="s">
        <v>1616</v>
      </c>
      <c r="C18" s="9"/>
      <c r="D18" s="55"/>
    </row>
    <row r="19" spans="1:4" ht="14.4" x14ac:dyDescent="0.3">
      <c r="A19" s="180" t="s">
        <v>1606</v>
      </c>
      <c r="B19" s="186" t="s">
        <v>1620</v>
      </c>
      <c r="C19" s="9"/>
      <c r="D19" s="52"/>
    </row>
    <row r="20" spans="1:4" ht="14.4" x14ac:dyDescent="0.3">
      <c r="A20" s="178" t="s">
        <v>1606</v>
      </c>
      <c r="B20" s="21" t="s">
        <v>1342</v>
      </c>
      <c r="C20" s="170"/>
      <c r="D20" s="170"/>
    </row>
    <row r="21" spans="1:4" ht="14.4" x14ac:dyDescent="0.3">
      <c r="A21" s="180" t="s">
        <v>1606</v>
      </c>
      <c r="B21" s="47" t="s">
        <v>1450</v>
      </c>
      <c r="C21" s="9"/>
      <c r="D21" s="38"/>
    </row>
    <row r="22" spans="1:4" ht="14.4" x14ac:dyDescent="0.3">
      <c r="A22" s="180" t="s">
        <v>1606</v>
      </c>
      <c r="B22" s="47" t="s">
        <v>1632</v>
      </c>
      <c r="C22" s="9"/>
      <c r="D22" s="38"/>
    </row>
    <row r="23" spans="1:4" ht="96.6" x14ac:dyDescent="0.3">
      <c r="A23" s="180" t="s">
        <v>1606</v>
      </c>
      <c r="B23" s="47" t="s">
        <v>1638</v>
      </c>
      <c r="C23" s="9"/>
      <c r="D23" s="38"/>
    </row>
    <row r="24" spans="1:4" ht="14.4" x14ac:dyDescent="0.3">
      <c r="A24" s="178" t="s">
        <v>1606</v>
      </c>
      <c r="B24" s="21" t="s">
        <v>1145</v>
      </c>
      <c r="C24" s="170"/>
      <c r="D24" s="170"/>
    </row>
    <row r="25" spans="1:4" ht="27.6" x14ac:dyDescent="0.3">
      <c r="A25" s="180" t="s">
        <v>1606</v>
      </c>
      <c r="B25" s="47" t="s">
        <v>1304</v>
      </c>
      <c r="C25" s="9"/>
      <c r="D25" s="38"/>
    </row>
    <row r="26" spans="1:4" ht="27.6" x14ac:dyDescent="0.3">
      <c r="A26" s="178" t="s">
        <v>1647</v>
      </c>
      <c r="B26" s="21" t="s">
        <v>1136</v>
      </c>
      <c r="C26" s="170"/>
      <c r="D26" s="170"/>
    </row>
    <row r="27" spans="1:4" ht="55.2" x14ac:dyDescent="0.3">
      <c r="A27" s="180" t="s">
        <v>1647</v>
      </c>
      <c r="B27" s="47" t="s">
        <v>1652</v>
      </c>
      <c r="C27" s="9"/>
      <c r="D27" s="38"/>
    </row>
    <row r="28" spans="1:4" ht="41.4" x14ac:dyDescent="0.3">
      <c r="A28" s="180" t="s">
        <v>1647</v>
      </c>
      <c r="B28" s="125" t="s">
        <v>1657</v>
      </c>
      <c r="C28" s="9"/>
      <c r="D28" s="38"/>
    </row>
    <row r="29" spans="1:4" ht="41.4" x14ac:dyDescent="0.3">
      <c r="A29" s="180" t="s">
        <v>1647</v>
      </c>
      <c r="B29" s="125" t="s">
        <v>1662</v>
      </c>
      <c r="C29" s="9"/>
      <c r="D29" s="38"/>
    </row>
    <row r="30" spans="1:4" ht="41.4" x14ac:dyDescent="0.3">
      <c r="A30" s="180" t="s">
        <v>1647</v>
      </c>
      <c r="B30" s="125" t="s">
        <v>1667</v>
      </c>
      <c r="C30" s="9"/>
      <c r="D30" s="38"/>
    </row>
    <row r="31" spans="1:4" ht="41.4" x14ac:dyDescent="0.3">
      <c r="A31" s="178" t="s">
        <v>1647</v>
      </c>
      <c r="B31" s="21" t="s">
        <v>1672</v>
      </c>
      <c r="C31" s="170"/>
      <c r="D31" s="170"/>
    </row>
    <row r="32" spans="1:4" ht="27.6" x14ac:dyDescent="0.3">
      <c r="A32" s="180" t="s">
        <v>1647</v>
      </c>
      <c r="B32" s="125" t="s">
        <v>1677</v>
      </c>
      <c r="C32" s="9"/>
      <c r="D32" s="38"/>
    </row>
    <row r="33" spans="1:4" ht="27.6" x14ac:dyDescent="0.3">
      <c r="A33" s="178" t="s">
        <v>1683</v>
      </c>
      <c r="B33" s="21" t="s">
        <v>1136</v>
      </c>
      <c r="C33" s="170"/>
      <c r="D33" s="170"/>
    </row>
    <row r="34" spans="1:4" ht="27.6" x14ac:dyDescent="0.3">
      <c r="A34" s="180" t="s">
        <v>1683</v>
      </c>
      <c r="B34" s="125" t="s">
        <v>1687</v>
      </c>
      <c r="C34" s="9"/>
      <c r="D34" s="52"/>
    </row>
    <row r="35" spans="1:4" ht="41.4" x14ac:dyDescent="0.3">
      <c r="A35" s="180" t="s">
        <v>1683</v>
      </c>
      <c r="B35" s="125" t="s">
        <v>1692</v>
      </c>
      <c r="C35" s="9"/>
      <c r="D35" s="38"/>
    </row>
    <row r="36" spans="1:4" ht="55.2" x14ac:dyDescent="0.3">
      <c r="A36" s="180" t="s">
        <v>1683</v>
      </c>
      <c r="B36" s="125" t="s">
        <v>1697</v>
      </c>
      <c r="C36" s="9"/>
      <c r="D36" s="38"/>
    </row>
    <row r="37" spans="1:4" ht="14.4" x14ac:dyDescent="0.3">
      <c r="A37" s="178" t="s">
        <v>1683</v>
      </c>
      <c r="B37" s="21" t="s">
        <v>1145</v>
      </c>
      <c r="C37" s="170"/>
      <c r="D37" s="170"/>
    </row>
    <row r="38" spans="1:4" ht="27.6" x14ac:dyDescent="0.3">
      <c r="A38" s="180" t="s">
        <v>1683</v>
      </c>
      <c r="B38" s="125" t="s">
        <v>1034</v>
      </c>
      <c r="C38" s="9"/>
      <c r="D38" s="52"/>
    </row>
    <row r="39" spans="1:4" ht="41.4" x14ac:dyDescent="0.3">
      <c r="A39" s="180" t="s">
        <v>1707</v>
      </c>
      <c r="B39" s="125" t="s">
        <v>1709</v>
      </c>
      <c r="C39" s="9"/>
      <c r="D39" s="52"/>
    </row>
    <row r="40" spans="1:4" ht="27.6" x14ac:dyDescent="0.3">
      <c r="A40" s="180" t="s">
        <v>1707</v>
      </c>
      <c r="B40" s="125" t="s">
        <v>1714</v>
      </c>
      <c r="C40" s="9"/>
      <c r="D40" s="38"/>
    </row>
    <row r="41" spans="1:4" ht="27.6" x14ac:dyDescent="0.3">
      <c r="A41" s="180" t="s">
        <v>1707</v>
      </c>
      <c r="B41" s="125" t="s">
        <v>1719</v>
      </c>
      <c r="C41" s="9"/>
      <c r="D41" s="38"/>
    </row>
    <row r="42" spans="1:4" ht="27.6" x14ac:dyDescent="0.3">
      <c r="A42" s="180" t="s">
        <v>1707</v>
      </c>
      <c r="B42" s="125" t="s">
        <v>1723</v>
      </c>
      <c r="C42" s="9"/>
      <c r="D42" s="38"/>
    </row>
    <row r="43" spans="1:4" ht="14.4" x14ac:dyDescent="0.3">
      <c r="A43" s="180" t="s">
        <v>1707</v>
      </c>
      <c r="B43" s="125" t="s">
        <v>1726</v>
      </c>
      <c r="C43" s="9"/>
      <c r="D43" s="38"/>
    </row>
    <row r="44" spans="1:4" ht="41.4" x14ac:dyDescent="0.3">
      <c r="A44" s="180" t="s">
        <v>1707</v>
      </c>
      <c r="B44" s="125" t="s">
        <v>1729</v>
      </c>
      <c r="C44" s="9"/>
      <c r="D44" s="38"/>
    </row>
    <row r="45" spans="1:4" ht="14.4" x14ac:dyDescent="0.3">
      <c r="A45" s="178" t="s">
        <v>1707</v>
      </c>
      <c r="B45" s="21" t="s">
        <v>1145</v>
      </c>
      <c r="C45" s="170"/>
      <c r="D45" s="170"/>
    </row>
    <row r="46" spans="1:4" ht="27.6" x14ac:dyDescent="0.3">
      <c r="A46" s="180" t="s">
        <v>1707</v>
      </c>
      <c r="B46" s="125" t="s">
        <v>1736</v>
      </c>
      <c r="C46" s="9"/>
      <c r="D46" s="38"/>
    </row>
    <row r="47" spans="1:4" ht="27.6" x14ac:dyDescent="0.3">
      <c r="A47" s="178" t="s">
        <v>1737</v>
      </c>
      <c r="B47" s="21" t="s">
        <v>1738</v>
      </c>
      <c r="C47" s="170"/>
      <c r="D47" s="170"/>
    </row>
    <row r="48" spans="1:4" ht="27.6" x14ac:dyDescent="0.3">
      <c r="A48" s="180" t="s">
        <v>1737</v>
      </c>
      <c r="B48" s="125" t="s">
        <v>1739</v>
      </c>
      <c r="C48" s="9"/>
      <c r="D48" s="38"/>
    </row>
    <row r="49" spans="1:21" ht="14.4" x14ac:dyDescent="0.3">
      <c r="A49" s="178" t="s">
        <v>1740</v>
      </c>
      <c r="B49" s="21" t="s">
        <v>1741</v>
      </c>
      <c r="C49" s="170"/>
      <c r="D49" s="170"/>
      <c r="E49" s="170"/>
      <c r="F49" s="170"/>
      <c r="G49" s="170"/>
      <c r="H49" s="170"/>
      <c r="I49" s="170"/>
      <c r="J49" s="170"/>
      <c r="K49" s="170"/>
      <c r="L49" s="170"/>
      <c r="M49" s="170"/>
      <c r="N49" s="170"/>
      <c r="O49" s="170"/>
      <c r="P49" s="170"/>
      <c r="Q49" s="170"/>
      <c r="R49" s="170"/>
      <c r="S49" s="170"/>
      <c r="T49" s="170"/>
      <c r="U49" s="170"/>
    </row>
    <row r="50" spans="1:21" ht="27.6" x14ac:dyDescent="0.3">
      <c r="A50" s="180" t="s">
        <v>1740</v>
      </c>
      <c r="B50" s="47" t="s">
        <v>1742</v>
      </c>
      <c r="C50" s="9"/>
      <c r="D50" s="38"/>
      <c r="E50" s="2"/>
      <c r="F50" s="9"/>
      <c r="G50" s="38"/>
      <c r="H50" s="2"/>
      <c r="I50" s="9"/>
      <c r="J50" s="38"/>
      <c r="K50" s="2"/>
      <c r="L50" s="9"/>
      <c r="M50" s="38"/>
      <c r="N50" s="2"/>
      <c r="O50" s="9"/>
      <c r="P50" s="52"/>
      <c r="Q50" s="2"/>
      <c r="R50" s="9"/>
      <c r="S50" s="52"/>
      <c r="T50" s="179"/>
      <c r="U50" s="9"/>
    </row>
    <row r="51" spans="1:21" ht="41.4" x14ac:dyDescent="0.3">
      <c r="A51" s="180" t="s">
        <v>1740</v>
      </c>
      <c r="B51" s="47" t="s">
        <v>1743</v>
      </c>
      <c r="C51" s="9"/>
      <c r="D51" s="38"/>
      <c r="E51" s="2"/>
      <c r="F51" s="9"/>
      <c r="G51" s="38"/>
      <c r="H51" s="2"/>
      <c r="I51" s="9"/>
      <c r="J51" s="38"/>
      <c r="K51" s="2"/>
      <c r="L51" s="9"/>
      <c r="M51" s="38"/>
      <c r="N51" s="2"/>
      <c r="O51" s="9"/>
      <c r="P51" s="52"/>
      <c r="Q51" s="2"/>
      <c r="R51" s="9"/>
      <c r="S51" s="52"/>
      <c r="T51" s="179"/>
      <c r="U51" s="9"/>
    </row>
    <row r="52" spans="1:21" ht="27.6" x14ac:dyDescent="0.3">
      <c r="A52" s="178" t="s">
        <v>1740</v>
      </c>
      <c r="B52" s="21" t="s">
        <v>1744</v>
      </c>
      <c r="C52" s="170"/>
      <c r="D52" s="170"/>
      <c r="E52" s="170"/>
      <c r="F52" s="170"/>
      <c r="G52" s="170"/>
      <c r="H52" s="170"/>
      <c r="I52" s="170"/>
      <c r="J52" s="170"/>
      <c r="K52" s="170"/>
      <c r="L52" s="170"/>
      <c r="M52" s="170"/>
      <c r="N52" s="170"/>
      <c r="O52" s="170"/>
      <c r="P52" s="170"/>
      <c r="Q52" s="170"/>
      <c r="R52" s="170"/>
      <c r="S52" s="170"/>
      <c r="T52" s="170"/>
      <c r="U52" s="170"/>
    </row>
    <row r="53" spans="1:21" ht="14.4" x14ac:dyDescent="0.3">
      <c r="A53" s="180" t="s">
        <v>1740</v>
      </c>
      <c r="B53" s="47" t="s">
        <v>1745</v>
      </c>
      <c r="C53" s="9"/>
      <c r="D53" s="38"/>
      <c r="E53" s="2"/>
      <c r="F53" s="9"/>
      <c r="G53" s="38"/>
      <c r="H53" s="2"/>
      <c r="I53" s="9"/>
      <c r="J53" s="38"/>
      <c r="K53" s="2"/>
      <c r="L53" s="9"/>
      <c r="M53" s="38"/>
      <c r="N53" s="2"/>
      <c r="O53" s="9"/>
      <c r="P53" s="52"/>
      <c r="Q53" s="2"/>
      <c r="R53" s="9"/>
      <c r="S53" s="52"/>
      <c r="T53" s="179"/>
      <c r="U53" s="9"/>
    </row>
    <row r="54" spans="1:21" ht="14.4" x14ac:dyDescent="0.3">
      <c r="A54" s="2"/>
      <c r="B54" s="98"/>
      <c r="C54" s="2"/>
      <c r="D54" s="2"/>
      <c r="E54" s="2"/>
      <c r="F54" s="2"/>
      <c r="G54" s="2"/>
      <c r="H54" s="2"/>
      <c r="I54" s="2"/>
      <c r="J54" s="2"/>
      <c r="K54" s="2"/>
      <c r="L54" s="2"/>
      <c r="M54" s="2"/>
      <c r="N54" s="2"/>
      <c r="O54" s="2"/>
      <c r="P54" s="2"/>
      <c r="Q54" s="2"/>
      <c r="R54" s="2"/>
      <c r="S54" s="2"/>
      <c r="T54" s="2"/>
      <c r="U54" s="2"/>
    </row>
    <row r="55" spans="1:21" ht="14.4" x14ac:dyDescent="0.3">
      <c r="A55" s="2"/>
      <c r="B55" s="98"/>
      <c r="C55" s="2"/>
      <c r="D55" s="2"/>
      <c r="E55" s="2"/>
      <c r="F55" s="2"/>
      <c r="G55" s="2"/>
      <c r="H55" s="2"/>
      <c r="I55" s="2"/>
      <c r="J55" s="2"/>
      <c r="K55" s="2"/>
      <c r="L55" s="2"/>
      <c r="M55" s="2"/>
      <c r="N55" s="2"/>
      <c r="O55" s="2"/>
      <c r="P55" s="2"/>
      <c r="Q55" s="2"/>
      <c r="R55" s="2"/>
      <c r="S55" s="2"/>
      <c r="T55" s="2"/>
      <c r="U55" s="2"/>
    </row>
    <row r="56" spans="1:21" ht="14.4" x14ac:dyDescent="0.3">
      <c r="A56" s="2"/>
      <c r="B56" s="15" t="s">
        <v>75</v>
      </c>
      <c r="C56" s="2">
        <f>COUNTIF($C$5:$C$53,"C")</f>
        <v>1</v>
      </c>
      <c r="D56" s="2"/>
      <c r="E56" s="2"/>
      <c r="F56" s="2">
        <f>COUNTIF($F$5:$F$53,"C")</f>
        <v>1</v>
      </c>
      <c r="G56" s="2"/>
      <c r="H56" s="2"/>
      <c r="I56" s="2">
        <f>COUNTIF($I$5:$I$53,"C")</f>
        <v>1</v>
      </c>
      <c r="J56" s="2"/>
      <c r="K56" s="2"/>
      <c r="L56" s="2">
        <f>COUNTIF($L$5:$L$53,"C")</f>
        <v>1</v>
      </c>
      <c r="M56" s="2"/>
      <c r="N56" s="2"/>
      <c r="O56" s="2">
        <f>COUNTIF($O$5:$O$53,"C")</f>
        <v>1</v>
      </c>
      <c r="P56" s="2"/>
      <c r="Q56" s="2"/>
      <c r="R56" s="2">
        <f>COUNTIF($R$5:$R$53,"C")</f>
        <v>1</v>
      </c>
      <c r="S56" s="2"/>
      <c r="T56" s="2"/>
      <c r="U56" s="2">
        <f>COUNTIF($U$5:$U$53,"C")</f>
        <v>1</v>
      </c>
    </row>
    <row r="57" spans="1:21" ht="14.4" x14ac:dyDescent="0.3">
      <c r="A57" s="2"/>
      <c r="B57" s="15" t="s">
        <v>81</v>
      </c>
      <c r="C57" s="2">
        <f>COUNTIF($C$5:$C$53,"NC")</f>
        <v>1</v>
      </c>
      <c r="D57" s="2"/>
      <c r="E57" s="2"/>
      <c r="F57" s="2">
        <f>COUNTIF($F$5:$F$53,"NC")</f>
        <v>1</v>
      </c>
      <c r="G57" s="2"/>
      <c r="H57" s="2"/>
      <c r="I57" s="2">
        <f>COUNTIF($I$5:$I$53,"NC")</f>
        <v>1</v>
      </c>
      <c r="J57" s="2"/>
      <c r="K57" s="2"/>
      <c r="L57" s="2">
        <f>COUNTIF($L$5:$L$53,"NC")</f>
        <v>1</v>
      </c>
      <c r="M57" s="2"/>
      <c r="N57" s="2"/>
      <c r="O57" s="2">
        <f>COUNTIF($O$5:$O$53,"NC")</f>
        <v>1</v>
      </c>
      <c r="P57" s="2"/>
      <c r="Q57" s="2"/>
      <c r="R57" s="2">
        <f>COUNTIF($R$5:$R$53,"NC")</f>
        <v>1</v>
      </c>
      <c r="S57" s="2"/>
      <c r="T57" s="2"/>
      <c r="U57" s="2">
        <f>COUNTIF($U$5:$U$53,"NC")</f>
        <v>1</v>
      </c>
    </row>
    <row r="58" spans="1:21" ht="14.4" x14ac:dyDescent="0.3">
      <c r="A58" s="2"/>
      <c r="B58" s="15" t="s">
        <v>84</v>
      </c>
      <c r="C58" s="2">
        <f>COUNTIF($C$5:$C$53,"NA")</f>
        <v>1</v>
      </c>
      <c r="D58" s="2"/>
      <c r="E58" s="2"/>
      <c r="F58" s="2">
        <f>COUNTIF($F$5:$F$53,"NA")</f>
        <v>1</v>
      </c>
      <c r="G58" s="2"/>
      <c r="H58" s="2"/>
      <c r="I58" s="2">
        <f>COUNTIF($I$5:$I$53,"NA")</f>
        <v>1</v>
      </c>
      <c r="J58" s="2"/>
      <c r="K58" s="2"/>
      <c r="L58" s="2">
        <f>COUNTIF($L$5:$L$53,"NA")</f>
        <v>1</v>
      </c>
      <c r="M58" s="2"/>
      <c r="N58" s="2"/>
      <c r="O58" s="2">
        <f>COUNTIF($O$5:$O$53,"NA")</f>
        <v>1</v>
      </c>
      <c r="P58" s="2"/>
      <c r="Q58" s="2"/>
      <c r="R58" s="2">
        <f>COUNTIF($R$5:$R$53,"NA")</f>
        <v>1</v>
      </c>
      <c r="S58" s="2"/>
      <c r="T58" s="2"/>
      <c r="U58" s="2">
        <f>COUNTIF($U$5:$U$53,"NA")</f>
        <v>1</v>
      </c>
    </row>
  </sheetData>
  <autoFilter ref="A6:U53" xr:uid="{00000000-0009-0000-0000-000014000000}"/>
  <conditionalFormatting sqref="C8:C10 F8:F10 I8:I10 L8:L10 O8:O10 R8:R10 U8:U10 C12:C13 F12:F13 I12:I13 L12:L13 O12:O13 R12:R13 U12:U13 C15 F15 I15 L15 O15 R15 U15 C17:C19 F17:F19 I17:I19 L17:L19 O17:O19 R17:R19 U17:U19 C21:C23 F21:F23 I21:I23 L21:L23 O21:O23 R21:R23 U21:U23 C25 F25 I25 L25 O25 R25 U25 C27:C30 F27:F30 I27:I30 L27:L30 O27:O30 R27:R30 U27:U30 C32 F32 I32 L32 O32 R32 U32 C34:C36 F34:F36 I34:I36 L34:L36 O34:O36 R34:R36 U34:U36 C38:C44 F38:F44 I38:I44 L38:L44 O38:O44 R38:R44 U38:U44 C46 F46 I46 L46 O46 R46 U46 C48 F48 I48 L48 O48 R48 U48 C50:C51 F50:F51 I50:I51 L50:L51 O50:O51 R50:R51 U50:U51 C53 F53 I53 L53 O53 R53 U53">
    <cfRule type="beginsWith" dxfId="80" priority="1" operator="beginsWith" text="C">
      <formula>LEFT((C8),LEN("C"))=("C")</formula>
    </cfRule>
    <cfRule type="beginsWith" dxfId="79" priority="2" operator="beginsWith" text="NC">
      <formula>LEFT((C8),LEN("NC"))=("NC")</formula>
    </cfRule>
    <cfRule type="beginsWith" dxfId="78" priority="3" operator="beginsWith" text="NA">
      <formula>LEFT((C8),LEN("NA"))=("NA")</formula>
    </cfRule>
  </conditionalFormatting>
  <dataValidations count="1">
    <dataValidation type="list" allowBlank="1" sqref="C8:C10 F8:F10 I8:I10 L8:L10 O8:O10 R8:R10 U8:U10 C12:C13 F12:F13 I12:I13 L12:L13 O12:O13 R12:R13 U12:U13 C15 F15 I15 L15 O15 R15 U15 C17:C19 F17:F19 I17:I19 L17:L19 O17:O19 R17:R19 U17:U19 C21:C23 F21:F23 I21:I23 L21:L23 O21:O23 R21:R23 U21:U23 C25 F25 I25 L25 O25 R25 U25 C27:C30 F27:F30 I27:I30 L27:L30 O27:O30 R27:R30 U27:U30 C32 F32 I32 L32 O32 R32 U32 C34:C36 F34:F36 I34:I36 L34:L36 O34:O36 R34:R36 U34:U36 C38:C44 F38:F44 I38:I44 L38:L44 O38:O44 R38:R44 U38:U44 C46 F46 I46 L46 O46 R46 U46 C48 F48 I48 L48 O48 R48 U48 C50:C51 F50:F51 I50:I51 L50:L51 O50:O51 R50:R51 U50:U51 C53 F53 I53 L53 O53 R53 U53" xr:uid="{00000000-0002-0000-1400-000000000000}">
      <formula1>"C,NC,NA"</formula1>
    </dataValidation>
  </dataValidations>
  <hyperlinks>
    <hyperlink ref="B1" location="'Tabla de contenido'!A1" display="VOLVER A TABLA DE CONTENIDO" xr:uid="{00000000-0004-0000-1400-000000000000}"/>
  </hyperlinks>
  <pageMargins left="0.7" right="0.7" top="0.75" bottom="0.75" header="0" footer="0"/>
  <pageSetup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41B47"/>
  </sheetPr>
  <dimension ref="A1:D121"/>
  <sheetViews>
    <sheetView showGridLines="0" workbookViewId="0">
      <selection sqref="A1:D1"/>
    </sheetView>
  </sheetViews>
  <sheetFormatPr baseColWidth="10" defaultColWidth="14.44140625" defaultRowHeight="15" customHeight="1" outlineLevelCol="1" x14ac:dyDescent="0.3"/>
  <cols>
    <col min="1" max="1" width="12.88671875" customWidth="1"/>
    <col min="2" max="2" width="67.77734375" customWidth="1"/>
    <col min="3" max="3" width="13" customWidth="1"/>
    <col min="4" max="4" width="25.33203125" customWidth="1" outlineLevel="1"/>
    <col min="5" max="5" width="1.77734375" customWidth="1"/>
    <col min="6" max="6" width="14.44140625" customWidth="1"/>
  </cols>
  <sheetData>
    <row r="1" spans="1:4" ht="14.4" x14ac:dyDescent="0.3">
      <c r="A1" s="269"/>
      <c r="B1" s="270" t="s">
        <v>0</v>
      </c>
      <c r="C1" s="269"/>
      <c r="D1" s="269"/>
    </row>
    <row r="2" spans="1:4" ht="14.4" x14ac:dyDescent="0.3">
      <c r="A2" s="74"/>
      <c r="B2" s="115" t="s">
        <v>919</v>
      </c>
      <c r="C2" s="116"/>
      <c r="D2" s="77"/>
    </row>
    <row r="3" spans="1:4" ht="14.4" x14ac:dyDescent="0.3">
      <c r="A3" s="6"/>
      <c r="B3" s="40" t="s">
        <v>1607</v>
      </c>
      <c r="C3" s="182"/>
      <c r="D3" s="19"/>
    </row>
    <row r="4" spans="1:4" ht="14.4" x14ac:dyDescent="0.3">
      <c r="A4" s="6" t="s">
        <v>7</v>
      </c>
      <c r="B4" s="40" t="s">
        <v>9</v>
      </c>
      <c r="C4" s="177" t="s">
        <v>10</v>
      </c>
      <c r="D4" s="6" t="s">
        <v>11</v>
      </c>
    </row>
    <row r="5" spans="1:4" ht="14.4" x14ac:dyDescent="0.3">
      <c r="A5" s="168" t="s">
        <v>1609</v>
      </c>
      <c r="B5" s="184" t="s">
        <v>1217</v>
      </c>
      <c r="C5" s="170"/>
      <c r="D5" s="45"/>
    </row>
    <row r="6" spans="1:4" ht="14.4" x14ac:dyDescent="0.3">
      <c r="A6" s="168" t="s">
        <v>1609</v>
      </c>
      <c r="B6" s="184" t="s">
        <v>1611</v>
      </c>
      <c r="C6" s="170"/>
      <c r="D6" s="45"/>
    </row>
    <row r="7" spans="1:4" ht="27.6" x14ac:dyDescent="0.3">
      <c r="A7" s="171" t="s">
        <v>1609</v>
      </c>
      <c r="B7" s="47" t="s">
        <v>1612</v>
      </c>
      <c r="C7" s="9" t="s">
        <v>16</v>
      </c>
      <c r="D7" s="36"/>
    </row>
    <row r="8" spans="1:4" ht="69" x14ac:dyDescent="0.3">
      <c r="A8" s="171" t="s">
        <v>1609</v>
      </c>
      <c r="B8" s="47" t="s">
        <v>1613</v>
      </c>
      <c r="C8" s="9" t="s">
        <v>20</v>
      </c>
      <c r="D8" s="36"/>
    </row>
    <row r="9" spans="1:4" ht="41.4" x14ac:dyDescent="0.3">
      <c r="A9" s="171" t="s">
        <v>1609</v>
      </c>
      <c r="B9" s="47" t="s">
        <v>1614</v>
      </c>
      <c r="C9" s="9" t="s">
        <v>24</v>
      </c>
      <c r="D9" s="36"/>
    </row>
    <row r="10" spans="1:4" ht="14.4" x14ac:dyDescent="0.3">
      <c r="A10" s="171" t="s">
        <v>1609</v>
      </c>
      <c r="B10" s="47" t="s">
        <v>1615</v>
      </c>
      <c r="C10" s="9"/>
      <c r="D10" s="36"/>
    </row>
    <row r="11" spans="1:4" ht="27.6" x14ac:dyDescent="0.3">
      <c r="A11" s="171" t="s">
        <v>1609</v>
      </c>
      <c r="B11" s="47" t="s">
        <v>1617</v>
      </c>
      <c r="C11" s="9"/>
      <c r="D11" s="36"/>
    </row>
    <row r="12" spans="1:4" ht="14.4" x14ac:dyDescent="0.3">
      <c r="A12" s="168" t="s">
        <v>1609</v>
      </c>
      <c r="B12" s="184" t="s">
        <v>1145</v>
      </c>
      <c r="C12" s="170"/>
      <c r="D12" s="45"/>
    </row>
    <row r="13" spans="1:4" ht="14.4" x14ac:dyDescent="0.3">
      <c r="A13" s="171" t="s">
        <v>1609</v>
      </c>
      <c r="B13" s="47" t="s">
        <v>1338</v>
      </c>
      <c r="C13" s="9"/>
      <c r="D13" s="36"/>
    </row>
    <row r="14" spans="1:4" ht="110.4" x14ac:dyDescent="0.3">
      <c r="A14" s="171" t="s">
        <v>1609</v>
      </c>
      <c r="B14" s="47" t="s">
        <v>1618</v>
      </c>
      <c r="C14" s="9"/>
      <c r="D14" s="36"/>
    </row>
    <row r="15" spans="1:4" ht="14.4" x14ac:dyDescent="0.3">
      <c r="A15" s="168" t="s">
        <v>1619</v>
      </c>
      <c r="B15" s="184" t="s">
        <v>1136</v>
      </c>
      <c r="C15" s="170"/>
      <c r="D15" s="45"/>
    </row>
    <row r="16" spans="1:4" ht="27.6" x14ac:dyDescent="0.3">
      <c r="A16" s="171" t="s">
        <v>1619</v>
      </c>
      <c r="B16" s="47" t="s">
        <v>1175</v>
      </c>
      <c r="C16" s="172"/>
      <c r="D16" s="50"/>
    </row>
    <row r="17" spans="1:4" ht="14.4" x14ac:dyDescent="0.3">
      <c r="A17" s="171" t="s">
        <v>1619</v>
      </c>
      <c r="B17" s="47" t="s">
        <v>1621</v>
      </c>
      <c r="C17" s="172"/>
      <c r="D17" s="36"/>
    </row>
    <row r="18" spans="1:4" ht="14.4" x14ac:dyDescent="0.3">
      <c r="A18" s="171" t="s">
        <v>1619</v>
      </c>
      <c r="B18" s="47" t="s">
        <v>1622</v>
      </c>
      <c r="C18" s="172"/>
      <c r="D18" s="36"/>
    </row>
    <row r="19" spans="1:4" ht="14.4" x14ac:dyDescent="0.3">
      <c r="A19" s="171" t="s">
        <v>1619</v>
      </c>
      <c r="B19" s="47" t="s">
        <v>1623</v>
      </c>
      <c r="C19" s="172"/>
      <c r="D19" s="36"/>
    </row>
    <row r="20" spans="1:4" ht="14.4" x14ac:dyDescent="0.3">
      <c r="A20" s="171" t="s">
        <v>1619</v>
      </c>
      <c r="B20" s="47" t="s">
        <v>1624</v>
      </c>
      <c r="C20" s="172"/>
      <c r="D20" s="36"/>
    </row>
    <row r="21" spans="1:4" ht="14.4" x14ac:dyDescent="0.3">
      <c r="A21" s="171" t="s">
        <v>1619</v>
      </c>
      <c r="B21" s="47" t="s">
        <v>1625</v>
      </c>
      <c r="C21" s="172"/>
      <c r="D21" s="36"/>
    </row>
    <row r="22" spans="1:4" ht="27.6" x14ac:dyDescent="0.3">
      <c r="A22" s="171" t="s">
        <v>1619</v>
      </c>
      <c r="B22" s="47" t="s">
        <v>1626</v>
      </c>
      <c r="C22" s="172"/>
      <c r="D22" s="36"/>
    </row>
    <row r="23" spans="1:4" ht="14.4" x14ac:dyDescent="0.3">
      <c r="A23" s="171" t="s">
        <v>1619</v>
      </c>
      <c r="B23" s="47" t="s">
        <v>1627</v>
      </c>
      <c r="C23" s="172"/>
      <c r="D23" s="36"/>
    </row>
    <row r="24" spans="1:4" ht="14.4" x14ac:dyDescent="0.3">
      <c r="A24" s="171" t="s">
        <v>1619</v>
      </c>
      <c r="B24" s="47" t="s">
        <v>1628</v>
      </c>
      <c r="C24" s="172"/>
      <c r="D24" s="36"/>
    </row>
    <row r="25" spans="1:4" ht="14.4" x14ac:dyDescent="0.3">
      <c r="A25" s="171" t="s">
        <v>1619</v>
      </c>
      <c r="B25" s="47" t="s">
        <v>1629</v>
      </c>
      <c r="C25" s="172"/>
      <c r="D25" s="36"/>
    </row>
    <row r="26" spans="1:4" ht="27.6" x14ac:dyDescent="0.3">
      <c r="A26" s="171" t="s">
        <v>1619</v>
      </c>
      <c r="B26" s="47" t="s">
        <v>1630</v>
      </c>
      <c r="C26" s="172"/>
      <c r="D26" s="36"/>
    </row>
    <row r="27" spans="1:4" ht="14.4" x14ac:dyDescent="0.3">
      <c r="A27" s="171" t="s">
        <v>1619</v>
      </c>
      <c r="B27" s="187" t="s">
        <v>1631</v>
      </c>
      <c r="C27" s="9"/>
      <c r="D27" s="36"/>
    </row>
    <row r="28" spans="1:4" ht="14.4" x14ac:dyDescent="0.3">
      <c r="A28" s="168" t="s">
        <v>1619</v>
      </c>
      <c r="B28" s="184" t="s">
        <v>1633</v>
      </c>
      <c r="C28" s="170"/>
      <c r="D28" s="45"/>
    </row>
    <row r="29" spans="1:4" ht="14.4" x14ac:dyDescent="0.3">
      <c r="A29" s="171" t="s">
        <v>1619</v>
      </c>
      <c r="B29" s="187" t="s">
        <v>1634</v>
      </c>
      <c r="C29" s="172"/>
      <c r="D29" s="36"/>
    </row>
    <row r="30" spans="1:4" ht="14.4" x14ac:dyDescent="0.3">
      <c r="A30" s="171" t="s">
        <v>1619</v>
      </c>
      <c r="B30" s="187" t="s">
        <v>1635</v>
      </c>
      <c r="C30" s="172"/>
      <c r="D30" s="36"/>
    </row>
    <row r="31" spans="1:4" ht="14.4" x14ac:dyDescent="0.3">
      <c r="A31" s="171" t="s">
        <v>1619</v>
      </c>
      <c r="B31" s="187" t="s">
        <v>1636</v>
      </c>
      <c r="C31" s="172"/>
      <c r="D31" s="50"/>
    </row>
    <row r="32" spans="1:4" ht="14.4" x14ac:dyDescent="0.3">
      <c r="A32" s="168" t="s">
        <v>1619</v>
      </c>
      <c r="B32" s="184" t="s">
        <v>1637</v>
      </c>
      <c r="C32" s="170"/>
      <c r="D32" s="45"/>
    </row>
    <row r="33" spans="1:4" ht="14.4" x14ac:dyDescent="0.3">
      <c r="A33" s="171" t="s">
        <v>1619</v>
      </c>
      <c r="B33" s="187" t="s">
        <v>1639</v>
      </c>
      <c r="C33" s="172"/>
      <c r="D33" s="36"/>
    </row>
    <row r="34" spans="1:4" ht="14.4" x14ac:dyDescent="0.3">
      <c r="A34" s="171" t="s">
        <v>1619</v>
      </c>
      <c r="B34" s="187" t="s">
        <v>1640</v>
      </c>
      <c r="C34" s="9"/>
      <c r="D34" s="36"/>
    </row>
    <row r="35" spans="1:4" ht="41.4" x14ac:dyDescent="0.3">
      <c r="A35" s="171" t="s">
        <v>1619</v>
      </c>
      <c r="B35" s="187" t="s">
        <v>1641</v>
      </c>
      <c r="C35" s="9"/>
      <c r="D35" s="50"/>
    </row>
    <row r="36" spans="1:4" ht="14.4" x14ac:dyDescent="0.3">
      <c r="A36" s="168" t="s">
        <v>1619</v>
      </c>
      <c r="B36" s="184" t="s">
        <v>1642</v>
      </c>
      <c r="C36" s="170"/>
      <c r="D36" s="45"/>
    </row>
    <row r="37" spans="1:4" ht="14.4" x14ac:dyDescent="0.3">
      <c r="A37" s="171" t="s">
        <v>1619</v>
      </c>
      <c r="B37" s="187" t="s">
        <v>1025</v>
      </c>
      <c r="C37" s="9"/>
      <c r="D37" s="36"/>
    </row>
    <row r="38" spans="1:4" ht="14.4" x14ac:dyDescent="0.3">
      <c r="A38" s="171" t="s">
        <v>1619</v>
      </c>
      <c r="B38" s="187" t="s">
        <v>1027</v>
      </c>
      <c r="C38" s="9"/>
      <c r="D38" s="36"/>
    </row>
    <row r="39" spans="1:4" ht="14.4" x14ac:dyDescent="0.3">
      <c r="A39" s="168" t="s">
        <v>1619</v>
      </c>
      <c r="B39" s="184" t="s">
        <v>1145</v>
      </c>
      <c r="C39" s="170"/>
      <c r="D39" s="45"/>
    </row>
    <row r="40" spans="1:4" ht="14.4" x14ac:dyDescent="0.3">
      <c r="A40" s="171" t="s">
        <v>1619</v>
      </c>
      <c r="B40" s="47" t="s">
        <v>1643</v>
      </c>
      <c r="C40" s="9"/>
      <c r="D40" s="36"/>
    </row>
    <row r="41" spans="1:4" ht="14.4" x14ac:dyDescent="0.3">
      <c r="A41" s="168" t="s">
        <v>1644</v>
      </c>
      <c r="B41" s="184" t="s">
        <v>1645</v>
      </c>
      <c r="C41" s="170"/>
      <c r="D41" s="45"/>
    </row>
    <row r="42" spans="1:4" ht="55.2" x14ac:dyDescent="0.3">
      <c r="A42" s="171" t="s">
        <v>1644</v>
      </c>
      <c r="B42" s="187" t="s">
        <v>1646</v>
      </c>
      <c r="C42" s="9"/>
      <c r="D42" s="36"/>
    </row>
    <row r="43" spans="1:4" ht="27.6" x14ac:dyDescent="0.3">
      <c r="A43" s="168" t="s">
        <v>1644</v>
      </c>
      <c r="B43" s="184" t="s">
        <v>1648</v>
      </c>
      <c r="C43" s="170"/>
      <c r="D43" s="45"/>
    </row>
    <row r="44" spans="1:4" ht="14.4" x14ac:dyDescent="0.3">
      <c r="A44" s="171" t="s">
        <v>1644</v>
      </c>
      <c r="B44" s="187" t="s">
        <v>1649</v>
      </c>
      <c r="C44" s="9"/>
      <c r="D44" s="36"/>
    </row>
    <row r="45" spans="1:4" ht="27.6" x14ac:dyDescent="0.3">
      <c r="A45" s="171" t="s">
        <v>1644</v>
      </c>
      <c r="B45" s="187" t="s">
        <v>1650</v>
      </c>
      <c r="C45" s="9"/>
      <c r="D45" s="36"/>
    </row>
    <row r="46" spans="1:4" ht="14.4" x14ac:dyDescent="0.3">
      <c r="A46" s="171" t="s">
        <v>1644</v>
      </c>
      <c r="B46" s="187" t="s">
        <v>1651</v>
      </c>
      <c r="C46" s="9"/>
      <c r="D46" s="36"/>
    </row>
    <row r="47" spans="1:4" ht="14.4" x14ac:dyDescent="0.3">
      <c r="A47" s="171" t="s">
        <v>1644</v>
      </c>
      <c r="B47" s="187" t="s">
        <v>1653</v>
      </c>
      <c r="C47" s="9"/>
      <c r="D47" s="36"/>
    </row>
    <row r="48" spans="1:4" ht="14.4" x14ac:dyDescent="0.3">
      <c r="A48" s="171" t="s">
        <v>1644</v>
      </c>
      <c r="B48" s="187" t="s">
        <v>1654</v>
      </c>
      <c r="C48" s="9"/>
      <c r="D48" s="36"/>
    </row>
    <row r="49" spans="1:4" ht="14.4" x14ac:dyDescent="0.3">
      <c r="A49" s="171" t="s">
        <v>1644</v>
      </c>
      <c r="B49" s="187" t="s">
        <v>1655</v>
      </c>
      <c r="C49" s="9"/>
      <c r="D49" s="36"/>
    </row>
    <row r="50" spans="1:4" ht="14.4" x14ac:dyDescent="0.3">
      <c r="A50" s="171" t="s">
        <v>1644</v>
      </c>
      <c r="B50" s="187" t="s">
        <v>1656</v>
      </c>
      <c r="C50" s="9"/>
      <c r="D50" s="36"/>
    </row>
    <row r="51" spans="1:4" ht="14.4" x14ac:dyDescent="0.3">
      <c r="A51" s="171" t="s">
        <v>1644</v>
      </c>
      <c r="B51" s="187" t="s">
        <v>1658</v>
      </c>
      <c r="C51" s="9"/>
      <c r="D51" s="36"/>
    </row>
    <row r="52" spans="1:4" ht="14.4" x14ac:dyDescent="0.3">
      <c r="A52" s="171" t="s">
        <v>1644</v>
      </c>
      <c r="B52" s="187" t="s">
        <v>1659</v>
      </c>
      <c r="C52" s="9"/>
      <c r="D52" s="36"/>
    </row>
    <row r="53" spans="1:4" ht="14.4" x14ac:dyDescent="0.3">
      <c r="A53" s="171" t="s">
        <v>1644</v>
      </c>
      <c r="B53" s="187" t="s">
        <v>1660</v>
      </c>
      <c r="C53" s="9"/>
      <c r="D53" s="36"/>
    </row>
    <row r="54" spans="1:4" ht="27.6" x14ac:dyDescent="0.3">
      <c r="A54" s="171" t="s">
        <v>1644</v>
      </c>
      <c r="B54" s="187" t="s">
        <v>1661</v>
      </c>
      <c r="C54" s="9"/>
      <c r="D54" s="36"/>
    </row>
    <row r="55" spans="1:4" ht="27.6" x14ac:dyDescent="0.3">
      <c r="A55" s="171" t="s">
        <v>1644</v>
      </c>
      <c r="B55" s="187" t="s">
        <v>1663</v>
      </c>
      <c r="C55" s="9"/>
      <c r="D55" s="36"/>
    </row>
    <row r="56" spans="1:4" ht="14.4" x14ac:dyDescent="0.3">
      <c r="A56" s="171" t="s">
        <v>1644</v>
      </c>
      <c r="B56" s="187" t="s">
        <v>1664</v>
      </c>
      <c r="C56" s="172"/>
      <c r="D56" s="36"/>
    </row>
    <row r="57" spans="1:4" ht="14.4" x14ac:dyDescent="0.3">
      <c r="A57" s="171" t="s">
        <v>1644</v>
      </c>
      <c r="B57" s="187" t="s">
        <v>1665</v>
      </c>
      <c r="C57" s="172"/>
      <c r="D57" s="36"/>
    </row>
    <row r="58" spans="1:4" ht="14.4" x14ac:dyDescent="0.3">
      <c r="A58" s="171" t="s">
        <v>1644</v>
      </c>
      <c r="B58" s="187" t="s">
        <v>1666</v>
      </c>
      <c r="C58" s="172"/>
      <c r="D58" s="36"/>
    </row>
    <row r="59" spans="1:4" ht="14.4" x14ac:dyDescent="0.3">
      <c r="A59" s="171" t="s">
        <v>1644</v>
      </c>
      <c r="B59" s="187" t="s">
        <v>1668</v>
      </c>
      <c r="C59" s="172"/>
      <c r="D59" s="36"/>
    </row>
    <row r="60" spans="1:4" ht="14.4" x14ac:dyDescent="0.3">
      <c r="A60" s="171" t="s">
        <v>1644</v>
      </c>
      <c r="B60" s="187" t="s">
        <v>1669</v>
      </c>
      <c r="C60" s="172"/>
      <c r="D60" s="36"/>
    </row>
    <row r="61" spans="1:4" ht="14.4" x14ac:dyDescent="0.3">
      <c r="A61" s="171" t="s">
        <v>1644</v>
      </c>
      <c r="B61" s="187" t="s">
        <v>1670</v>
      </c>
      <c r="C61" s="172"/>
      <c r="D61" s="36"/>
    </row>
    <row r="62" spans="1:4" ht="27.6" x14ac:dyDescent="0.3">
      <c r="A62" s="171" t="s">
        <v>1644</v>
      </c>
      <c r="B62" s="187" t="s">
        <v>1671</v>
      </c>
      <c r="C62" s="172"/>
      <c r="D62" s="36"/>
    </row>
    <row r="63" spans="1:4" ht="14.4" x14ac:dyDescent="0.3">
      <c r="A63" s="171" t="s">
        <v>1644</v>
      </c>
      <c r="B63" s="187" t="s">
        <v>1673</v>
      </c>
      <c r="C63" s="172"/>
      <c r="D63" s="36"/>
    </row>
    <row r="64" spans="1:4" ht="14.4" x14ac:dyDescent="0.3">
      <c r="A64" s="171" t="s">
        <v>1644</v>
      </c>
      <c r="B64" s="187" t="s">
        <v>1674</v>
      </c>
      <c r="C64" s="172"/>
      <c r="D64" s="36"/>
    </row>
    <row r="65" spans="1:4" ht="14.4" x14ac:dyDescent="0.3">
      <c r="A65" s="171" t="s">
        <v>1644</v>
      </c>
      <c r="B65" s="187" t="s">
        <v>1675</v>
      </c>
      <c r="C65" s="172"/>
      <c r="D65" s="36"/>
    </row>
    <row r="66" spans="1:4" ht="14.4" x14ac:dyDescent="0.3">
      <c r="A66" s="171" t="s">
        <v>1644</v>
      </c>
      <c r="B66" s="187" t="s">
        <v>1676</v>
      </c>
      <c r="C66" s="172"/>
      <c r="D66" s="36"/>
    </row>
    <row r="67" spans="1:4" ht="27.6" x14ac:dyDescent="0.3">
      <c r="A67" s="171" t="s">
        <v>1644</v>
      </c>
      <c r="B67" s="187" t="s">
        <v>1678</v>
      </c>
      <c r="C67" s="172"/>
      <c r="D67" s="36"/>
    </row>
    <row r="68" spans="1:4" ht="41.4" x14ac:dyDescent="0.3">
      <c r="A68" s="171" t="s">
        <v>1644</v>
      </c>
      <c r="B68" s="187" t="s">
        <v>1679</v>
      </c>
      <c r="C68" s="172"/>
      <c r="D68" s="36"/>
    </row>
    <row r="69" spans="1:4" ht="41.4" x14ac:dyDescent="0.3">
      <c r="A69" s="171" t="s">
        <v>1644</v>
      </c>
      <c r="B69" s="187" t="s">
        <v>1680</v>
      </c>
      <c r="C69" s="172"/>
      <c r="D69" s="36"/>
    </row>
    <row r="70" spans="1:4" ht="27.6" x14ac:dyDescent="0.3">
      <c r="A70" s="171" t="s">
        <v>1644</v>
      </c>
      <c r="B70" s="187" t="s">
        <v>1681</v>
      </c>
      <c r="C70" s="9"/>
      <c r="D70" s="36"/>
    </row>
    <row r="71" spans="1:4" ht="14.4" x14ac:dyDescent="0.3">
      <c r="A71" s="168" t="s">
        <v>1644</v>
      </c>
      <c r="B71" s="184" t="s">
        <v>1682</v>
      </c>
      <c r="C71" s="170"/>
      <c r="D71" s="45"/>
    </row>
    <row r="72" spans="1:4" ht="14.4" x14ac:dyDescent="0.3">
      <c r="A72" s="171" t="s">
        <v>1644</v>
      </c>
      <c r="B72" s="187" t="s">
        <v>1684</v>
      </c>
      <c r="C72" s="9"/>
      <c r="D72" s="36"/>
    </row>
    <row r="73" spans="1:4" ht="14.4" x14ac:dyDescent="0.3">
      <c r="A73" s="171" t="s">
        <v>1644</v>
      </c>
      <c r="B73" s="187" t="s">
        <v>1685</v>
      </c>
      <c r="C73" s="9"/>
      <c r="D73" s="36"/>
    </row>
    <row r="74" spans="1:4" ht="14.4" x14ac:dyDescent="0.3">
      <c r="A74" s="171" t="s">
        <v>1644</v>
      </c>
      <c r="B74" s="187" t="s">
        <v>1686</v>
      </c>
      <c r="C74" s="9"/>
      <c r="D74" s="36"/>
    </row>
    <row r="75" spans="1:4" ht="14.4" x14ac:dyDescent="0.3">
      <c r="A75" s="171" t="s">
        <v>1644</v>
      </c>
      <c r="B75" s="187" t="s">
        <v>1688</v>
      </c>
      <c r="C75" s="9"/>
      <c r="D75" s="36"/>
    </row>
    <row r="76" spans="1:4" ht="27.6" x14ac:dyDescent="0.3">
      <c r="A76" s="171" t="s">
        <v>1644</v>
      </c>
      <c r="B76" s="187" t="s">
        <v>1689</v>
      </c>
      <c r="C76" s="9"/>
      <c r="D76" s="36"/>
    </row>
    <row r="77" spans="1:4" ht="14.4" x14ac:dyDescent="0.3">
      <c r="A77" s="171" t="s">
        <v>1644</v>
      </c>
      <c r="B77" s="187" t="s">
        <v>1690</v>
      </c>
      <c r="C77" s="9"/>
      <c r="D77" s="36"/>
    </row>
    <row r="78" spans="1:4" ht="14.4" x14ac:dyDescent="0.3">
      <c r="A78" s="171" t="s">
        <v>1644</v>
      </c>
      <c r="B78" s="187" t="s">
        <v>1691</v>
      </c>
      <c r="C78" s="9"/>
      <c r="D78" s="36"/>
    </row>
    <row r="79" spans="1:4" ht="14.4" x14ac:dyDescent="0.3">
      <c r="A79" s="171" t="s">
        <v>1644</v>
      </c>
      <c r="B79" s="187" t="s">
        <v>1693</v>
      </c>
      <c r="C79" s="9"/>
      <c r="D79" s="36"/>
    </row>
    <row r="80" spans="1:4" ht="14.4" x14ac:dyDescent="0.3">
      <c r="A80" s="171" t="s">
        <v>1644</v>
      </c>
      <c r="B80" s="187" t="s">
        <v>1694</v>
      </c>
      <c r="C80" s="9"/>
      <c r="D80" s="36"/>
    </row>
    <row r="81" spans="1:4" ht="14.4" x14ac:dyDescent="0.3">
      <c r="A81" s="171" t="s">
        <v>1644</v>
      </c>
      <c r="B81" s="187" t="s">
        <v>1695</v>
      </c>
      <c r="C81" s="9"/>
      <c r="D81" s="36"/>
    </row>
    <row r="82" spans="1:4" ht="27.6" x14ac:dyDescent="0.3">
      <c r="A82" s="171" t="s">
        <v>1644</v>
      </c>
      <c r="B82" s="187" t="s">
        <v>1696</v>
      </c>
      <c r="C82" s="9"/>
      <c r="D82" s="36"/>
    </row>
    <row r="83" spans="1:4" ht="27.6" x14ac:dyDescent="0.3">
      <c r="A83" s="171" t="s">
        <v>1644</v>
      </c>
      <c r="B83" s="187" t="s">
        <v>1698</v>
      </c>
      <c r="C83" s="9"/>
      <c r="D83" s="36"/>
    </row>
    <row r="84" spans="1:4" ht="14.4" x14ac:dyDescent="0.3">
      <c r="A84" s="168" t="s">
        <v>1644</v>
      </c>
      <c r="B84" s="184" t="s">
        <v>1699</v>
      </c>
      <c r="C84" s="170"/>
      <c r="D84" s="45"/>
    </row>
    <row r="85" spans="1:4" ht="14.4" x14ac:dyDescent="0.3">
      <c r="A85" s="171" t="s">
        <v>1644</v>
      </c>
      <c r="B85" s="187" t="s">
        <v>1700</v>
      </c>
      <c r="C85" s="9"/>
      <c r="D85" s="36"/>
    </row>
    <row r="86" spans="1:4" ht="14.4" x14ac:dyDescent="0.3">
      <c r="A86" s="171" t="s">
        <v>1644</v>
      </c>
      <c r="B86" s="187" t="s">
        <v>1701</v>
      </c>
      <c r="C86" s="9"/>
      <c r="D86" s="36"/>
    </row>
    <row r="87" spans="1:4" ht="14.4" x14ac:dyDescent="0.3">
      <c r="A87" s="168" t="s">
        <v>1644</v>
      </c>
      <c r="B87" s="184" t="s">
        <v>1145</v>
      </c>
      <c r="C87" s="170"/>
      <c r="D87" s="45"/>
    </row>
    <row r="88" spans="1:4" ht="14.4" x14ac:dyDescent="0.3">
      <c r="A88" s="171" t="s">
        <v>1644</v>
      </c>
      <c r="B88" s="187" t="s">
        <v>1105</v>
      </c>
      <c r="C88" s="9"/>
      <c r="D88" s="36"/>
    </row>
    <row r="89" spans="1:4" ht="14.4" x14ac:dyDescent="0.3">
      <c r="A89" s="168" t="s">
        <v>1702</v>
      </c>
      <c r="B89" s="184" t="s">
        <v>1703</v>
      </c>
      <c r="C89" s="170"/>
      <c r="D89" s="45"/>
    </row>
    <row r="90" spans="1:4" ht="41.4" x14ac:dyDescent="0.3">
      <c r="A90" s="171" t="s">
        <v>1702</v>
      </c>
      <c r="B90" s="187" t="s">
        <v>1704</v>
      </c>
      <c r="C90" s="9"/>
      <c r="D90" s="36"/>
    </row>
    <row r="91" spans="1:4" ht="14.4" x14ac:dyDescent="0.3">
      <c r="A91" s="168" t="s">
        <v>1702</v>
      </c>
      <c r="B91" s="184" t="s">
        <v>1145</v>
      </c>
      <c r="C91" s="170"/>
      <c r="D91" s="45"/>
    </row>
    <row r="92" spans="1:4" ht="14.4" x14ac:dyDescent="0.3">
      <c r="A92" s="171" t="s">
        <v>1702</v>
      </c>
      <c r="B92" s="46" t="s">
        <v>1043</v>
      </c>
      <c r="C92" s="9"/>
      <c r="D92" s="36"/>
    </row>
    <row r="93" spans="1:4" ht="14.4" x14ac:dyDescent="0.3">
      <c r="A93" s="168" t="s">
        <v>1705</v>
      </c>
      <c r="B93" s="184" t="s">
        <v>1136</v>
      </c>
      <c r="C93" s="170"/>
      <c r="D93" s="45"/>
    </row>
    <row r="94" spans="1:4" ht="27.6" x14ac:dyDescent="0.3">
      <c r="A94" s="171" t="s">
        <v>1705</v>
      </c>
      <c r="B94" s="187" t="s">
        <v>1706</v>
      </c>
      <c r="C94" s="9"/>
      <c r="D94" s="36"/>
    </row>
    <row r="95" spans="1:4" ht="27.6" x14ac:dyDescent="0.3">
      <c r="A95" s="171" t="s">
        <v>1705</v>
      </c>
      <c r="B95" s="187" t="s">
        <v>1708</v>
      </c>
      <c r="C95" s="9"/>
      <c r="D95" s="36"/>
    </row>
    <row r="96" spans="1:4" ht="27.6" x14ac:dyDescent="0.3">
      <c r="A96" s="171" t="s">
        <v>1705</v>
      </c>
      <c r="B96" s="187" t="s">
        <v>1710</v>
      </c>
      <c r="C96" s="9"/>
      <c r="D96" s="36"/>
    </row>
    <row r="97" spans="1:4" ht="27.6" x14ac:dyDescent="0.3">
      <c r="A97" s="171" t="s">
        <v>1705</v>
      </c>
      <c r="B97" s="187" t="s">
        <v>1711</v>
      </c>
      <c r="C97" s="9"/>
      <c r="D97" s="36"/>
    </row>
    <row r="98" spans="1:4" ht="14.4" x14ac:dyDescent="0.3">
      <c r="A98" s="168" t="s">
        <v>1705</v>
      </c>
      <c r="B98" s="184" t="s">
        <v>1712</v>
      </c>
      <c r="C98" s="170"/>
      <c r="D98" s="45"/>
    </row>
    <row r="99" spans="1:4" ht="14.4" x14ac:dyDescent="0.3">
      <c r="A99" s="171" t="s">
        <v>1705</v>
      </c>
      <c r="B99" s="187" t="s">
        <v>1713</v>
      </c>
      <c r="C99" s="9"/>
      <c r="D99" s="36"/>
    </row>
    <row r="100" spans="1:4" ht="14.4" x14ac:dyDescent="0.3">
      <c r="A100" s="168" t="s">
        <v>1715</v>
      </c>
      <c r="B100" s="184" t="s">
        <v>1611</v>
      </c>
      <c r="C100" s="170"/>
      <c r="D100" s="45"/>
    </row>
    <row r="101" spans="1:4" ht="27.6" x14ac:dyDescent="0.3">
      <c r="A101" s="171" t="s">
        <v>1715</v>
      </c>
      <c r="B101" s="187" t="s">
        <v>1716</v>
      </c>
      <c r="C101" s="9"/>
      <c r="D101" s="36"/>
    </row>
    <row r="102" spans="1:4" ht="14.4" x14ac:dyDescent="0.3">
      <c r="A102" s="171" t="s">
        <v>1715</v>
      </c>
      <c r="B102" s="187" t="s">
        <v>1717</v>
      </c>
      <c r="C102" s="9"/>
      <c r="D102" s="36"/>
    </row>
    <row r="103" spans="1:4" ht="27.6" x14ac:dyDescent="0.3">
      <c r="A103" s="171" t="s">
        <v>1715</v>
      </c>
      <c r="B103" s="187" t="s">
        <v>1718</v>
      </c>
      <c r="C103" s="9"/>
      <c r="D103" s="36"/>
    </row>
    <row r="104" spans="1:4" ht="27.6" x14ac:dyDescent="0.3">
      <c r="A104" s="171" t="s">
        <v>1715</v>
      </c>
      <c r="B104" s="187" t="s">
        <v>1720</v>
      </c>
      <c r="C104" s="9"/>
      <c r="D104" s="36"/>
    </row>
    <row r="105" spans="1:4" ht="27.6" x14ac:dyDescent="0.3">
      <c r="A105" s="171" t="s">
        <v>1715</v>
      </c>
      <c r="B105" s="187" t="s">
        <v>1721</v>
      </c>
      <c r="C105" s="9"/>
      <c r="D105" s="36"/>
    </row>
    <row r="106" spans="1:4" ht="14.4" x14ac:dyDescent="0.3">
      <c r="A106" s="168" t="s">
        <v>1715</v>
      </c>
      <c r="B106" s="184" t="s">
        <v>1722</v>
      </c>
      <c r="C106" s="170"/>
      <c r="D106" s="45"/>
    </row>
    <row r="107" spans="1:4" ht="14.4" x14ac:dyDescent="0.3">
      <c r="A107" s="171" t="s">
        <v>1715</v>
      </c>
      <c r="B107" s="187" t="s">
        <v>1117</v>
      </c>
      <c r="C107" s="9"/>
      <c r="D107" s="36"/>
    </row>
    <row r="108" spans="1:4" ht="14.4" x14ac:dyDescent="0.3">
      <c r="A108" s="168" t="s">
        <v>1724</v>
      </c>
      <c r="B108" s="184" t="s">
        <v>1725</v>
      </c>
      <c r="C108" s="170"/>
      <c r="D108" s="45"/>
    </row>
    <row r="109" spans="1:4" ht="27.6" x14ac:dyDescent="0.3">
      <c r="A109" s="36" t="s">
        <v>1724</v>
      </c>
      <c r="B109" s="187" t="s">
        <v>1727</v>
      </c>
      <c r="C109" s="9"/>
      <c r="D109" s="36"/>
    </row>
    <row r="110" spans="1:4" ht="14.4" x14ac:dyDescent="0.3">
      <c r="A110" s="36" t="s">
        <v>1724</v>
      </c>
      <c r="B110" s="187" t="s">
        <v>1728</v>
      </c>
      <c r="C110" s="9"/>
      <c r="D110" s="36"/>
    </row>
    <row r="111" spans="1:4" ht="14.4" x14ac:dyDescent="0.3">
      <c r="A111" s="36" t="s">
        <v>1724</v>
      </c>
      <c r="B111" s="187" t="s">
        <v>1730</v>
      </c>
      <c r="C111" s="9"/>
      <c r="D111" s="36"/>
    </row>
    <row r="112" spans="1:4" ht="27.6" x14ac:dyDescent="0.3">
      <c r="A112" s="36" t="s">
        <v>1724</v>
      </c>
      <c r="B112" s="187" t="s">
        <v>1731</v>
      </c>
      <c r="C112" s="9"/>
      <c r="D112" s="36"/>
    </row>
    <row r="113" spans="1:4" ht="14.4" x14ac:dyDescent="0.3">
      <c r="A113" s="36" t="s">
        <v>1724</v>
      </c>
      <c r="B113" s="187" t="s">
        <v>1732</v>
      </c>
      <c r="C113" s="9"/>
      <c r="D113" s="36"/>
    </row>
    <row r="114" spans="1:4" ht="14.4" x14ac:dyDescent="0.3">
      <c r="A114" s="36" t="s">
        <v>1724</v>
      </c>
      <c r="B114" s="187" t="s">
        <v>1733</v>
      </c>
      <c r="C114" s="9"/>
      <c r="D114" s="36"/>
    </row>
    <row r="115" spans="1:4" ht="27.6" x14ac:dyDescent="0.3">
      <c r="A115" s="168" t="s">
        <v>1724</v>
      </c>
      <c r="B115" s="184" t="s">
        <v>1734</v>
      </c>
      <c r="C115" s="170"/>
      <c r="D115" s="45"/>
    </row>
    <row r="116" spans="1:4" ht="14.4" x14ac:dyDescent="0.3">
      <c r="A116" s="36" t="s">
        <v>1724</v>
      </c>
      <c r="B116" s="36" t="s">
        <v>1735</v>
      </c>
      <c r="C116" s="9"/>
      <c r="D116" s="36"/>
    </row>
    <row r="117" spans="1:4" ht="14.4" x14ac:dyDescent="0.3">
      <c r="B117" s="46"/>
      <c r="C117" s="17"/>
      <c r="D117" s="17"/>
    </row>
    <row r="118" spans="1:4" ht="14.4" x14ac:dyDescent="0.3">
      <c r="B118" s="46"/>
      <c r="C118" s="17"/>
      <c r="D118" s="17"/>
    </row>
    <row r="119" spans="1:4" ht="14.4" x14ac:dyDescent="0.3">
      <c r="B119" s="15" t="s">
        <v>75</v>
      </c>
      <c r="C119" s="2">
        <f>COUNTIF($C$5:$C116,"C")</f>
        <v>1</v>
      </c>
      <c r="D119" s="17"/>
    </row>
    <row r="120" spans="1:4" ht="14.4" x14ac:dyDescent="0.3">
      <c r="B120" s="15" t="s">
        <v>81</v>
      </c>
      <c r="C120" s="2">
        <f>COUNTIF($C$5:$C$116,"NC")</f>
        <v>1</v>
      </c>
      <c r="D120" s="17"/>
    </row>
    <row r="121" spans="1:4" ht="14.4" x14ac:dyDescent="0.3">
      <c r="B121" s="15" t="s">
        <v>84</v>
      </c>
      <c r="C121" s="2">
        <f>COUNTIF($C$5:$C$116,"NA")</f>
        <v>1</v>
      </c>
      <c r="D121" s="17"/>
    </row>
  </sheetData>
  <autoFilter ref="A4:D116" xr:uid="{00000000-0009-0000-0000-000015000000}"/>
  <conditionalFormatting sqref="C7:C11 C13:C14 C16:C27 C29:C31 C33:C35 C37:C38 C40 C42 C44:C70 C72:C83 C85:C86 C88 C90 C92 C94:C97 C99 C101:C105 C107 C109:C114 C116">
    <cfRule type="beginsWith" dxfId="77" priority="1" operator="beginsWith" text="C">
      <formula>LEFT((C7),LEN("C"))=("C")</formula>
    </cfRule>
    <cfRule type="beginsWith" dxfId="76" priority="2" operator="beginsWith" text="NC">
      <formula>LEFT((C7),LEN("NC"))=("NC")</formula>
    </cfRule>
    <cfRule type="beginsWith" dxfId="75" priority="3" operator="beginsWith" text="NA">
      <formula>LEFT((C7),LEN("NA"))=("NA")</formula>
    </cfRule>
  </conditionalFormatting>
  <dataValidations disablePrompts="1" count="1">
    <dataValidation type="list" allowBlank="1" sqref="C7:C11 C13:C14 C16:C27 C29:C31 C33:C35 C37:C38 C40 C42 C44:C70 C72:C83 C85:C86 C88 C90 C92 C94:C97 C99 C101:C105 C107 C109:C114 C116" xr:uid="{00000000-0002-0000-1500-000000000000}">
      <formula1>"C,NC,NA"</formula1>
    </dataValidation>
  </dataValidations>
  <hyperlinks>
    <hyperlink ref="B1" location="'Tabla de contenido'!A1" display="VOLVER A TABLA DE CONTENIDO" xr:uid="{00000000-0004-0000-1500-000000000000}"/>
  </hyperlinks>
  <pageMargins left="0.7" right="0.7" top="0.75" bottom="0.75" header="0" footer="0"/>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41B47"/>
  </sheetPr>
  <dimension ref="A1:D52"/>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80.33203125" customWidth="1"/>
    <col min="3" max="3" width="11.5546875" customWidth="1"/>
    <col min="4" max="4" width="26.21875" customWidth="1" outlineLevel="1"/>
    <col min="5" max="5" width="5.6640625" customWidth="1"/>
    <col min="6" max="23" width="10.77734375" customWidth="1"/>
  </cols>
  <sheetData>
    <row r="1" spans="1:4" ht="25.5" customHeight="1" x14ac:dyDescent="0.3">
      <c r="A1" s="269"/>
      <c r="B1" s="270" t="s">
        <v>0</v>
      </c>
      <c r="C1" s="269"/>
      <c r="D1" s="269"/>
    </row>
    <row r="2" spans="1:4" ht="25.5" customHeight="1" x14ac:dyDescent="0.3">
      <c r="A2" s="74"/>
      <c r="B2" s="115" t="s">
        <v>919</v>
      </c>
      <c r="C2" s="116"/>
      <c r="D2" s="77"/>
    </row>
    <row r="3" spans="1:4" ht="25.5" customHeight="1" x14ac:dyDescent="0.3">
      <c r="A3" s="5"/>
      <c r="B3" s="105" t="s">
        <v>1746</v>
      </c>
      <c r="C3" s="189"/>
      <c r="D3" s="51"/>
    </row>
    <row r="4" spans="1:4" ht="25.5" customHeight="1" x14ac:dyDescent="0.3">
      <c r="A4" s="78" t="s">
        <v>7</v>
      </c>
      <c r="B4" s="79" t="s">
        <v>9</v>
      </c>
      <c r="C4" s="106" t="s">
        <v>10</v>
      </c>
      <c r="D4" s="5" t="s">
        <v>11</v>
      </c>
    </row>
    <row r="5" spans="1:4" ht="41.4" x14ac:dyDescent="0.3">
      <c r="A5" s="190" t="s">
        <v>1747</v>
      </c>
      <c r="B5" s="87" t="s">
        <v>1748</v>
      </c>
      <c r="C5" s="88" t="s">
        <v>16</v>
      </c>
      <c r="D5" s="190"/>
    </row>
    <row r="6" spans="1:4" ht="14.4" x14ac:dyDescent="0.3">
      <c r="A6" s="168" t="s">
        <v>1747</v>
      </c>
      <c r="B6" s="184" t="s">
        <v>1749</v>
      </c>
      <c r="C6" s="45"/>
      <c r="D6" s="45"/>
    </row>
    <row r="7" spans="1:4" ht="14.4" x14ac:dyDescent="0.3">
      <c r="A7" s="190" t="s">
        <v>1747</v>
      </c>
      <c r="B7" s="87" t="s">
        <v>1750</v>
      </c>
      <c r="C7" s="88" t="s">
        <v>20</v>
      </c>
      <c r="D7" s="190"/>
    </row>
    <row r="8" spans="1:4" ht="14.4" x14ac:dyDescent="0.3">
      <c r="A8" s="168" t="s">
        <v>1747</v>
      </c>
      <c r="B8" s="184" t="s">
        <v>1751</v>
      </c>
      <c r="C8" s="45"/>
      <c r="D8" s="45"/>
    </row>
    <row r="9" spans="1:4" ht="14.4" x14ac:dyDescent="0.3">
      <c r="A9" s="190" t="s">
        <v>1747</v>
      </c>
      <c r="B9" s="87" t="s">
        <v>1752</v>
      </c>
      <c r="C9" s="88" t="s">
        <v>24</v>
      </c>
      <c r="D9" s="190"/>
    </row>
    <row r="10" spans="1:4" ht="27.6" x14ac:dyDescent="0.3">
      <c r="A10" s="190" t="s">
        <v>1747</v>
      </c>
      <c r="B10" s="87" t="s">
        <v>1753</v>
      </c>
      <c r="C10" s="88"/>
      <c r="D10" s="190"/>
    </row>
    <row r="11" spans="1:4" ht="27.6" x14ac:dyDescent="0.3">
      <c r="A11" s="190" t="s">
        <v>1754</v>
      </c>
      <c r="B11" s="87" t="s">
        <v>1755</v>
      </c>
      <c r="C11" s="88"/>
      <c r="D11" s="190"/>
    </row>
    <row r="12" spans="1:4" ht="14.4" x14ac:dyDescent="0.3">
      <c r="A12" s="168" t="s">
        <v>1754</v>
      </c>
      <c r="B12" s="184" t="s">
        <v>1756</v>
      </c>
      <c r="C12" s="45"/>
      <c r="D12" s="45"/>
    </row>
    <row r="13" spans="1:4" ht="14.4" x14ac:dyDescent="0.3">
      <c r="A13" s="190" t="s">
        <v>1754</v>
      </c>
      <c r="B13" s="87" t="s">
        <v>1757</v>
      </c>
      <c r="C13" s="88"/>
      <c r="D13" s="190"/>
    </row>
    <row r="14" spans="1:4" ht="14.4" x14ac:dyDescent="0.3">
      <c r="A14" s="190" t="s">
        <v>1754</v>
      </c>
      <c r="B14" s="87" t="s">
        <v>1759</v>
      </c>
      <c r="C14" s="88"/>
      <c r="D14" s="190"/>
    </row>
    <row r="15" spans="1:4" ht="14.4" x14ac:dyDescent="0.3">
      <c r="A15" s="190" t="s">
        <v>1754</v>
      </c>
      <c r="B15" s="87" t="s">
        <v>1760</v>
      </c>
      <c r="C15" s="88"/>
      <c r="D15" s="190"/>
    </row>
    <row r="16" spans="1:4" ht="27.6" x14ac:dyDescent="0.3">
      <c r="A16" s="190" t="s">
        <v>1754</v>
      </c>
      <c r="B16" s="87" t="s">
        <v>1762</v>
      </c>
      <c r="C16" s="88"/>
      <c r="D16" s="190"/>
    </row>
    <row r="17" spans="1:4" ht="14.4" x14ac:dyDescent="0.3">
      <c r="A17" s="190" t="s">
        <v>1754</v>
      </c>
      <c r="B17" s="87" t="s">
        <v>1763</v>
      </c>
      <c r="C17" s="88"/>
      <c r="D17" s="190"/>
    </row>
    <row r="18" spans="1:4" ht="28.2" x14ac:dyDescent="0.3">
      <c r="A18" s="190" t="s">
        <v>1764</v>
      </c>
      <c r="B18" s="87" t="s">
        <v>1765</v>
      </c>
      <c r="C18" s="88"/>
      <c r="D18" s="190"/>
    </row>
    <row r="19" spans="1:4" ht="55.2" x14ac:dyDescent="0.3">
      <c r="A19" s="190" t="s">
        <v>1764</v>
      </c>
      <c r="B19" s="87" t="s">
        <v>1766</v>
      </c>
      <c r="C19" s="88"/>
      <c r="D19" s="190"/>
    </row>
    <row r="20" spans="1:4" ht="27.6" x14ac:dyDescent="0.3">
      <c r="A20" s="190" t="s">
        <v>1764</v>
      </c>
      <c r="B20" s="87" t="s">
        <v>1767</v>
      </c>
      <c r="C20" s="88"/>
      <c r="D20" s="190"/>
    </row>
    <row r="21" spans="1:4" ht="55.2" x14ac:dyDescent="0.3">
      <c r="A21" s="190" t="s">
        <v>1764</v>
      </c>
      <c r="B21" s="87" t="s">
        <v>1769</v>
      </c>
      <c r="C21" s="88"/>
      <c r="D21" s="190"/>
    </row>
    <row r="22" spans="1:4" ht="27.6" x14ac:dyDescent="0.3">
      <c r="A22" s="190" t="s">
        <v>1764</v>
      </c>
      <c r="B22" s="87" t="s">
        <v>1770</v>
      </c>
      <c r="C22" s="88"/>
      <c r="D22" s="190"/>
    </row>
    <row r="23" spans="1:4" ht="14.4" x14ac:dyDescent="0.3">
      <c r="A23" s="190" t="s">
        <v>1764</v>
      </c>
      <c r="B23" s="87" t="s">
        <v>1772</v>
      </c>
      <c r="C23" s="88"/>
      <c r="D23" s="190"/>
    </row>
    <row r="24" spans="1:4" ht="27.6" x14ac:dyDescent="0.3">
      <c r="A24" s="190" t="s">
        <v>1764</v>
      </c>
      <c r="B24" s="87" t="s">
        <v>1774</v>
      </c>
      <c r="C24" s="88"/>
      <c r="D24" s="190"/>
    </row>
    <row r="25" spans="1:4" ht="27.6" x14ac:dyDescent="0.3">
      <c r="A25" s="190" t="s">
        <v>1764</v>
      </c>
      <c r="B25" s="87" t="s">
        <v>1775</v>
      </c>
      <c r="C25" s="88"/>
      <c r="D25" s="190"/>
    </row>
    <row r="26" spans="1:4" ht="27.6" x14ac:dyDescent="0.3">
      <c r="A26" s="190" t="s">
        <v>1764</v>
      </c>
      <c r="B26" s="87" t="s">
        <v>1777</v>
      </c>
      <c r="C26" s="88"/>
      <c r="D26" s="190"/>
    </row>
    <row r="27" spans="1:4" ht="27.6" x14ac:dyDescent="0.3">
      <c r="A27" s="190" t="s">
        <v>1764</v>
      </c>
      <c r="B27" s="87" t="s">
        <v>1778</v>
      </c>
      <c r="C27" s="88"/>
      <c r="D27" s="190"/>
    </row>
    <row r="28" spans="1:4" ht="27.6" x14ac:dyDescent="0.3">
      <c r="A28" s="190" t="s">
        <v>1764</v>
      </c>
      <c r="B28" s="87" t="s">
        <v>1780</v>
      </c>
      <c r="C28" s="88"/>
      <c r="D28" s="190"/>
    </row>
    <row r="29" spans="1:4" ht="28.2" x14ac:dyDescent="0.3">
      <c r="A29" s="190" t="s">
        <v>1782</v>
      </c>
      <c r="B29" s="87" t="s">
        <v>1784</v>
      </c>
      <c r="C29" s="88"/>
      <c r="D29" s="190"/>
    </row>
    <row r="30" spans="1:4" ht="27.6" x14ac:dyDescent="0.3">
      <c r="A30" s="190" t="s">
        <v>1782</v>
      </c>
      <c r="B30" s="87" t="s">
        <v>1786</v>
      </c>
      <c r="C30" s="88"/>
      <c r="D30" s="190"/>
    </row>
    <row r="31" spans="1:4" ht="27.6" x14ac:dyDescent="0.3">
      <c r="A31" s="190" t="s">
        <v>1788</v>
      </c>
      <c r="B31" s="87" t="s">
        <v>1789</v>
      </c>
      <c r="C31" s="88"/>
      <c r="D31" s="190"/>
    </row>
    <row r="32" spans="1:4" ht="14.4" x14ac:dyDescent="0.3">
      <c r="A32" s="190" t="s">
        <v>1788</v>
      </c>
      <c r="B32" s="87" t="s">
        <v>1790</v>
      </c>
      <c r="C32" s="88"/>
      <c r="D32" s="190"/>
    </row>
    <row r="33" spans="1:4" ht="27.6" x14ac:dyDescent="0.3">
      <c r="A33" s="190" t="s">
        <v>1788</v>
      </c>
      <c r="B33" s="87" t="s">
        <v>1792</v>
      </c>
      <c r="C33" s="88"/>
      <c r="D33" s="190"/>
    </row>
    <row r="34" spans="1:4" ht="27.6" x14ac:dyDescent="0.3">
      <c r="A34" s="190" t="s">
        <v>1788</v>
      </c>
      <c r="B34" s="87" t="s">
        <v>1793</v>
      </c>
      <c r="C34" s="88"/>
      <c r="D34" s="190"/>
    </row>
    <row r="35" spans="1:4" ht="14.4" x14ac:dyDescent="0.3">
      <c r="A35" s="190" t="s">
        <v>1788</v>
      </c>
      <c r="B35" s="87" t="s">
        <v>1795</v>
      </c>
      <c r="C35" s="88"/>
      <c r="D35" s="190"/>
    </row>
    <row r="36" spans="1:4" ht="14.4" x14ac:dyDescent="0.3">
      <c r="A36" s="190" t="s">
        <v>1788</v>
      </c>
      <c r="B36" s="87" t="s">
        <v>1797</v>
      </c>
      <c r="C36" s="88"/>
      <c r="D36" s="190"/>
    </row>
    <row r="37" spans="1:4" ht="27.6" x14ac:dyDescent="0.3">
      <c r="A37" s="190" t="s">
        <v>1788</v>
      </c>
      <c r="B37" s="87" t="s">
        <v>1798</v>
      </c>
      <c r="C37" s="88"/>
      <c r="D37" s="190"/>
    </row>
    <row r="38" spans="1:4" ht="27.6" x14ac:dyDescent="0.3">
      <c r="A38" s="190" t="s">
        <v>1788</v>
      </c>
      <c r="B38" s="87" t="s">
        <v>1800</v>
      </c>
      <c r="C38" s="88"/>
      <c r="D38" s="190"/>
    </row>
    <row r="39" spans="1:4" ht="14.4" x14ac:dyDescent="0.3">
      <c r="A39" s="190" t="s">
        <v>1788</v>
      </c>
      <c r="B39" s="87" t="s">
        <v>1802</v>
      </c>
      <c r="C39" s="88"/>
      <c r="D39" s="190"/>
    </row>
    <row r="40" spans="1:4" ht="27.6" x14ac:dyDescent="0.3">
      <c r="A40" s="190" t="s">
        <v>1804</v>
      </c>
      <c r="B40" s="87" t="s">
        <v>1805</v>
      </c>
      <c r="C40" s="88"/>
      <c r="D40" s="190"/>
    </row>
    <row r="41" spans="1:4" ht="14.4" x14ac:dyDescent="0.3">
      <c r="A41" s="190" t="s">
        <v>1804</v>
      </c>
      <c r="B41" s="87" t="s">
        <v>1806</v>
      </c>
      <c r="C41" s="88"/>
      <c r="D41" s="190"/>
    </row>
    <row r="42" spans="1:4" ht="14.4" x14ac:dyDescent="0.3">
      <c r="A42" s="190" t="s">
        <v>1804</v>
      </c>
      <c r="B42" s="87" t="s">
        <v>1808</v>
      </c>
      <c r="C42" s="88"/>
      <c r="D42" s="190"/>
    </row>
    <row r="43" spans="1:4" ht="14.4" x14ac:dyDescent="0.3">
      <c r="A43" s="190" t="s">
        <v>1804</v>
      </c>
      <c r="B43" s="87" t="s">
        <v>1810</v>
      </c>
      <c r="C43" s="88"/>
      <c r="D43" s="190"/>
    </row>
    <row r="44" spans="1:4" ht="14.4" x14ac:dyDescent="0.3">
      <c r="A44" s="190" t="s">
        <v>1804</v>
      </c>
      <c r="B44" s="87" t="s">
        <v>1811</v>
      </c>
      <c r="C44" s="88"/>
      <c r="D44" s="190"/>
    </row>
    <row r="45" spans="1:4" ht="27.6" x14ac:dyDescent="0.3">
      <c r="A45" s="190" t="s">
        <v>1804</v>
      </c>
      <c r="B45" s="87" t="s">
        <v>1813</v>
      </c>
      <c r="C45" s="88"/>
      <c r="D45" s="190"/>
    </row>
    <row r="46" spans="1:4" ht="27.6" x14ac:dyDescent="0.3">
      <c r="A46" s="190" t="s">
        <v>1804</v>
      </c>
      <c r="B46" s="87" t="s">
        <v>1815</v>
      </c>
      <c r="C46" s="88"/>
      <c r="D46" s="190"/>
    </row>
    <row r="47" spans="1:4" ht="14.4" x14ac:dyDescent="0.3">
      <c r="A47" s="190" t="s">
        <v>1816</v>
      </c>
      <c r="B47" s="87" t="s">
        <v>1817</v>
      </c>
      <c r="C47" s="88"/>
      <c r="D47" s="190"/>
    </row>
    <row r="50" spans="2:3" ht="25.5" customHeight="1" x14ac:dyDescent="0.3">
      <c r="B50" s="15" t="s">
        <v>75</v>
      </c>
      <c r="C50" s="2">
        <f>COUNTIF($C$4:$C$47,"C")</f>
        <v>1</v>
      </c>
    </row>
    <row r="51" spans="2:3" ht="25.5" customHeight="1" x14ac:dyDescent="0.3">
      <c r="B51" s="15" t="s">
        <v>81</v>
      </c>
      <c r="C51" s="2">
        <f>COUNTIF($C$4:$C$47,"NC")</f>
        <v>1</v>
      </c>
    </row>
    <row r="52" spans="2:3" ht="25.5" customHeight="1" x14ac:dyDescent="0.3">
      <c r="B52" s="15" t="s">
        <v>84</v>
      </c>
      <c r="C52" s="2">
        <f>COUNTIF($C$4:$C$47,"NA")</f>
        <v>1</v>
      </c>
    </row>
  </sheetData>
  <autoFilter ref="A4:D47" xr:uid="{00000000-0009-0000-0000-000016000000}"/>
  <conditionalFormatting sqref="C5 C7 C9:C11 C13:C47">
    <cfRule type="beginsWith" dxfId="74" priority="1" operator="beginsWith" text="C">
      <formula>LEFT((C5),LEN("C"))=("C")</formula>
    </cfRule>
    <cfRule type="beginsWith" dxfId="73" priority="2" operator="beginsWith" text="NC">
      <formula>LEFT((C5),LEN("NC"))=("NC")</formula>
    </cfRule>
    <cfRule type="beginsWith" dxfId="72" priority="3" operator="beginsWith" text="NA">
      <formula>LEFT((C5),LEN("NA"))=("NA")</formula>
    </cfRule>
  </conditionalFormatting>
  <dataValidations count="1">
    <dataValidation type="list" allowBlank="1" sqref="C5 C7 C9:C11 C13:C47" xr:uid="{00000000-0002-0000-1600-000000000000}">
      <formula1>"C,NC,NA"</formula1>
    </dataValidation>
  </dataValidations>
  <hyperlinks>
    <hyperlink ref="B1" location="'Tabla de contenido'!A1" display="VOLVER A TABLA DE CONTENIDO" xr:uid="{00000000-0004-0000-1600-000000000000}"/>
  </hyperlinks>
  <pageMargins left="0.7" right="0.7" top="0.75" bottom="0.75" header="0" footer="0"/>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41B47"/>
  </sheetPr>
  <dimension ref="A1:D50"/>
  <sheetViews>
    <sheetView showGridLines="0" workbookViewId="0">
      <selection sqref="A1:D1"/>
    </sheetView>
  </sheetViews>
  <sheetFormatPr baseColWidth="10" defaultColWidth="14.44140625" defaultRowHeight="15" customHeight="1" outlineLevelCol="1" x14ac:dyDescent="0.3"/>
  <cols>
    <col min="1" max="1" width="12.5546875" customWidth="1"/>
    <col min="2" max="2" width="65.88671875" customWidth="1"/>
    <col min="3" max="3" width="11.5546875" customWidth="1"/>
    <col min="4" max="4" width="26" customWidth="1" outlineLevel="1"/>
    <col min="5" max="5" width="2.33203125" customWidth="1"/>
    <col min="6" max="24" width="10.77734375" customWidth="1"/>
  </cols>
  <sheetData>
    <row r="1" spans="1:4" ht="14.4" x14ac:dyDescent="0.3">
      <c r="A1" s="269"/>
      <c r="B1" s="270" t="s">
        <v>0</v>
      </c>
      <c r="C1" s="269"/>
      <c r="D1" s="269"/>
    </row>
    <row r="2" spans="1:4" ht="14.4" x14ac:dyDescent="0.3">
      <c r="A2" s="74"/>
      <c r="B2" s="115" t="s">
        <v>919</v>
      </c>
      <c r="C2" s="116"/>
      <c r="D2" s="77"/>
    </row>
    <row r="3" spans="1:4" ht="14.4" x14ac:dyDescent="0.3">
      <c r="A3" s="6"/>
      <c r="B3" s="40" t="s">
        <v>1758</v>
      </c>
      <c r="C3" s="117"/>
      <c r="D3" s="19"/>
    </row>
    <row r="4" spans="1:4" ht="14.4" x14ac:dyDescent="0.3">
      <c r="A4" s="6" t="s">
        <v>7</v>
      </c>
      <c r="B4" s="40" t="s">
        <v>9</v>
      </c>
      <c r="C4" s="6" t="s">
        <v>10</v>
      </c>
      <c r="D4" s="6" t="s">
        <v>11</v>
      </c>
    </row>
    <row r="5" spans="1:4" ht="27.6" x14ac:dyDescent="0.3">
      <c r="A5" s="191" t="s">
        <v>1761</v>
      </c>
      <c r="B5" s="21" t="s">
        <v>803</v>
      </c>
      <c r="C5" s="22"/>
      <c r="D5" s="22"/>
    </row>
    <row r="6" spans="1:4" ht="27.6" x14ac:dyDescent="0.3">
      <c r="A6" s="111" t="s">
        <v>1761</v>
      </c>
      <c r="B6" s="47" t="s">
        <v>1290</v>
      </c>
      <c r="C6" s="9" t="s">
        <v>16</v>
      </c>
      <c r="D6" s="36"/>
    </row>
    <row r="7" spans="1:4" ht="27.6" x14ac:dyDescent="0.3">
      <c r="A7" s="111" t="s">
        <v>1761</v>
      </c>
      <c r="B7" s="47" t="s">
        <v>1768</v>
      </c>
      <c r="C7" s="9" t="s">
        <v>20</v>
      </c>
      <c r="D7" s="36"/>
    </row>
    <row r="8" spans="1:4" ht="14.4" x14ac:dyDescent="0.3">
      <c r="A8" s="191" t="s">
        <v>1761</v>
      </c>
      <c r="B8" s="21" t="s">
        <v>1335</v>
      </c>
      <c r="C8" s="22"/>
      <c r="D8" s="22"/>
    </row>
    <row r="9" spans="1:4" ht="27.6" x14ac:dyDescent="0.3">
      <c r="A9" s="111" t="s">
        <v>1761</v>
      </c>
      <c r="B9" s="47" t="s">
        <v>1771</v>
      </c>
      <c r="C9" s="9" t="s">
        <v>24</v>
      </c>
      <c r="D9" s="36"/>
    </row>
    <row r="10" spans="1:4" ht="14.4" x14ac:dyDescent="0.3">
      <c r="A10" s="191" t="s">
        <v>1773</v>
      </c>
      <c r="B10" s="21" t="s">
        <v>720</v>
      </c>
      <c r="C10" s="22"/>
      <c r="D10" s="22"/>
    </row>
    <row r="11" spans="1:4" ht="14.4" x14ac:dyDescent="0.3">
      <c r="A11" s="191" t="s">
        <v>1773</v>
      </c>
      <c r="B11" s="21" t="s">
        <v>720</v>
      </c>
      <c r="C11" s="22"/>
      <c r="D11" s="22"/>
    </row>
    <row r="12" spans="1:4" ht="27.6" x14ac:dyDescent="0.3">
      <c r="A12" s="111" t="s">
        <v>1773</v>
      </c>
      <c r="B12" s="47" t="s">
        <v>1776</v>
      </c>
      <c r="C12" s="9"/>
      <c r="D12" s="50"/>
    </row>
    <row r="13" spans="1:4" ht="14.4" x14ac:dyDescent="0.3">
      <c r="A13" s="191" t="s">
        <v>1773</v>
      </c>
      <c r="B13" s="21" t="s">
        <v>1756</v>
      </c>
      <c r="C13" s="22"/>
      <c r="D13" s="22"/>
    </row>
    <row r="14" spans="1:4" ht="27.6" x14ac:dyDescent="0.3">
      <c r="A14" s="111" t="s">
        <v>1773</v>
      </c>
      <c r="B14" s="47" t="s">
        <v>1779</v>
      </c>
      <c r="C14" s="9"/>
      <c r="D14" s="36"/>
    </row>
    <row r="15" spans="1:4" ht="14.4" x14ac:dyDescent="0.3">
      <c r="A15" s="111" t="s">
        <v>1773</v>
      </c>
      <c r="B15" s="47" t="s">
        <v>1781</v>
      </c>
      <c r="C15" s="9"/>
      <c r="D15" s="36"/>
    </row>
    <row r="16" spans="1:4" ht="27.6" x14ac:dyDescent="0.3">
      <c r="A16" s="111" t="s">
        <v>1773</v>
      </c>
      <c r="B16" s="47" t="s">
        <v>1783</v>
      </c>
      <c r="C16" s="9"/>
      <c r="D16" s="36"/>
    </row>
    <row r="17" spans="1:4" ht="14.4" x14ac:dyDescent="0.3">
      <c r="A17" s="111" t="s">
        <v>1773</v>
      </c>
      <c r="B17" s="47" t="s">
        <v>1785</v>
      </c>
      <c r="C17" s="9"/>
      <c r="D17" s="36"/>
    </row>
    <row r="18" spans="1:4" ht="27.6" x14ac:dyDescent="0.3">
      <c r="A18" s="111" t="s">
        <v>1773</v>
      </c>
      <c r="B18" s="47" t="s">
        <v>1787</v>
      </c>
      <c r="C18" s="9"/>
      <c r="D18" s="36"/>
    </row>
    <row r="19" spans="1:4" ht="14.4" x14ac:dyDescent="0.3">
      <c r="A19" s="111" t="s">
        <v>1773</v>
      </c>
      <c r="B19" s="47" t="s">
        <v>1791</v>
      </c>
      <c r="C19" s="9"/>
      <c r="D19" s="36"/>
    </row>
    <row r="20" spans="1:4" ht="14.4" x14ac:dyDescent="0.3">
      <c r="A20" s="191" t="s">
        <v>1773</v>
      </c>
      <c r="B20" s="21" t="s">
        <v>1298</v>
      </c>
      <c r="C20" s="22"/>
      <c r="D20" s="22"/>
    </row>
    <row r="21" spans="1:4" ht="14.4" x14ac:dyDescent="0.3">
      <c r="A21" s="111" t="s">
        <v>1773</v>
      </c>
      <c r="B21" s="47" t="s">
        <v>1794</v>
      </c>
      <c r="C21" s="9"/>
      <c r="D21" s="36"/>
    </row>
    <row r="22" spans="1:4" ht="14.4" x14ac:dyDescent="0.3">
      <c r="A22" s="111" t="s">
        <v>1773</v>
      </c>
      <c r="B22" s="47" t="s">
        <v>1796</v>
      </c>
      <c r="C22" s="9"/>
      <c r="D22" s="36"/>
    </row>
    <row r="23" spans="1:4" ht="27.6" x14ac:dyDescent="0.3">
      <c r="A23" s="191" t="s">
        <v>1773</v>
      </c>
      <c r="B23" s="21" t="s">
        <v>842</v>
      </c>
      <c r="C23" s="22"/>
      <c r="D23" s="22"/>
    </row>
    <row r="24" spans="1:4" ht="14.4" x14ac:dyDescent="0.3">
      <c r="A24" s="111" t="s">
        <v>1773</v>
      </c>
      <c r="B24" s="47" t="s">
        <v>1799</v>
      </c>
      <c r="C24" s="9"/>
      <c r="D24" s="36"/>
    </row>
    <row r="25" spans="1:4" ht="27.6" x14ac:dyDescent="0.3">
      <c r="A25" s="191" t="s">
        <v>1801</v>
      </c>
      <c r="B25" s="21" t="s">
        <v>803</v>
      </c>
      <c r="C25" s="22"/>
      <c r="D25" s="22"/>
    </row>
    <row r="26" spans="1:4" ht="27.6" x14ac:dyDescent="0.3">
      <c r="A26" s="111" t="s">
        <v>1801</v>
      </c>
      <c r="B26" s="47" t="s">
        <v>1803</v>
      </c>
      <c r="C26" s="9"/>
      <c r="D26" s="36"/>
    </row>
    <row r="27" spans="1:4" ht="27.6" x14ac:dyDescent="0.3">
      <c r="A27" s="111" t="s">
        <v>1801</v>
      </c>
      <c r="B27" s="47" t="s">
        <v>1807</v>
      </c>
      <c r="C27" s="9"/>
      <c r="D27" s="50"/>
    </row>
    <row r="28" spans="1:4" ht="27.6" x14ac:dyDescent="0.3">
      <c r="A28" s="191" t="s">
        <v>1809</v>
      </c>
      <c r="B28" s="21" t="s">
        <v>803</v>
      </c>
      <c r="C28" s="22"/>
      <c r="D28" s="22"/>
    </row>
    <row r="29" spans="1:4" ht="27.6" x14ac:dyDescent="0.3">
      <c r="A29" s="111" t="s">
        <v>1809</v>
      </c>
      <c r="B29" s="47" t="s">
        <v>1190</v>
      </c>
      <c r="C29" s="9"/>
      <c r="D29" s="36"/>
    </row>
    <row r="30" spans="1:4" ht="41.4" x14ac:dyDescent="0.3">
      <c r="A30" s="111" t="s">
        <v>1809</v>
      </c>
      <c r="B30" s="47" t="s">
        <v>1812</v>
      </c>
      <c r="C30" s="9"/>
      <c r="D30" s="36"/>
    </row>
    <row r="31" spans="1:4" ht="27.6" x14ac:dyDescent="0.3">
      <c r="A31" s="191" t="s">
        <v>1814</v>
      </c>
      <c r="B31" s="21" t="s">
        <v>803</v>
      </c>
      <c r="C31" s="22"/>
      <c r="D31" s="22"/>
    </row>
    <row r="32" spans="1:4" ht="27.6" x14ac:dyDescent="0.3">
      <c r="A32" s="111" t="s">
        <v>1814</v>
      </c>
      <c r="B32" s="47" t="s">
        <v>1818</v>
      </c>
      <c r="C32" s="9"/>
      <c r="D32" s="50"/>
    </row>
    <row r="33" spans="1:4" ht="27.6" x14ac:dyDescent="0.3">
      <c r="A33" s="111" t="s">
        <v>1814</v>
      </c>
      <c r="B33" s="47" t="s">
        <v>1819</v>
      </c>
      <c r="C33" s="9"/>
      <c r="D33" s="36"/>
    </row>
    <row r="34" spans="1:4" ht="14.4" x14ac:dyDescent="0.3">
      <c r="A34" s="111" t="s">
        <v>1814</v>
      </c>
      <c r="B34" s="47" t="s">
        <v>1820</v>
      </c>
      <c r="C34" s="9"/>
      <c r="D34" s="36"/>
    </row>
    <row r="35" spans="1:4" ht="27.6" x14ac:dyDescent="0.3">
      <c r="A35" s="111" t="s">
        <v>1814</v>
      </c>
      <c r="B35" s="47" t="s">
        <v>1821</v>
      </c>
      <c r="C35" s="9"/>
      <c r="D35" s="36"/>
    </row>
    <row r="36" spans="1:4" ht="27.6" x14ac:dyDescent="0.3">
      <c r="A36" s="111" t="s">
        <v>1814</v>
      </c>
      <c r="B36" s="47" t="s">
        <v>1822</v>
      </c>
      <c r="C36" s="9"/>
      <c r="D36" s="36"/>
    </row>
    <row r="37" spans="1:4" ht="27.6" x14ac:dyDescent="0.3">
      <c r="A37" s="191" t="s">
        <v>1823</v>
      </c>
      <c r="B37" s="21" t="s">
        <v>803</v>
      </c>
      <c r="C37" s="22"/>
      <c r="D37" s="22"/>
    </row>
    <row r="38" spans="1:4" ht="27.6" x14ac:dyDescent="0.3">
      <c r="A38" s="111" t="s">
        <v>1823</v>
      </c>
      <c r="B38" s="47" t="s">
        <v>1824</v>
      </c>
      <c r="C38" s="9"/>
      <c r="D38" s="36"/>
    </row>
    <row r="39" spans="1:4" ht="27.6" x14ac:dyDescent="0.3">
      <c r="A39" s="111" t="s">
        <v>1823</v>
      </c>
      <c r="B39" s="47" t="s">
        <v>1825</v>
      </c>
      <c r="C39" s="9"/>
      <c r="D39" s="36"/>
    </row>
    <row r="40" spans="1:4" ht="41.4" x14ac:dyDescent="0.3">
      <c r="A40" s="111" t="s">
        <v>1823</v>
      </c>
      <c r="B40" s="47" t="s">
        <v>1826</v>
      </c>
      <c r="C40" s="9"/>
      <c r="D40" s="36"/>
    </row>
    <row r="41" spans="1:4" ht="41.4" x14ac:dyDescent="0.3">
      <c r="A41" s="111" t="s">
        <v>1823</v>
      </c>
      <c r="B41" s="47" t="s">
        <v>1827</v>
      </c>
      <c r="C41" s="9"/>
      <c r="D41" s="36"/>
    </row>
    <row r="42" spans="1:4" ht="55.2" x14ac:dyDescent="0.3">
      <c r="A42" s="111" t="s">
        <v>1823</v>
      </c>
      <c r="B42" s="47" t="s">
        <v>1828</v>
      </c>
      <c r="C42" s="9"/>
      <c r="D42" s="36"/>
    </row>
    <row r="43" spans="1:4" ht="27.6" x14ac:dyDescent="0.3">
      <c r="A43" s="191" t="s">
        <v>1829</v>
      </c>
      <c r="B43" s="21" t="s">
        <v>803</v>
      </c>
      <c r="C43" s="22"/>
      <c r="D43" s="22"/>
    </row>
    <row r="44" spans="1:4" ht="27.6" x14ac:dyDescent="0.3">
      <c r="A44" s="111" t="s">
        <v>1829</v>
      </c>
      <c r="B44" s="47" t="s">
        <v>1830</v>
      </c>
      <c r="C44" s="9"/>
      <c r="D44" s="36"/>
    </row>
    <row r="45" spans="1:4" ht="14.4" x14ac:dyDescent="0.3">
      <c r="A45" s="190" t="s">
        <v>1829</v>
      </c>
      <c r="B45" s="87" t="s">
        <v>1831</v>
      </c>
      <c r="C45" s="88"/>
      <c r="D45" s="190"/>
    </row>
    <row r="46" spans="1:4" ht="14.4" x14ac:dyDescent="0.3">
      <c r="A46" s="17"/>
      <c r="B46" s="46"/>
      <c r="C46" s="17"/>
      <c r="D46" s="17"/>
    </row>
    <row r="47" spans="1:4" ht="14.4" x14ac:dyDescent="0.3">
      <c r="A47" s="17"/>
      <c r="B47" s="46"/>
      <c r="C47" s="17"/>
      <c r="D47" s="17"/>
    </row>
    <row r="48" spans="1:4" ht="14.4" x14ac:dyDescent="0.3">
      <c r="A48" s="17"/>
      <c r="B48" s="15" t="s">
        <v>75</v>
      </c>
      <c r="C48" s="2">
        <f>COUNTIF($C$4:$C$45,"C")</f>
        <v>1</v>
      </c>
      <c r="D48" s="17"/>
    </row>
    <row r="49" spans="2:3" ht="14.4" x14ac:dyDescent="0.3">
      <c r="B49" s="15" t="s">
        <v>81</v>
      </c>
      <c r="C49" s="2">
        <f>COUNTIF($C$4:$C$45,"NC")</f>
        <v>1</v>
      </c>
    </row>
    <row r="50" spans="2:3" ht="14.4" x14ac:dyDescent="0.3">
      <c r="B50" s="15" t="s">
        <v>84</v>
      </c>
      <c r="C50" s="2">
        <f>COUNTIF($C$4:$C$45,"NA")</f>
        <v>1</v>
      </c>
    </row>
  </sheetData>
  <autoFilter ref="A4:D45" xr:uid="{00000000-0009-0000-0000-000017000000}"/>
  <conditionalFormatting sqref="C6:C7 C9 C12 C14:C19 C21:C22 C24 C26:C27 C29:C30 C32:C36 C38:C42 C44:C45">
    <cfRule type="beginsWith" dxfId="71" priority="1" operator="beginsWith" text="C">
      <formula>LEFT((C6),LEN("C"))=("C")</formula>
    </cfRule>
    <cfRule type="beginsWith" dxfId="70" priority="2" operator="beginsWith" text="NC">
      <formula>LEFT((C6),LEN("NC"))=("NC")</formula>
    </cfRule>
    <cfRule type="beginsWith" dxfId="69" priority="3" operator="beginsWith" text="NA">
      <formula>LEFT((C6),LEN("NA"))=("NA")</formula>
    </cfRule>
  </conditionalFormatting>
  <dataValidations count="1">
    <dataValidation type="list" allowBlank="1" sqref="C6:C7 C9 C12 C14:C19 C21:C22 C24 C26:C27 C29:C30 C32:C36 C38:C42 C44:C45" xr:uid="{00000000-0002-0000-1700-000000000000}">
      <formula1>"C,NC,NA"</formula1>
    </dataValidation>
  </dataValidations>
  <hyperlinks>
    <hyperlink ref="B1" location="'Tabla de contenido'!A1" display="VOLVER A TABLA DE CONTENIDO" xr:uid="{00000000-0004-0000-1700-000000000000}"/>
  </hyperlinks>
  <pageMargins left="0.7" right="0.7" top="0.75" bottom="0.75" header="0" footer="0"/>
  <pageSetup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41B47"/>
  </sheetPr>
  <dimension ref="A1:D83"/>
  <sheetViews>
    <sheetView showGridLines="0" workbookViewId="0">
      <selection sqref="A1:D1"/>
    </sheetView>
  </sheetViews>
  <sheetFormatPr baseColWidth="10" defaultColWidth="14.44140625" defaultRowHeight="15" customHeight="1" outlineLevelCol="1" x14ac:dyDescent="0.3"/>
  <cols>
    <col min="1" max="1" width="12.5546875" customWidth="1"/>
    <col min="2" max="2" width="65.88671875" customWidth="1"/>
    <col min="3" max="3" width="11.5546875" customWidth="1"/>
    <col min="4" max="4" width="26" customWidth="1" outlineLevel="1"/>
    <col min="5" max="5" width="2.33203125" customWidth="1"/>
    <col min="6" max="24" width="10.77734375" customWidth="1"/>
  </cols>
  <sheetData>
    <row r="1" spans="1:4" ht="14.4" x14ac:dyDescent="0.3">
      <c r="A1" s="269"/>
      <c r="B1" s="270" t="s">
        <v>0</v>
      </c>
      <c r="C1" s="269"/>
      <c r="D1" s="269"/>
    </row>
    <row r="2" spans="1:4" ht="14.4" x14ac:dyDescent="0.3">
      <c r="A2" s="74"/>
      <c r="B2" s="115" t="s">
        <v>919</v>
      </c>
      <c r="C2" s="116"/>
      <c r="D2" s="77"/>
    </row>
    <row r="3" spans="1:4" ht="14.4" x14ac:dyDescent="0.3">
      <c r="A3" s="6"/>
      <c r="B3" s="40" t="s">
        <v>1832</v>
      </c>
      <c r="C3" s="117"/>
      <c r="D3" s="19"/>
    </row>
    <row r="4" spans="1:4" ht="14.4" x14ac:dyDescent="0.3">
      <c r="A4" s="6" t="s">
        <v>7</v>
      </c>
      <c r="B4" s="40" t="s">
        <v>9</v>
      </c>
      <c r="C4" s="6" t="s">
        <v>10</v>
      </c>
      <c r="D4" s="6" t="s">
        <v>11</v>
      </c>
    </row>
    <row r="5" spans="1:4" ht="27.6" x14ac:dyDescent="0.3">
      <c r="A5" s="168" t="s">
        <v>1833</v>
      </c>
      <c r="B5" s="184" t="s">
        <v>1834</v>
      </c>
      <c r="C5" s="45"/>
      <c r="D5" s="45"/>
    </row>
    <row r="6" spans="1:4" ht="27.6" x14ac:dyDescent="0.3">
      <c r="A6" s="171" t="s">
        <v>1833</v>
      </c>
      <c r="B6" s="47" t="s">
        <v>1156</v>
      </c>
      <c r="C6" s="9" t="s">
        <v>16</v>
      </c>
      <c r="D6" s="50"/>
    </row>
    <row r="7" spans="1:4" ht="14.4" x14ac:dyDescent="0.3">
      <c r="A7" s="168" t="s">
        <v>1833</v>
      </c>
      <c r="B7" s="184" t="s">
        <v>1835</v>
      </c>
      <c r="C7" s="192"/>
      <c r="D7" s="45"/>
    </row>
    <row r="8" spans="1:4" ht="14.4" x14ac:dyDescent="0.3">
      <c r="A8" s="171" t="s">
        <v>1833</v>
      </c>
      <c r="B8" s="47" t="s">
        <v>1836</v>
      </c>
      <c r="C8" s="9" t="s">
        <v>20</v>
      </c>
      <c r="D8" s="36"/>
    </row>
    <row r="9" spans="1:4" ht="43.2" x14ac:dyDescent="0.3">
      <c r="A9" s="171" t="s">
        <v>1833</v>
      </c>
      <c r="B9" s="47" t="s">
        <v>1837</v>
      </c>
      <c r="C9" s="9" t="s">
        <v>24</v>
      </c>
      <c r="D9" s="36"/>
    </row>
    <row r="10" spans="1:4" ht="27.6" x14ac:dyDescent="0.3">
      <c r="A10" s="171" t="s">
        <v>1833</v>
      </c>
      <c r="B10" s="47" t="s">
        <v>1838</v>
      </c>
      <c r="C10" s="9"/>
      <c r="D10" s="36"/>
    </row>
    <row r="11" spans="1:4" ht="57.6" x14ac:dyDescent="0.3">
      <c r="A11" s="171" t="s">
        <v>1833</v>
      </c>
      <c r="B11" s="47" t="s">
        <v>1839</v>
      </c>
      <c r="C11" s="9"/>
      <c r="D11" s="49"/>
    </row>
    <row r="12" spans="1:4" ht="43.2" x14ac:dyDescent="0.3">
      <c r="A12" s="171" t="s">
        <v>1833</v>
      </c>
      <c r="B12" s="47" t="s">
        <v>1840</v>
      </c>
      <c r="C12" s="9"/>
      <c r="D12" s="50"/>
    </row>
    <row r="13" spans="1:4" ht="41.4" x14ac:dyDescent="0.3">
      <c r="A13" s="171" t="s">
        <v>1833</v>
      </c>
      <c r="B13" s="47" t="s">
        <v>1841</v>
      </c>
      <c r="C13" s="9"/>
      <c r="D13" s="36"/>
    </row>
    <row r="14" spans="1:4" ht="70.2" x14ac:dyDescent="0.3">
      <c r="A14" s="171" t="s">
        <v>1833</v>
      </c>
      <c r="B14" s="47" t="s">
        <v>1842</v>
      </c>
      <c r="C14" s="9"/>
      <c r="D14" s="36"/>
    </row>
    <row r="15" spans="1:4" ht="14.4" x14ac:dyDescent="0.3">
      <c r="A15" s="193" t="s">
        <v>1833</v>
      </c>
      <c r="B15" s="184" t="s">
        <v>1145</v>
      </c>
      <c r="C15" s="45"/>
      <c r="D15" s="45"/>
    </row>
    <row r="16" spans="1:4" ht="27.6" x14ac:dyDescent="0.3">
      <c r="A16" s="171" t="s">
        <v>1833</v>
      </c>
      <c r="B16" s="47" t="s">
        <v>1843</v>
      </c>
      <c r="C16" s="194"/>
      <c r="D16" s="36"/>
    </row>
    <row r="17" spans="1:4" ht="55.2" x14ac:dyDescent="0.3">
      <c r="A17" s="171" t="s">
        <v>1833</v>
      </c>
      <c r="B17" s="47" t="s">
        <v>1844</v>
      </c>
      <c r="C17" s="9"/>
      <c r="D17" s="36"/>
    </row>
    <row r="18" spans="1:4" ht="14.4" x14ac:dyDescent="0.3">
      <c r="A18" s="193" t="s">
        <v>1845</v>
      </c>
      <c r="B18" s="184" t="s">
        <v>1136</v>
      </c>
      <c r="C18" s="45"/>
      <c r="D18" s="45"/>
    </row>
    <row r="19" spans="1:4" ht="14.4" x14ac:dyDescent="0.3">
      <c r="A19" s="171" t="s">
        <v>1845</v>
      </c>
      <c r="B19" s="47" t="s">
        <v>1846</v>
      </c>
      <c r="C19" s="9"/>
      <c r="D19" s="36"/>
    </row>
    <row r="20" spans="1:4" ht="14.4" x14ac:dyDescent="0.3">
      <c r="A20" s="168" t="s">
        <v>1845</v>
      </c>
      <c r="B20" s="184" t="s">
        <v>1847</v>
      </c>
      <c r="C20" s="192"/>
      <c r="D20" s="45"/>
    </row>
    <row r="21" spans="1:4" ht="27.6" x14ac:dyDescent="0.3">
      <c r="A21" s="171" t="s">
        <v>1845</v>
      </c>
      <c r="B21" s="47" t="s">
        <v>1848</v>
      </c>
      <c r="C21" s="9"/>
      <c r="D21" s="36"/>
    </row>
    <row r="22" spans="1:4" ht="14.4" x14ac:dyDescent="0.3">
      <c r="A22" s="171" t="s">
        <v>1845</v>
      </c>
      <c r="B22" s="47" t="s">
        <v>1849</v>
      </c>
      <c r="C22" s="9"/>
      <c r="D22" s="36"/>
    </row>
    <row r="23" spans="1:4" ht="14.4" x14ac:dyDescent="0.3">
      <c r="A23" s="171" t="s">
        <v>1845</v>
      </c>
      <c r="B23" s="47" t="s">
        <v>1850</v>
      </c>
      <c r="C23" s="9"/>
      <c r="D23" s="36"/>
    </row>
    <row r="24" spans="1:4" ht="27.6" x14ac:dyDescent="0.3">
      <c r="A24" s="171" t="s">
        <v>1845</v>
      </c>
      <c r="B24" s="47" t="s">
        <v>1851</v>
      </c>
      <c r="C24" s="9"/>
      <c r="D24" s="50"/>
    </row>
    <row r="25" spans="1:4" ht="14.4" x14ac:dyDescent="0.3">
      <c r="A25" s="171" t="s">
        <v>1845</v>
      </c>
      <c r="B25" s="47" t="s">
        <v>1852</v>
      </c>
      <c r="C25" s="9"/>
      <c r="D25" s="36"/>
    </row>
    <row r="26" spans="1:4" ht="14.4" x14ac:dyDescent="0.3">
      <c r="A26" s="171" t="s">
        <v>1845</v>
      </c>
      <c r="B26" s="47" t="s">
        <v>1853</v>
      </c>
      <c r="C26" s="9"/>
      <c r="D26" s="36"/>
    </row>
    <row r="27" spans="1:4" ht="14.4" x14ac:dyDescent="0.3">
      <c r="A27" s="171" t="s">
        <v>1845</v>
      </c>
      <c r="B27" s="47" t="s">
        <v>1854</v>
      </c>
      <c r="C27" s="9"/>
      <c r="D27" s="36"/>
    </row>
    <row r="28" spans="1:4" ht="27.6" x14ac:dyDescent="0.3">
      <c r="A28" s="171" t="s">
        <v>1845</v>
      </c>
      <c r="B28" s="47" t="s">
        <v>1855</v>
      </c>
      <c r="C28" s="9"/>
      <c r="D28" s="50"/>
    </row>
    <row r="29" spans="1:4" ht="41.4" x14ac:dyDescent="0.3">
      <c r="A29" s="171" t="s">
        <v>1845</v>
      </c>
      <c r="B29" s="47" t="s">
        <v>1856</v>
      </c>
      <c r="C29" s="9"/>
      <c r="D29" s="50"/>
    </row>
    <row r="30" spans="1:4" ht="41.4" x14ac:dyDescent="0.3">
      <c r="A30" s="171" t="s">
        <v>1845</v>
      </c>
      <c r="B30" s="47" t="s">
        <v>1857</v>
      </c>
      <c r="C30" s="9"/>
      <c r="D30" s="36"/>
    </row>
    <row r="31" spans="1:4" ht="14.4" x14ac:dyDescent="0.3">
      <c r="A31" s="168" t="s">
        <v>1845</v>
      </c>
      <c r="B31" s="184" t="s">
        <v>1023</v>
      </c>
      <c r="C31" s="45"/>
      <c r="D31" s="45"/>
    </row>
    <row r="32" spans="1:4" ht="14.4" x14ac:dyDescent="0.3">
      <c r="A32" s="171" t="s">
        <v>1845</v>
      </c>
      <c r="B32" s="47" t="s">
        <v>1858</v>
      </c>
      <c r="C32" s="9"/>
      <c r="D32" s="36"/>
    </row>
    <row r="33" spans="1:4" ht="27.6" x14ac:dyDescent="0.3">
      <c r="A33" s="171" t="s">
        <v>1845</v>
      </c>
      <c r="B33" s="47" t="s">
        <v>1859</v>
      </c>
      <c r="C33" s="9"/>
      <c r="D33" s="36"/>
    </row>
    <row r="34" spans="1:4" ht="14.4" x14ac:dyDescent="0.3">
      <c r="A34" s="168" t="s">
        <v>1845</v>
      </c>
      <c r="B34" s="184" t="s">
        <v>1860</v>
      </c>
      <c r="C34" s="192"/>
      <c r="D34" s="45"/>
    </row>
    <row r="35" spans="1:4" ht="14.4" x14ac:dyDescent="0.3">
      <c r="A35" s="171" t="s">
        <v>1845</v>
      </c>
      <c r="B35" s="47" t="s">
        <v>1860</v>
      </c>
      <c r="C35" s="9"/>
      <c r="D35" s="36"/>
    </row>
    <row r="36" spans="1:4" ht="27.6" x14ac:dyDescent="0.3">
      <c r="A36" s="171" t="s">
        <v>1845</v>
      </c>
      <c r="B36" s="47" t="s">
        <v>1103</v>
      </c>
      <c r="C36" s="9"/>
      <c r="D36" s="36"/>
    </row>
    <row r="37" spans="1:4" ht="14.4" x14ac:dyDescent="0.3">
      <c r="A37" s="168" t="s">
        <v>1845</v>
      </c>
      <c r="B37" s="184" t="s">
        <v>1145</v>
      </c>
      <c r="C37" s="192"/>
      <c r="D37" s="45"/>
    </row>
    <row r="38" spans="1:4" ht="27.6" x14ac:dyDescent="0.3">
      <c r="A38" s="171" t="s">
        <v>1845</v>
      </c>
      <c r="B38" s="47" t="s">
        <v>1034</v>
      </c>
      <c r="C38" s="9"/>
      <c r="D38" s="36"/>
    </row>
    <row r="39" spans="1:4" ht="27.6" x14ac:dyDescent="0.3">
      <c r="A39" s="168" t="s">
        <v>1861</v>
      </c>
      <c r="B39" s="184" t="s">
        <v>1862</v>
      </c>
      <c r="C39" s="45"/>
      <c r="D39" s="45"/>
    </row>
    <row r="40" spans="1:4" ht="27.6" x14ac:dyDescent="0.3">
      <c r="A40" s="171" t="s">
        <v>1861</v>
      </c>
      <c r="B40" s="47" t="s">
        <v>1539</v>
      </c>
      <c r="C40" s="9"/>
      <c r="D40" s="36"/>
    </row>
    <row r="41" spans="1:4" ht="27.6" x14ac:dyDescent="0.3">
      <c r="A41" s="171" t="s">
        <v>1861</v>
      </c>
      <c r="B41" s="47" t="s">
        <v>1863</v>
      </c>
      <c r="C41" s="9"/>
      <c r="D41" s="36"/>
    </row>
    <row r="42" spans="1:4" ht="41.4" x14ac:dyDescent="0.3">
      <c r="A42" s="171" t="s">
        <v>1861</v>
      </c>
      <c r="B42" s="47" t="s">
        <v>1864</v>
      </c>
      <c r="C42" s="9"/>
      <c r="D42" s="36"/>
    </row>
    <row r="43" spans="1:4" ht="41.4" x14ac:dyDescent="0.3">
      <c r="A43" s="171" t="s">
        <v>1861</v>
      </c>
      <c r="B43" s="47" t="s">
        <v>1865</v>
      </c>
      <c r="C43" s="9"/>
      <c r="D43" s="36"/>
    </row>
    <row r="44" spans="1:4" ht="14.4" x14ac:dyDescent="0.3">
      <c r="A44" s="168" t="s">
        <v>1861</v>
      </c>
      <c r="B44" s="184" t="s">
        <v>1145</v>
      </c>
      <c r="C44" s="45"/>
      <c r="D44" s="45"/>
    </row>
    <row r="45" spans="1:4" ht="27.6" x14ac:dyDescent="0.3">
      <c r="A45" s="171" t="s">
        <v>1861</v>
      </c>
      <c r="B45" s="47" t="s">
        <v>1041</v>
      </c>
      <c r="C45" s="9"/>
      <c r="D45" s="36"/>
    </row>
    <row r="46" spans="1:4" ht="27.6" x14ac:dyDescent="0.3">
      <c r="A46" s="168" t="s">
        <v>1866</v>
      </c>
      <c r="B46" s="184" t="s">
        <v>1862</v>
      </c>
      <c r="C46" s="45"/>
      <c r="D46" s="45"/>
    </row>
    <row r="47" spans="1:4" ht="27.6" x14ac:dyDescent="0.3">
      <c r="A47" s="171" t="s">
        <v>1866</v>
      </c>
      <c r="B47" s="47" t="s">
        <v>1867</v>
      </c>
      <c r="C47" s="194"/>
      <c r="D47" s="36"/>
    </row>
    <row r="48" spans="1:4" ht="41.4" x14ac:dyDescent="0.3">
      <c r="A48" s="171" t="s">
        <v>1866</v>
      </c>
      <c r="B48" s="47" t="s">
        <v>1868</v>
      </c>
      <c r="C48" s="194"/>
      <c r="D48" s="36"/>
    </row>
    <row r="49" spans="1:4" ht="14.4" x14ac:dyDescent="0.3">
      <c r="A49" s="171" t="s">
        <v>1866</v>
      </c>
      <c r="B49" s="47" t="s">
        <v>1145</v>
      </c>
      <c r="C49" s="194"/>
      <c r="D49" s="36"/>
    </row>
    <row r="50" spans="1:4" ht="27.6" x14ac:dyDescent="0.3">
      <c r="A50" s="171" t="s">
        <v>1866</v>
      </c>
      <c r="B50" s="47" t="s">
        <v>1501</v>
      </c>
      <c r="C50" s="194"/>
      <c r="D50" s="36"/>
    </row>
    <row r="51" spans="1:4" ht="27.6" x14ac:dyDescent="0.3">
      <c r="A51" s="168" t="s">
        <v>1869</v>
      </c>
      <c r="B51" s="184" t="s">
        <v>1862</v>
      </c>
      <c r="C51" s="45"/>
      <c r="D51" s="45"/>
    </row>
    <row r="52" spans="1:4" ht="42.6" x14ac:dyDescent="0.3">
      <c r="A52" s="171" t="s">
        <v>1869</v>
      </c>
      <c r="B52" s="47" t="s">
        <v>1870</v>
      </c>
      <c r="C52" s="194"/>
      <c r="D52" s="36"/>
    </row>
    <row r="53" spans="1:4" ht="27.6" x14ac:dyDescent="0.3">
      <c r="A53" s="171" t="s">
        <v>1869</v>
      </c>
      <c r="B53" s="47" t="s">
        <v>1871</v>
      </c>
      <c r="C53" s="194"/>
      <c r="D53" s="36"/>
    </row>
    <row r="54" spans="1:4" ht="14.4" x14ac:dyDescent="0.3">
      <c r="A54" s="171" t="s">
        <v>1869</v>
      </c>
      <c r="B54" s="47" t="s">
        <v>1872</v>
      </c>
      <c r="C54" s="194"/>
      <c r="D54" s="36"/>
    </row>
    <row r="55" spans="1:4" ht="27.6" x14ac:dyDescent="0.3">
      <c r="A55" s="171" t="s">
        <v>1869</v>
      </c>
      <c r="B55" s="47" t="s">
        <v>1873</v>
      </c>
      <c r="C55" s="194"/>
      <c r="D55" s="36"/>
    </row>
    <row r="56" spans="1:4" ht="27.6" x14ac:dyDescent="0.3">
      <c r="A56" s="171" t="s">
        <v>1869</v>
      </c>
      <c r="B56" s="47" t="s">
        <v>1874</v>
      </c>
      <c r="C56" s="194"/>
      <c r="D56" s="36"/>
    </row>
    <row r="57" spans="1:4" ht="14.4" x14ac:dyDescent="0.3">
      <c r="A57" s="171" t="s">
        <v>1869</v>
      </c>
      <c r="B57" s="47" t="s">
        <v>1875</v>
      </c>
      <c r="C57" s="194"/>
      <c r="D57" s="36"/>
    </row>
    <row r="58" spans="1:4" ht="27.6" x14ac:dyDescent="0.3">
      <c r="A58" s="171" t="s">
        <v>1869</v>
      </c>
      <c r="B58" s="47" t="s">
        <v>1876</v>
      </c>
      <c r="C58" s="9"/>
      <c r="D58" s="36"/>
    </row>
    <row r="59" spans="1:4" ht="27.6" x14ac:dyDescent="0.3">
      <c r="A59" s="171" t="s">
        <v>1869</v>
      </c>
      <c r="B59" s="47" t="s">
        <v>1877</v>
      </c>
      <c r="C59" s="9"/>
      <c r="D59" s="36"/>
    </row>
    <row r="60" spans="1:4" ht="27.6" x14ac:dyDescent="0.3">
      <c r="A60" s="171" t="s">
        <v>1869</v>
      </c>
      <c r="B60" s="47" t="s">
        <v>1878</v>
      </c>
      <c r="C60" s="9"/>
      <c r="D60" s="36"/>
    </row>
    <row r="61" spans="1:4" ht="41.4" x14ac:dyDescent="0.3">
      <c r="A61" s="171" t="s">
        <v>1869</v>
      </c>
      <c r="B61" s="47" t="s">
        <v>1879</v>
      </c>
      <c r="C61" s="9"/>
      <c r="D61" s="36"/>
    </row>
    <row r="62" spans="1:4" ht="14.4" x14ac:dyDescent="0.3">
      <c r="A62" s="168" t="s">
        <v>1869</v>
      </c>
      <c r="B62" s="184" t="s">
        <v>1145</v>
      </c>
      <c r="C62" s="45"/>
      <c r="D62" s="45"/>
    </row>
    <row r="63" spans="1:4" ht="27.6" x14ac:dyDescent="0.3">
      <c r="A63" s="171" t="s">
        <v>1869</v>
      </c>
      <c r="B63" s="47" t="s">
        <v>1880</v>
      </c>
      <c r="C63" s="9"/>
      <c r="D63" s="36"/>
    </row>
    <row r="64" spans="1:4" ht="27.6" x14ac:dyDescent="0.3">
      <c r="A64" s="171" t="s">
        <v>1881</v>
      </c>
      <c r="B64" s="47" t="s">
        <v>1882</v>
      </c>
      <c r="C64" s="9"/>
      <c r="D64" s="36"/>
    </row>
    <row r="65" spans="1:4" ht="27.6" x14ac:dyDescent="0.3">
      <c r="A65" s="171" t="s">
        <v>1881</v>
      </c>
      <c r="B65" s="47" t="s">
        <v>1883</v>
      </c>
      <c r="C65" s="9"/>
      <c r="D65" s="36"/>
    </row>
    <row r="66" spans="1:4" ht="14.4" x14ac:dyDescent="0.3">
      <c r="A66" s="171" t="s">
        <v>1881</v>
      </c>
      <c r="B66" s="47" t="s">
        <v>1884</v>
      </c>
      <c r="C66" s="9"/>
      <c r="D66" s="36"/>
    </row>
    <row r="67" spans="1:4" ht="27.6" x14ac:dyDescent="0.3">
      <c r="A67" s="171" t="s">
        <v>1881</v>
      </c>
      <c r="B67" s="47" t="s">
        <v>1885</v>
      </c>
      <c r="C67" s="9"/>
      <c r="D67" s="36"/>
    </row>
    <row r="68" spans="1:4" ht="14.4" x14ac:dyDescent="0.3">
      <c r="A68" s="171" t="s">
        <v>1881</v>
      </c>
      <c r="B68" s="47" t="s">
        <v>1886</v>
      </c>
      <c r="C68" s="9"/>
      <c r="D68" s="36"/>
    </row>
    <row r="69" spans="1:4" ht="14.4" x14ac:dyDescent="0.3">
      <c r="A69" s="171" t="s">
        <v>1881</v>
      </c>
      <c r="B69" s="47" t="s">
        <v>1887</v>
      </c>
      <c r="C69" s="9"/>
      <c r="D69" s="36"/>
    </row>
    <row r="70" spans="1:4" ht="41.4" x14ac:dyDescent="0.3">
      <c r="A70" s="171" t="s">
        <v>1881</v>
      </c>
      <c r="B70" s="47" t="s">
        <v>1888</v>
      </c>
      <c r="C70" s="9"/>
      <c r="D70" s="36"/>
    </row>
    <row r="71" spans="1:4" ht="14.4" x14ac:dyDescent="0.3">
      <c r="A71" s="171" t="s">
        <v>1881</v>
      </c>
      <c r="B71" s="47" t="s">
        <v>1889</v>
      </c>
      <c r="C71" s="9"/>
      <c r="D71" s="36"/>
    </row>
    <row r="72" spans="1:4" ht="27.6" x14ac:dyDescent="0.3">
      <c r="A72" s="171" t="s">
        <v>1881</v>
      </c>
      <c r="B72" s="47" t="s">
        <v>1890</v>
      </c>
      <c r="C72" s="9"/>
      <c r="D72" s="36"/>
    </row>
    <row r="73" spans="1:4" ht="69" x14ac:dyDescent="0.3">
      <c r="A73" s="171" t="s">
        <v>1881</v>
      </c>
      <c r="B73" s="47" t="s">
        <v>1891</v>
      </c>
      <c r="C73" s="9"/>
      <c r="D73" s="36"/>
    </row>
    <row r="74" spans="1:4" ht="82.8" x14ac:dyDescent="0.3">
      <c r="A74" s="171" t="s">
        <v>1881</v>
      </c>
      <c r="B74" s="47" t="s">
        <v>1892</v>
      </c>
      <c r="C74" s="9"/>
      <c r="D74" s="36"/>
    </row>
    <row r="75" spans="1:4" ht="14.4" x14ac:dyDescent="0.3">
      <c r="A75" s="168" t="s">
        <v>1881</v>
      </c>
      <c r="B75" s="184" t="s">
        <v>1145</v>
      </c>
      <c r="C75" s="45"/>
      <c r="D75" s="45"/>
    </row>
    <row r="76" spans="1:4" ht="27.6" x14ac:dyDescent="0.3">
      <c r="A76" s="171" t="s">
        <v>1881</v>
      </c>
      <c r="B76" s="47" t="s">
        <v>1119</v>
      </c>
      <c r="C76" s="9"/>
      <c r="D76" s="36"/>
    </row>
    <row r="77" spans="1:4" ht="27.6" x14ac:dyDescent="0.3">
      <c r="A77" s="168" t="s">
        <v>1893</v>
      </c>
      <c r="B77" s="184" t="s">
        <v>1894</v>
      </c>
      <c r="C77" s="45"/>
      <c r="D77" s="45"/>
    </row>
    <row r="78" spans="1:4" ht="14.4" x14ac:dyDescent="0.3">
      <c r="A78" s="190" t="s">
        <v>1893</v>
      </c>
      <c r="B78" s="87" t="s">
        <v>1895</v>
      </c>
      <c r="C78" s="88"/>
      <c r="D78" s="190"/>
    </row>
    <row r="81" spans="2:3" ht="14.4" x14ac:dyDescent="0.3">
      <c r="B81" s="15" t="s">
        <v>75</v>
      </c>
      <c r="C81" s="2">
        <f>COUNTIF($C$4:$C$78,"C")</f>
        <v>1</v>
      </c>
    </row>
    <row r="82" spans="2:3" ht="14.4" x14ac:dyDescent="0.3">
      <c r="B82" s="15" t="s">
        <v>81</v>
      </c>
      <c r="C82" s="2">
        <f>COUNTIF($C$4:$C$78,"NC")</f>
        <v>1</v>
      </c>
    </row>
    <row r="83" spans="2:3" ht="14.4" x14ac:dyDescent="0.3">
      <c r="B83" s="15" t="s">
        <v>84</v>
      </c>
      <c r="C83" s="2">
        <f>COUNTIF($C$4:$C$78,"NA")</f>
        <v>1</v>
      </c>
    </row>
  </sheetData>
  <autoFilter ref="A4:D78" xr:uid="{00000000-0009-0000-0000-000018000000}"/>
  <conditionalFormatting sqref="C6:C14 C16:C17 C19:C30 C32:C38 C40:C43 C45 C47:C50 C52:C61 C63:C74 C76 C78">
    <cfRule type="beginsWith" dxfId="68" priority="1" operator="beginsWith" text="C">
      <formula>LEFT((C6),LEN("C"))=("C")</formula>
    </cfRule>
    <cfRule type="beginsWith" dxfId="67" priority="2" operator="beginsWith" text="NC">
      <formula>LEFT((C6),LEN("NC"))=("NC")</formula>
    </cfRule>
    <cfRule type="beginsWith" dxfId="66" priority="3" operator="beginsWith" text="NA">
      <formula>LEFT((C6),LEN("NA"))=("NA")</formula>
    </cfRule>
  </conditionalFormatting>
  <dataValidations count="1">
    <dataValidation type="list" allowBlank="1" sqref="C6 C8:C14 C16:C17 C19 C21:C30 C32:C33 C35:C36 C38 C40:C43 C45 C47:C50 C52:C61 C63:C74 C76 C78" xr:uid="{00000000-0002-0000-1800-000000000000}">
      <formula1>"C,NC,NA"</formula1>
    </dataValidation>
  </dataValidations>
  <hyperlinks>
    <hyperlink ref="B1" location="'Tabla de contenido'!A1" display="VOLVER A TABLA DE CONTENIDO" xr:uid="{00000000-0004-0000-1800-000000000000}"/>
  </hyperlinks>
  <pageMargins left="0.7" right="0.7" top="0.75" bottom="0.75" header="0" footer="0"/>
  <pageSetup orientation="portrait"/>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41B47"/>
  </sheetPr>
  <dimension ref="A1:D62"/>
  <sheetViews>
    <sheetView showGridLines="0" topLeftCell="A43" workbookViewId="0">
      <selection activeCell="B55" sqref="B55"/>
    </sheetView>
  </sheetViews>
  <sheetFormatPr baseColWidth="10" defaultColWidth="14.44140625" defaultRowHeight="15" customHeight="1" outlineLevelCol="1" x14ac:dyDescent="0.3"/>
  <cols>
    <col min="1" max="1" width="13.5546875" customWidth="1"/>
    <col min="2" max="2" width="66.21875" customWidth="1"/>
    <col min="3" max="3" width="11.5546875" customWidth="1"/>
    <col min="4" max="4" width="26" customWidth="1" outlineLevel="1"/>
    <col min="5" max="5" width="2.33203125" customWidth="1"/>
    <col min="6" max="24" width="10.77734375" customWidth="1"/>
  </cols>
  <sheetData>
    <row r="1" spans="1:4" ht="14.4" x14ac:dyDescent="0.3">
      <c r="A1" s="269"/>
      <c r="B1" s="270" t="s">
        <v>0</v>
      </c>
      <c r="C1" s="269"/>
      <c r="D1" s="269"/>
    </row>
    <row r="2" spans="1:4" ht="14.4" x14ac:dyDescent="0.3">
      <c r="A2" s="74"/>
      <c r="B2" s="115" t="s">
        <v>919</v>
      </c>
      <c r="C2" s="116"/>
      <c r="D2" s="77"/>
    </row>
    <row r="3" spans="1:4" ht="14.4" x14ac:dyDescent="0.3">
      <c r="A3" s="6"/>
      <c r="B3" s="40" t="s">
        <v>1896</v>
      </c>
      <c r="C3" s="117"/>
      <c r="D3" s="19"/>
    </row>
    <row r="4" spans="1:4" ht="14.4" x14ac:dyDescent="0.3">
      <c r="A4" s="118" t="s">
        <v>7</v>
      </c>
      <c r="B4" s="40" t="s">
        <v>9</v>
      </c>
      <c r="C4" s="6" t="s">
        <v>10</v>
      </c>
      <c r="D4" s="6" t="s">
        <v>11</v>
      </c>
    </row>
    <row r="5" spans="1:4" ht="27.6" x14ac:dyDescent="0.3">
      <c r="A5" s="168" t="s">
        <v>1897</v>
      </c>
      <c r="B5" s="184" t="s">
        <v>1898</v>
      </c>
      <c r="C5" s="192"/>
      <c r="D5" s="45"/>
    </row>
    <row r="6" spans="1:4" ht="27.6" x14ac:dyDescent="0.3">
      <c r="A6" s="171" t="s">
        <v>1897</v>
      </c>
      <c r="B6" s="125" t="s">
        <v>1900</v>
      </c>
      <c r="C6" s="9" t="s">
        <v>16</v>
      </c>
      <c r="D6" s="50"/>
    </row>
    <row r="7" spans="1:4" ht="41.4" x14ac:dyDescent="0.3">
      <c r="A7" s="171" t="s">
        <v>1897</v>
      </c>
      <c r="B7" s="125" t="s">
        <v>1903</v>
      </c>
      <c r="C7" s="9" t="s">
        <v>16</v>
      </c>
      <c r="D7" s="50"/>
    </row>
    <row r="8" spans="1:4" ht="27.6" x14ac:dyDescent="0.3">
      <c r="A8" s="171" t="s">
        <v>1897</v>
      </c>
      <c r="B8" s="125" t="s">
        <v>1904</v>
      </c>
      <c r="C8" s="9" t="s">
        <v>24</v>
      </c>
      <c r="D8" s="50"/>
    </row>
    <row r="9" spans="1:4" ht="27.6" x14ac:dyDescent="0.3">
      <c r="A9" s="171" t="s">
        <v>1897</v>
      </c>
      <c r="B9" s="125" t="s">
        <v>1906</v>
      </c>
      <c r="C9" s="9"/>
      <c r="D9" s="50"/>
    </row>
    <row r="10" spans="1:4" ht="14.4" x14ac:dyDescent="0.3">
      <c r="A10" s="168" t="s">
        <v>1897</v>
      </c>
      <c r="B10" s="184" t="s">
        <v>1907</v>
      </c>
      <c r="C10" s="192"/>
      <c r="D10" s="45"/>
    </row>
    <row r="11" spans="1:4" ht="14.4" x14ac:dyDescent="0.3">
      <c r="A11" s="168" t="s">
        <v>1897</v>
      </c>
      <c r="B11" s="184" t="s">
        <v>1909</v>
      </c>
      <c r="C11" s="192"/>
      <c r="D11" s="45"/>
    </row>
    <row r="12" spans="1:4" ht="41.4" x14ac:dyDescent="0.3">
      <c r="A12" s="171" t="s">
        <v>1897</v>
      </c>
      <c r="B12" s="125" t="s">
        <v>1910</v>
      </c>
      <c r="C12" s="9"/>
      <c r="D12" s="50"/>
    </row>
    <row r="13" spans="1:4" ht="27.6" x14ac:dyDescent="0.3">
      <c r="A13" s="171" t="s">
        <v>1897</v>
      </c>
      <c r="B13" s="125" t="s">
        <v>1912</v>
      </c>
      <c r="C13" s="9"/>
      <c r="D13" s="50"/>
    </row>
    <row r="14" spans="1:4" ht="14.4" x14ac:dyDescent="0.3">
      <c r="A14" s="184" t="s">
        <v>1913</v>
      </c>
      <c r="B14" s="184" t="s">
        <v>720</v>
      </c>
      <c r="C14" s="192"/>
      <c r="D14" s="45"/>
    </row>
    <row r="15" spans="1:4" ht="27.6" x14ac:dyDescent="0.3">
      <c r="A15" s="171" t="s">
        <v>1913</v>
      </c>
      <c r="B15" s="47" t="s">
        <v>1915</v>
      </c>
      <c r="C15" s="9"/>
      <c r="D15" s="36"/>
    </row>
    <row r="16" spans="1:4" ht="27.6" x14ac:dyDescent="0.3">
      <c r="A16" s="198" t="s">
        <v>1913</v>
      </c>
      <c r="B16" s="47" t="s">
        <v>1916</v>
      </c>
      <c r="C16" s="9"/>
      <c r="D16" s="36"/>
    </row>
    <row r="17" spans="1:4" ht="14.4" x14ac:dyDescent="0.3">
      <c r="A17" s="198" t="s">
        <v>1913</v>
      </c>
      <c r="B17" s="47" t="s">
        <v>1439</v>
      </c>
      <c r="C17" s="9"/>
      <c r="D17" s="36"/>
    </row>
    <row r="18" spans="1:4" ht="14.4" x14ac:dyDescent="0.3">
      <c r="A18" s="198" t="s">
        <v>1913</v>
      </c>
      <c r="B18" s="47" t="s">
        <v>1919</v>
      </c>
      <c r="C18" s="9"/>
      <c r="D18" s="49"/>
    </row>
    <row r="19" spans="1:4" ht="27.6" x14ac:dyDescent="0.3">
      <c r="A19" s="198" t="s">
        <v>1913</v>
      </c>
      <c r="B19" s="47" t="s">
        <v>1922</v>
      </c>
      <c r="C19" s="9"/>
      <c r="D19" s="50"/>
    </row>
    <row r="20" spans="1:4" ht="27.6" x14ac:dyDescent="0.3">
      <c r="A20" s="198" t="s">
        <v>1913</v>
      </c>
      <c r="B20" s="47" t="s">
        <v>1924</v>
      </c>
      <c r="C20" s="9"/>
      <c r="D20" s="36"/>
    </row>
    <row r="21" spans="1:4" ht="14.4" x14ac:dyDescent="0.3">
      <c r="A21" s="168" t="s">
        <v>1913</v>
      </c>
      <c r="B21" s="184" t="s">
        <v>1926</v>
      </c>
      <c r="C21" s="192"/>
      <c r="D21" s="45"/>
    </row>
    <row r="22" spans="1:4" ht="14.4" x14ac:dyDescent="0.3">
      <c r="A22" s="171" t="s">
        <v>1913</v>
      </c>
      <c r="B22" s="47" t="s">
        <v>1927</v>
      </c>
      <c r="C22" s="9"/>
      <c r="D22" s="36"/>
    </row>
    <row r="23" spans="1:4" ht="14.4" x14ac:dyDescent="0.3">
      <c r="A23" s="171" t="s">
        <v>1913</v>
      </c>
      <c r="B23" s="47" t="s">
        <v>1929</v>
      </c>
      <c r="C23" s="9"/>
      <c r="D23" s="36"/>
    </row>
    <row r="24" spans="1:4" ht="14.4" x14ac:dyDescent="0.3">
      <c r="A24" s="168" t="s">
        <v>1913</v>
      </c>
      <c r="B24" s="184" t="s">
        <v>1931</v>
      </c>
      <c r="C24" s="192"/>
      <c r="D24" s="45"/>
    </row>
    <row r="25" spans="1:4" ht="14.4" x14ac:dyDescent="0.3">
      <c r="A25" s="198" t="s">
        <v>1913</v>
      </c>
      <c r="B25" s="47" t="s">
        <v>1932</v>
      </c>
      <c r="C25" s="9"/>
      <c r="D25" s="36"/>
    </row>
    <row r="26" spans="1:4" ht="27.6" x14ac:dyDescent="0.3">
      <c r="A26" s="168" t="s">
        <v>1934</v>
      </c>
      <c r="B26" s="184" t="s">
        <v>926</v>
      </c>
      <c r="C26" s="192"/>
      <c r="D26" s="45"/>
    </row>
    <row r="27" spans="1:4" ht="27.6" x14ac:dyDescent="0.3">
      <c r="A27" s="171" t="s">
        <v>1934</v>
      </c>
      <c r="B27" s="47" t="s">
        <v>1137</v>
      </c>
      <c r="C27" s="9"/>
      <c r="D27" s="36"/>
    </row>
    <row r="28" spans="1:4" ht="14.4" x14ac:dyDescent="0.3">
      <c r="A28" s="171" t="s">
        <v>1934</v>
      </c>
      <c r="B28" s="47" t="s">
        <v>1937</v>
      </c>
      <c r="C28" s="9"/>
      <c r="D28" s="36"/>
    </row>
    <row r="29" spans="1:4" ht="14.4" x14ac:dyDescent="0.3">
      <c r="A29" s="171" t="s">
        <v>1934</v>
      </c>
      <c r="B29" s="47" t="s">
        <v>1938</v>
      </c>
      <c r="C29" s="9"/>
      <c r="D29" s="36"/>
    </row>
    <row r="30" spans="1:4" ht="14.4" x14ac:dyDescent="0.3">
      <c r="A30" s="171" t="s">
        <v>1934</v>
      </c>
      <c r="B30" s="47" t="s">
        <v>1940</v>
      </c>
      <c r="C30" s="9"/>
      <c r="D30" s="36"/>
    </row>
    <row r="31" spans="1:4" ht="27.6" x14ac:dyDescent="0.3">
      <c r="A31" s="168" t="s">
        <v>1941</v>
      </c>
      <c r="B31" s="184" t="s">
        <v>926</v>
      </c>
      <c r="C31" s="45"/>
      <c r="D31" s="45"/>
    </row>
    <row r="32" spans="1:4" ht="27.6" x14ac:dyDescent="0.3">
      <c r="A32" s="171" t="s">
        <v>1941</v>
      </c>
      <c r="B32" s="47" t="s">
        <v>1803</v>
      </c>
      <c r="C32" s="9"/>
      <c r="D32" s="36"/>
    </row>
    <row r="33" spans="1:4" ht="27.6" x14ac:dyDescent="0.3">
      <c r="A33" s="171" t="s">
        <v>1941</v>
      </c>
      <c r="B33" s="47" t="s">
        <v>1945</v>
      </c>
      <c r="C33" s="9"/>
      <c r="D33" s="36"/>
    </row>
    <row r="34" spans="1:4" ht="14.4" x14ac:dyDescent="0.3">
      <c r="A34" s="171" t="s">
        <v>1941</v>
      </c>
      <c r="B34" s="47" t="s">
        <v>1947</v>
      </c>
      <c r="C34" s="9"/>
      <c r="D34" s="36"/>
    </row>
    <row r="35" spans="1:4" ht="14.4" x14ac:dyDescent="0.3">
      <c r="A35" s="171" t="s">
        <v>1941</v>
      </c>
      <c r="B35" s="47" t="s">
        <v>1948</v>
      </c>
      <c r="C35" s="9"/>
      <c r="D35" s="36"/>
    </row>
    <row r="36" spans="1:4" ht="14.4" x14ac:dyDescent="0.3">
      <c r="A36" s="171" t="s">
        <v>1941</v>
      </c>
      <c r="B36" s="47" t="s">
        <v>1949</v>
      </c>
      <c r="C36" s="9"/>
      <c r="D36" s="36"/>
    </row>
    <row r="37" spans="1:4" ht="27.6" x14ac:dyDescent="0.3">
      <c r="A37" s="171" t="s">
        <v>1941</v>
      </c>
      <c r="B37" s="47" t="s">
        <v>1951</v>
      </c>
      <c r="C37" s="9"/>
      <c r="D37" s="36"/>
    </row>
    <row r="38" spans="1:4" ht="27.6" x14ac:dyDescent="0.3">
      <c r="A38" s="171" t="s">
        <v>1941</v>
      </c>
      <c r="B38" s="47" t="s">
        <v>1953</v>
      </c>
      <c r="C38" s="9"/>
      <c r="D38" s="36"/>
    </row>
    <row r="39" spans="1:4" ht="14.4" x14ac:dyDescent="0.3">
      <c r="A39" s="171" t="s">
        <v>1941</v>
      </c>
      <c r="B39" s="47" t="s">
        <v>1955</v>
      </c>
      <c r="C39" s="9"/>
      <c r="D39" s="36"/>
    </row>
    <row r="40" spans="1:4" ht="14.4" x14ac:dyDescent="0.3">
      <c r="A40" s="171" t="s">
        <v>1941</v>
      </c>
      <c r="B40" s="47" t="s">
        <v>1956</v>
      </c>
      <c r="C40" s="9"/>
      <c r="D40" s="36"/>
    </row>
    <row r="41" spans="1:4" ht="27.6" x14ac:dyDescent="0.3">
      <c r="A41" s="171" t="s">
        <v>1941</v>
      </c>
      <c r="B41" s="47" t="s">
        <v>1957</v>
      </c>
      <c r="C41" s="9"/>
      <c r="D41" s="36"/>
    </row>
    <row r="42" spans="1:4" ht="27.6" x14ac:dyDescent="0.3">
      <c r="A42" s="171" t="s">
        <v>1941</v>
      </c>
      <c r="B42" s="47" t="s">
        <v>1958</v>
      </c>
      <c r="C42" s="9"/>
      <c r="D42" s="36"/>
    </row>
    <row r="43" spans="1:4" ht="27.6" x14ac:dyDescent="0.3">
      <c r="A43" s="168" t="s">
        <v>1960</v>
      </c>
      <c r="B43" s="184" t="s">
        <v>926</v>
      </c>
      <c r="C43" s="45"/>
      <c r="D43" s="45"/>
    </row>
    <row r="44" spans="1:4" ht="27.6" x14ac:dyDescent="0.3">
      <c r="A44" s="171" t="s">
        <v>1960</v>
      </c>
      <c r="B44" s="47" t="s">
        <v>1963</v>
      </c>
      <c r="C44" s="9"/>
      <c r="D44" s="36"/>
    </row>
    <row r="45" spans="1:4" ht="27.6" x14ac:dyDescent="0.3">
      <c r="A45" s="171" t="s">
        <v>1960</v>
      </c>
      <c r="B45" s="47" t="s">
        <v>1964</v>
      </c>
      <c r="C45" s="9"/>
      <c r="D45" s="36"/>
    </row>
    <row r="46" spans="1:4" ht="27.6" x14ac:dyDescent="0.3">
      <c r="A46" s="171" t="s">
        <v>1960</v>
      </c>
      <c r="B46" s="47" t="s">
        <v>1966</v>
      </c>
      <c r="C46" s="9"/>
      <c r="D46" s="36"/>
    </row>
    <row r="47" spans="1:4" ht="14.4" x14ac:dyDescent="0.3">
      <c r="A47" s="171" t="s">
        <v>1960</v>
      </c>
      <c r="B47" s="47" t="s">
        <v>1969</v>
      </c>
      <c r="C47" s="9"/>
      <c r="D47" s="36"/>
    </row>
    <row r="48" spans="1:4" ht="14.4" x14ac:dyDescent="0.3">
      <c r="A48" s="171" t="s">
        <v>1960</v>
      </c>
      <c r="B48" s="47" t="s">
        <v>1970</v>
      </c>
      <c r="C48" s="9"/>
      <c r="D48" s="36"/>
    </row>
    <row r="49" spans="1:4" ht="14.4" x14ac:dyDescent="0.3">
      <c r="A49" s="171" t="s">
        <v>1960</v>
      </c>
      <c r="B49" s="47" t="s">
        <v>1972</v>
      </c>
      <c r="C49" s="9"/>
      <c r="D49" s="36"/>
    </row>
    <row r="50" spans="1:4" ht="27.6" x14ac:dyDescent="0.3">
      <c r="A50" s="168" t="s">
        <v>1974</v>
      </c>
      <c r="B50" s="184" t="s">
        <v>926</v>
      </c>
      <c r="C50" s="45"/>
      <c r="D50" s="45"/>
    </row>
    <row r="51" spans="1:4" ht="27.6" x14ac:dyDescent="0.3">
      <c r="A51" s="171" t="s">
        <v>1974</v>
      </c>
      <c r="B51" s="47" t="s">
        <v>1976</v>
      </c>
      <c r="C51" s="9"/>
      <c r="D51" s="36"/>
    </row>
    <row r="52" spans="1:4" ht="14.4" x14ac:dyDescent="0.3">
      <c r="A52" s="171" t="s">
        <v>1974</v>
      </c>
      <c r="B52" s="47" t="s">
        <v>1978</v>
      </c>
      <c r="C52" s="9"/>
      <c r="D52" s="36"/>
    </row>
    <row r="53" spans="1:4" ht="14.4" x14ac:dyDescent="0.3">
      <c r="A53" s="171" t="s">
        <v>1974</v>
      </c>
      <c r="B53" s="47" t="s">
        <v>1979</v>
      </c>
      <c r="C53" s="9"/>
      <c r="D53" s="36"/>
    </row>
    <row r="54" spans="1:4" ht="41.4" x14ac:dyDescent="0.3">
      <c r="A54" s="171" t="s">
        <v>1974</v>
      </c>
      <c r="B54" s="47" t="s">
        <v>1981</v>
      </c>
      <c r="C54" s="9"/>
      <c r="D54" s="36"/>
    </row>
    <row r="55" spans="1:4" ht="27.6" x14ac:dyDescent="0.3">
      <c r="A55" s="171" t="s">
        <v>1974</v>
      </c>
      <c r="B55" s="47" t="s">
        <v>1983</v>
      </c>
      <c r="C55" s="9"/>
      <c r="D55" s="36"/>
    </row>
    <row r="56" spans="1:4" ht="27.6" x14ac:dyDescent="0.3">
      <c r="A56" s="168" t="s">
        <v>1984</v>
      </c>
      <c r="B56" s="184" t="s">
        <v>926</v>
      </c>
      <c r="C56" s="45"/>
      <c r="D56" s="45"/>
    </row>
    <row r="57" spans="1:4" ht="41.4" x14ac:dyDescent="0.3">
      <c r="A57" s="190" t="s">
        <v>1984</v>
      </c>
      <c r="B57" s="87" t="s">
        <v>1986</v>
      </c>
      <c r="C57" s="88"/>
      <c r="D57" s="190"/>
    </row>
    <row r="58" spans="1:4" ht="14.4" x14ac:dyDescent="0.3">
      <c r="A58" s="17"/>
      <c r="B58" s="46"/>
      <c r="C58" s="17"/>
      <c r="D58" s="17"/>
    </row>
    <row r="59" spans="1:4" ht="14.4" x14ac:dyDescent="0.3">
      <c r="A59" s="17"/>
      <c r="B59" s="46"/>
      <c r="C59" s="17"/>
      <c r="D59" s="17"/>
    </row>
    <row r="60" spans="1:4" ht="14.4" x14ac:dyDescent="0.3">
      <c r="A60" s="17"/>
      <c r="B60" s="15" t="s">
        <v>75</v>
      </c>
      <c r="C60" s="2">
        <f>COUNTIF($C$4:$C$57,"C")</f>
        <v>2</v>
      </c>
      <c r="D60" s="17"/>
    </row>
    <row r="61" spans="1:4" ht="14.4" x14ac:dyDescent="0.3">
      <c r="A61" s="17"/>
      <c r="B61" s="15" t="s">
        <v>81</v>
      </c>
      <c r="C61" s="2">
        <f>COUNTIF($C$4:$C$57,"NC")</f>
        <v>0</v>
      </c>
      <c r="D61" s="17"/>
    </row>
    <row r="62" spans="1:4" ht="14.4" x14ac:dyDescent="0.3">
      <c r="A62" s="17"/>
      <c r="B62" s="15" t="s">
        <v>84</v>
      </c>
      <c r="C62" s="2">
        <f>COUNTIF($C$4:$C$57,"NA")</f>
        <v>1</v>
      </c>
      <c r="D62" s="17"/>
    </row>
  </sheetData>
  <autoFilter ref="A4:D30" xr:uid="{00000000-0009-0000-0000-000019000000}"/>
  <conditionalFormatting sqref="C5:C30 C32:C42 C44:C49 C51:C55 C57">
    <cfRule type="beginsWith" dxfId="65" priority="1" operator="beginsWith" text="C">
      <formula>LEFT((C5),LEN("C"))=("C")</formula>
    </cfRule>
    <cfRule type="beginsWith" dxfId="64" priority="2" operator="beginsWith" text="NC">
      <formula>LEFT((C5),LEN("NC"))=("NC")</formula>
    </cfRule>
    <cfRule type="beginsWith" dxfId="63" priority="3" operator="beginsWith" text="NA">
      <formula>LEFT((C5),LEN("NA"))=("NA")</formula>
    </cfRule>
  </conditionalFormatting>
  <dataValidations count="1">
    <dataValidation type="list" allowBlank="1" sqref="C6:C9 C12:C13 C15:C20 C22:C23 C25 C27:C30 C32:C42 C44:C49 C51:C55 C57" xr:uid="{00000000-0002-0000-1900-000000000000}">
      <formula1>"C,NC,NA"</formula1>
    </dataValidation>
  </dataValidations>
  <hyperlinks>
    <hyperlink ref="B1" location="'Tabla de contenido'!A1" display="VOLVER A TABLA DE CONTENIDO" xr:uid="{00000000-0004-0000-1900-000000000000}"/>
  </hyperlinks>
  <pageMargins left="0.7" right="0.7" top="0.75" bottom="0.75" header="0" footer="0"/>
  <pageSetup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41B47"/>
  </sheetPr>
  <dimension ref="A1:D57"/>
  <sheetViews>
    <sheetView showGridLines="0" workbookViewId="0">
      <selection sqref="A1:D1"/>
    </sheetView>
  </sheetViews>
  <sheetFormatPr baseColWidth="10" defaultColWidth="14.44140625" defaultRowHeight="15" customHeight="1" outlineLevelCol="1" x14ac:dyDescent="0.3"/>
  <cols>
    <col min="1" max="1" width="13.5546875" customWidth="1"/>
    <col min="2" max="2" width="66.21875" customWidth="1"/>
    <col min="3" max="3" width="11.5546875" customWidth="1"/>
    <col min="4" max="4" width="26" customWidth="1" outlineLevel="1"/>
    <col min="5" max="5" width="2.33203125" customWidth="1"/>
    <col min="6" max="24" width="10.77734375" customWidth="1"/>
  </cols>
  <sheetData>
    <row r="1" spans="1:4" ht="14.4" x14ac:dyDescent="0.3">
      <c r="A1" s="269"/>
      <c r="B1" s="270" t="s">
        <v>0</v>
      </c>
      <c r="C1" s="269"/>
      <c r="D1" s="269"/>
    </row>
    <row r="2" spans="1:4" ht="14.4" x14ac:dyDescent="0.3">
      <c r="A2" s="59"/>
      <c r="B2" s="195" t="s">
        <v>919</v>
      </c>
      <c r="C2" s="196"/>
      <c r="D2" s="62"/>
    </row>
    <row r="3" spans="1:4" ht="14.4" x14ac:dyDescent="0.3">
      <c r="A3" s="59"/>
      <c r="B3" s="195" t="s">
        <v>1899</v>
      </c>
      <c r="C3" s="61"/>
      <c r="D3" s="62"/>
    </row>
    <row r="4" spans="1:4" ht="14.4" x14ac:dyDescent="0.3">
      <c r="A4" s="59" t="s">
        <v>7</v>
      </c>
      <c r="B4" s="195" t="s">
        <v>9</v>
      </c>
      <c r="C4" s="59" t="s">
        <v>10</v>
      </c>
      <c r="D4" s="59" t="s">
        <v>11</v>
      </c>
    </row>
    <row r="5" spans="1:4" ht="14.4" x14ac:dyDescent="0.3">
      <c r="A5" s="168" t="s">
        <v>1901</v>
      </c>
      <c r="B5" s="184" t="s">
        <v>1902</v>
      </c>
      <c r="C5" s="197"/>
      <c r="D5" s="45"/>
    </row>
    <row r="6" spans="1:4" ht="14.4" x14ac:dyDescent="0.3">
      <c r="A6" s="168" t="s">
        <v>1901</v>
      </c>
      <c r="B6" s="184" t="s">
        <v>1905</v>
      </c>
      <c r="C6" s="197"/>
      <c r="D6" s="45"/>
    </row>
    <row r="7" spans="1:4" ht="28.2" x14ac:dyDescent="0.3">
      <c r="A7" s="190" t="s">
        <v>1901</v>
      </c>
      <c r="B7" s="92" t="s">
        <v>1908</v>
      </c>
      <c r="C7" s="95" t="s">
        <v>16</v>
      </c>
      <c r="D7" s="190"/>
    </row>
    <row r="8" spans="1:4" ht="14.4" x14ac:dyDescent="0.3">
      <c r="A8" s="190" t="s">
        <v>1901</v>
      </c>
      <c r="B8" s="92" t="s">
        <v>1911</v>
      </c>
      <c r="C8" s="95" t="s">
        <v>20</v>
      </c>
      <c r="D8" s="190"/>
    </row>
    <row r="9" spans="1:4" ht="27.6" x14ac:dyDescent="0.3">
      <c r="A9" s="190" t="s">
        <v>1901</v>
      </c>
      <c r="B9" s="92" t="s">
        <v>1914</v>
      </c>
      <c r="C9" s="95" t="s">
        <v>24</v>
      </c>
      <c r="D9" s="190"/>
    </row>
    <row r="10" spans="1:4" ht="14.4" x14ac:dyDescent="0.3">
      <c r="A10" s="168" t="s">
        <v>1901</v>
      </c>
      <c r="B10" s="184" t="s">
        <v>1145</v>
      </c>
      <c r="C10" s="45"/>
      <c r="D10" s="45"/>
    </row>
    <row r="11" spans="1:4" ht="14.4" x14ac:dyDescent="0.3">
      <c r="A11" s="190" t="s">
        <v>1901</v>
      </c>
      <c r="B11" s="92" t="s">
        <v>1917</v>
      </c>
      <c r="C11" s="95"/>
      <c r="D11" s="190"/>
    </row>
    <row r="12" spans="1:4" ht="55.2" x14ac:dyDescent="0.3">
      <c r="A12" s="190" t="s">
        <v>1901</v>
      </c>
      <c r="B12" s="92" t="s">
        <v>1918</v>
      </c>
      <c r="C12" s="95"/>
      <c r="D12" s="190"/>
    </row>
    <row r="13" spans="1:4" ht="14.4" x14ac:dyDescent="0.3">
      <c r="A13" s="168" t="s">
        <v>1920</v>
      </c>
      <c r="B13" s="184" t="s">
        <v>1921</v>
      </c>
      <c r="C13" s="45"/>
      <c r="D13" s="45"/>
    </row>
    <row r="14" spans="1:4" ht="27.6" x14ac:dyDescent="0.3">
      <c r="A14" s="190" t="s">
        <v>1920</v>
      </c>
      <c r="B14" s="92" t="s">
        <v>1923</v>
      </c>
      <c r="C14" s="95"/>
      <c r="D14" s="190"/>
    </row>
    <row r="15" spans="1:4" ht="14.4" x14ac:dyDescent="0.3">
      <c r="A15" s="168" t="s">
        <v>1920</v>
      </c>
      <c r="B15" s="184" t="s">
        <v>1925</v>
      </c>
      <c r="C15" s="45"/>
      <c r="D15" s="45"/>
    </row>
    <row r="16" spans="1:4" ht="27.6" x14ac:dyDescent="0.3">
      <c r="A16" s="190" t="s">
        <v>1920</v>
      </c>
      <c r="B16" s="92" t="s">
        <v>1928</v>
      </c>
      <c r="C16" s="95"/>
      <c r="D16" s="190"/>
    </row>
    <row r="17" spans="1:4" ht="14.4" x14ac:dyDescent="0.3">
      <c r="A17" s="168" t="s">
        <v>1920</v>
      </c>
      <c r="B17" s="184" t="s">
        <v>1930</v>
      </c>
      <c r="C17" s="45"/>
      <c r="D17" s="45"/>
    </row>
    <row r="18" spans="1:4" ht="14.4" x14ac:dyDescent="0.3">
      <c r="A18" s="190" t="s">
        <v>1920</v>
      </c>
      <c r="B18" s="92" t="s">
        <v>1933</v>
      </c>
      <c r="C18" s="95"/>
      <c r="D18" s="190"/>
    </row>
    <row r="19" spans="1:4" ht="27.6" x14ac:dyDescent="0.3">
      <c r="A19" s="190" t="s">
        <v>1920</v>
      </c>
      <c r="B19" s="92" t="s">
        <v>1935</v>
      </c>
      <c r="C19" s="95"/>
      <c r="D19" s="190"/>
    </row>
    <row r="20" spans="1:4" ht="14.4" x14ac:dyDescent="0.3">
      <c r="A20" s="190" t="s">
        <v>1920</v>
      </c>
      <c r="B20" s="199" t="s">
        <v>1936</v>
      </c>
      <c r="C20" s="95"/>
      <c r="D20" s="190"/>
    </row>
    <row r="21" spans="1:4" ht="14.4" x14ac:dyDescent="0.3">
      <c r="A21" s="168" t="s">
        <v>1920</v>
      </c>
      <c r="B21" s="184" t="s">
        <v>1939</v>
      </c>
      <c r="C21" s="45"/>
      <c r="D21" s="45"/>
    </row>
    <row r="22" spans="1:4" ht="14.4" x14ac:dyDescent="0.3">
      <c r="A22" s="190" t="s">
        <v>1920</v>
      </c>
      <c r="B22" s="92" t="s">
        <v>1304</v>
      </c>
      <c r="C22" s="95"/>
      <c r="D22" s="190"/>
    </row>
    <row r="23" spans="1:4" ht="14.4" x14ac:dyDescent="0.3">
      <c r="A23" s="168" t="s">
        <v>1942</v>
      </c>
      <c r="B23" s="184" t="s">
        <v>1943</v>
      </c>
      <c r="C23" s="45"/>
      <c r="D23" s="45"/>
    </row>
    <row r="24" spans="1:4" ht="41.4" x14ac:dyDescent="0.3">
      <c r="A24" s="190" t="s">
        <v>1942</v>
      </c>
      <c r="B24" s="92" t="s">
        <v>1944</v>
      </c>
      <c r="C24" s="95"/>
      <c r="D24" s="190"/>
    </row>
    <row r="25" spans="1:4" ht="14.4" x14ac:dyDescent="0.3">
      <c r="A25" s="190" t="s">
        <v>1942</v>
      </c>
      <c r="B25" s="200" t="s">
        <v>1946</v>
      </c>
      <c r="C25" s="95"/>
      <c r="D25" s="190"/>
    </row>
    <row r="26" spans="1:4" ht="14.4" x14ac:dyDescent="0.3">
      <c r="A26" s="190" t="s">
        <v>1942</v>
      </c>
      <c r="B26" s="92" t="s">
        <v>1950</v>
      </c>
      <c r="C26" s="95"/>
      <c r="D26" s="190"/>
    </row>
    <row r="27" spans="1:4" ht="14.4" x14ac:dyDescent="0.3">
      <c r="A27" s="168" t="s">
        <v>1942</v>
      </c>
      <c r="B27" s="184" t="s">
        <v>1952</v>
      </c>
      <c r="C27" s="45"/>
      <c r="D27" s="45"/>
    </row>
    <row r="28" spans="1:4" ht="14.4" x14ac:dyDescent="0.3">
      <c r="A28" s="190" t="s">
        <v>1942</v>
      </c>
      <c r="B28" s="199" t="s">
        <v>1954</v>
      </c>
      <c r="C28" s="95"/>
      <c r="D28" s="190"/>
    </row>
    <row r="29" spans="1:4" ht="14.4" x14ac:dyDescent="0.3">
      <c r="A29" s="168" t="s">
        <v>1942</v>
      </c>
      <c r="B29" s="184" t="s">
        <v>1939</v>
      </c>
      <c r="C29" s="20"/>
      <c r="D29" s="45"/>
    </row>
    <row r="30" spans="1:4" ht="27.6" x14ac:dyDescent="0.3">
      <c r="A30" s="190" t="s">
        <v>1942</v>
      </c>
      <c r="B30" s="92" t="s">
        <v>1959</v>
      </c>
      <c r="C30" s="95"/>
      <c r="D30" s="190"/>
    </row>
    <row r="31" spans="1:4" ht="27.6" x14ac:dyDescent="0.3">
      <c r="A31" s="168" t="s">
        <v>1961</v>
      </c>
      <c r="B31" s="184" t="s">
        <v>1962</v>
      </c>
      <c r="C31" s="45"/>
      <c r="D31" s="45"/>
    </row>
    <row r="32" spans="1:4" ht="27.6" x14ac:dyDescent="0.3">
      <c r="A32" s="201" t="s">
        <v>1961</v>
      </c>
      <c r="B32" s="92" t="s">
        <v>1965</v>
      </c>
      <c r="C32" s="95"/>
      <c r="D32" s="190"/>
    </row>
    <row r="33" spans="1:4" ht="14.4" x14ac:dyDescent="0.3">
      <c r="A33" s="168" t="s">
        <v>1967</v>
      </c>
      <c r="B33" s="184" t="s">
        <v>1968</v>
      </c>
      <c r="C33" s="20"/>
      <c r="D33" s="45"/>
    </row>
    <row r="34" spans="1:4" ht="41.4" x14ac:dyDescent="0.3">
      <c r="A34" s="190" t="s">
        <v>1967</v>
      </c>
      <c r="B34" s="92" t="s">
        <v>1971</v>
      </c>
      <c r="C34" s="95"/>
      <c r="D34" s="190"/>
    </row>
    <row r="35" spans="1:4" ht="14.4" x14ac:dyDescent="0.3">
      <c r="A35" s="190" t="s">
        <v>1967</v>
      </c>
      <c r="B35" s="92" t="s">
        <v>1973</v>
      </c>
      <c r="C35" s="95"/>
      <c r="D35" s="190"/>
    </row>
    <row r="36" spans="1:4" ht="14.4" x14ac:dyDescent="0.3">
      <c r="A36" s="190" t="s">
        <v>1967</v>
      </c>
      <c r="B36" s="92" t="s">
        <v>1975</v>
      </c>
      <c r="C36" s="95"/>
      <c r="D36" s="190"/>
    </row>
    <row r="37" spans="1:4" ht="27.6" x14ac:dyDescent="0.3">
      <c r="A37" s="190" t="s">
        <v>1967</v>
      </c>
      <c r="B37" s="92" t="s">
        <v>1977</v>
      </c>
      <c r="C37" s="95"/>
      <c r="D37" s="190"/>
    </row>
    <row r="38" spans="1:4" ht="27.6" x14ac:dyDescent="0.3">
      <c r="A38" s="190" t="s">
        <v>1967</v>
      </c>
      <c r="B38" s="92" t="s">
        <v>1980</v>
      </c>
      <c r="C38" s="95"/>
      <c r="D38" s="190"/>
    </row>
    <row r="39" spans="1:4" ht="29.25" customHeight="1" x14ac:dyDescent="0.3">
      <c r="A39" s="190" t="s">
        <v>1967</v>
      </c>
      <c r="B39" s="92" t="s">
        <v>1982</v>
      </c>
      <c r="C39" s="95"/>
      <c r="D39" s="190"/>
    </row>
    <row r="40" spans="1:4" ht="14.4" x14ac:dyDescent="0.3">
      <c r="A40" s="190" t="s">
        <v>1967</v>
      </c>
      <c r="B40" s="92" t="s">
        <v>1985</v>
      </c>
      <c r="C40" s="95"/>
      <c r="D40" s="190"/>
    </row>
    <row r="41" spans="1:4" ht="14.4" x14ac:dyDescent="0.3">
      <c r="A41" s="202" t="s">
        <v>1967</v>
      </c>
      <c r="B41" s="203" t="s">
        <v>1145</v>
      </c>
      <c r="C41" s="203"/>
      <c r="D41" s="204"/>
    </row>
    <row r="42" spans="1:4" ht="27.6" x14ac:dyDescent="0.3">
      <c r="A42" s="190" t="s">
        <v>1967</v>
      </c>
      <c r="B42" s="92" t="s">
        <v>1987</v>
      </c>
      <c r="C42" s="95"/>
      <c r="D42" s="190"/>
    </row>
    <row r="43" spans="1:4" ht="14.4" x14ac:dyDescent="0.3">
      <c r="A43" s="202" t="s">
        <v>1988</v>
      </c>
      <c r="B43" s="203" t="s">
        <v>1968</v>
      </c>
      <c r="C43" s="203"/>
      <c r="D43" s="204"/>
    </row>
    <row r="44" spans="1:4" ht="27.6" x14ac:dyDescent="0.3">
      <c r="A44" s="190" t="s">
        <v>1988</v>
      </c>
      <c r="B44" s="87" t="s">
        <v>1989</v>
      </c>
      <c r="C44" s="95"/>
      <c r="D44" s="190"/>
    </row>
    <row r="45" spans="1:4" ht="14.4" x14ac:dyDescent="0.3">
      <c r="A45" s="190" t="s">
        <v>1988</v>
      </c>
      <c r="B45" s="205" t="s">
        <v>1990</v>
      </c>
      <c r="C45" s="95"/>
      <c r="D45" s="190"/>
    </row>
    <row r="46" spans="1:4" ht="14.4" x14ac:dyDescent="0.3">
      <c r="A46" s="190" t="s">
        <v>1988</v>
      </c>
      <c r="B46" s="205" t="s">
        <v>1991</v>
      </c>
      <c r="C46" s="95"/>
      <c r="D46" s="190"/>
    </row>
    <row r="47" spans="1:4" ht="14.4" x14ac:dyDescent="0.3">
      <c r="A47" s="190" t="s">
        <v>1988</v>
      </c>
      <c r="B47" s="87" t="s">
        <v>1992</v>
      </c>
      <c r="C47" s="95"/>
      <c r="D47" s="190"/>
    </row>
    <row r="48" spans="1:4" ht="27.6" x14ac:dyDescent="0.3">
      <c r="A48" s="190" t="s">
        <v>1988</v>
      </c>
      <c r="B48" s="87" t="s">
        <v>1993</v>
      </c>
      <c r="C48" s="95"/>
      <c r="D48" s="190"/>
    </row>
    <row r="49" spans="1:4" ht="14.4" x14ac:dyDescent="0.3">
      <c r="A49" s="93" t="s">
        <v>1988</v>
      </c>
      <c r="B49" s="97" t="s">
        <v>1712</v>
      </c>
      <c r="C49" s="97"/>
      <c r="D49" s="93"/>
    </row>
    <row r="50" spans="1:4" ht="28.2" x14ac:dyDescent="0.3">
      <c r="A50" s="190" t="s">
        <v>1988</v>
      </c>
      <c r="B50" s="200" t="s">
        <v>1994</v>
      </c>
      <c r="C50" s="95"/>
      <c r="D50" s="190"/>
    </row>
    <row r="51" spans="1:4" ht="27.6" x14ac:dyDescent="0.3">
      <c r="A51" s="93" t="s">
        <v>1995</v>
      </c>
      <c r="B51" s="97" t="s">
        <v>1996</v>
      </c>
      <c r="C51" s="97"/>
      <c r="D51" s="206"/>
    </row>
    <row r="52" spans="1:4" ht="14.4" x14ac:dyDescent="0.3">
      <c r="A52" s="190" t="s">
        <v>1995</v>
      </c>
      <c r="B52" s="92" t="s">
        <v>1997</v>
      </c>
      <c r="C52" s="95"/>
      <c r="D52" s="190"/>
    </row>
    <row r="53" spans="1:4" ht="14.4" x14ac:dyDescent="0.3">
      <c r="A53" s="17"/>
      <c r="B53" s="46"/>
      <c r="C53" s="17"/>
      <c r="D53" s="17"/>
    </row>
    <row r="54" spans="1:4" ht="14.4" x14ac:dyDescent="0.3">
      <c r="A54" s="17"/>
      <c r="B54" s="46"/>
      <c r="C54" s="17"/>
      <c r="D54" s="17"/>
    </row>
    <row r="55" spans="1:4" ht="14.4" x14ac:dyDescent="0.3">
      <c r="A55" s="17"/>
      <c r="B55" s="15" t="s">
        <v>75</v>
      </c>
      <c r="C55" s="2">
        <f>COUNTIF($C$4:$C$52,"C")</f>
        <v>1</v>
      </c>
      <c r="D55" s="17"/>
    </row>
    <row r="56" spans="1:4" ht="14.4" x14ac:dyDescent="0.3">
      <c r="A56" s="17"/>
      <c r="B56" s="15" t="s">
        <v>81</v>
      </c>
      <c r="C56" s="2">
        <f>COUNTIF($C$4:$C$52,"NC")</f>
        <v>1</v>
      </c>
      <c r="D56" s="17"/>
    </row>
    <row r="57" spans="1:4" ht="14.4" x14ac:dyDescent="0.3">
      <c r="A57" s="17"/>
      <c r="B57" s="15" t="s">
        <v>84</v>
      </c>
      <c r="C57" s="2">
        <f>COUNTIF($C$4:$C$52,"NA")</f>
        <v>1</v>
      </c>
      <c r="D57" s="17"/>
    </row>
  </sheetData>
  <autoFilter ref="A4:D52" xr:uid="{00000000-0009-0000-0000-00001A000000}"/>
  <conditionalFormatting sqref="C5:C9 C11:C12 C14 C16 C18:C20 C22 C24:C26 C28:C30 C32:C40 C42 C44:C48 C50 C52">
    <cfRule type="beginsWith" dxfId="62" priority="1" operator="beginsWith" text="C">
      <formula>LEFT((C5),LEN("C"))=("C")</formula>
    </cfRule>
    <cfRule type="beginsWith" dxfId="61" priority="2" operator="beginsWith" text="NC">
      <formula>LEFT((C5),LEN("NC"))=("NC")</formula>
    </cfRule>
    <cfRule type="beginsWith" dxfId="60" priority="3" operator="beginsWith" text="NA">
      <formula>LEFT((C5),LEN("NA"))=("NA")</formula>
    </cfRule>
  </conditionalFormatting>
  <dataValidations count="1">
    <dataValidation type="list" allowBlank="1" sqref="C7:C9 C11:C12 C14 C16 C18:C20 C22 C24:C26 C28 C30 C32 C34:C40 C42 C44:C48 C50 C52" xr:uid="{00000000-0002-0000-1A00-000000000000}">
      <formula1>"C,NC,NA"</formula1>
    </dataValidation>
  </dataValidations>
  <hyperlinks>
    <hyperlink ref="B1" location="'Tabla de contenido'!A1" display="VOLVER A TABLA DE CONTENIDO" xr:uid="{00000000-0004-0000-1A00-000000000000}"/>
  </hyperlinks>
  <pageMargins left="0.7" right="0.7" top="0.75" bottom="0.75" header="0" footer="0"/>
  <pageSetup orientation="portrait"/>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41B47"/>
  </sheetPr>
  <dimension ref="A1:D48"/>
  <sheetViews>
    <sheetView showGridLines="0" workbookViewId="0">
      <selection sqref="A1:D1"/>
    </sheetView>
  </sheetViews>
  <sheetFormatPr baseColWidth="10" defaultColWidth="14.44140625" defaultRowHeight="15" customHeight="1" outlineLevelCol="1" x14ac:dyDescent="0.3"/>
  <cols>
    <col min="1" max="1" width="13.5546875" customWidth="1"/>
    <col min="2" max="2" width="66.21875" customWidth="1"/>
    <col min="3" max="3" width="11.5546875" customWidth="1"/>
    <col min="4" max="4" width="26" customWidth="1" outlineLevel="1"/>
    <col min="5" max="5" width="2.33203125" customWidth="1"/>
    <col min="6" max="24" width="10.77734375" customWidth="1"/>
  </cols>
  <sheetData>
    <row r="1" spans="1:4" ht="14.4" x14ac:dyDescent="0.3">
      <c r="A1" s="269"/>
      <c r="B1" s="270" t="s">
        <v>0</v>
      </c>
      <c r="C1" s="269"/>
      <c r="D1" s="269"/>
    </row>
    <row r="2" spans="1:4" ht="14.4" x14ac:dyDescent="0.3">
      <c r="A2" s="74"/>
      <c r="B2" s="75" t="s">
        <v>919</v>
      </c>
      <c r="C2" s="116"/>
      <c r="D2" s="77"/>
    </row>
    <row r="3" spans="1:4" ht="14.4" x14ac:dyDescent="0.3">
      <c r="A3" s="6"/>
      <c r="B3" s="18" t="s">
        <v>1998</v>
      </c>
      <c r="C3" s="117"/>
      <c r="D3" s="19"/>
    </row>
    <row r="4" spans="1:4" ht="14.4" x14ac:dyDescent="0.3">
      <c r="A4" s="118" t="s">
        <v>7</v>
      </c>
      <c r="B4" s="207" t="s">
        <v>9</v>
      </c>
      <c r="C4" s="118" t="s">
        <v>10</v>
      </c>
      <c r="D4" s="118" t="s">
        <v>11</v>
      </c>
    </row>
    <row r="5" spans="1:4" ht="27.6" x14ac:dyDescent="0.3">
      <c r="A5" s="190" t="s">
        <v>1999</v>
      </c>
      <c r="B5" s="87" t="s">
        <v>2000</v>
      </c>
      <c r="C5" s="88" t="s">
        <v>16</v>
      </c>
      <c r="D5" s="208"/>
    </row>
    <row r="6" spans="1:4" ht="14.4" x14ac:dyDescent="0.3">
      <c r="A6" s="190" t="s">
        <v>1999</v>
      </c>
      <c r="B6" s="87" t="s">
        <v>2001</v>
      </c>
      <c r="C6" s="88" t="s">
        <v>20</v>
      </c>
      <c r="D6" s="190"/>
    </row>
    <row r="7" spans="1:4" ht="14.4" x14ac:dyDescent="0.3">
      <c r="A7" s="209"/>
      <c r="B7" s="210"/>
      <c r="C7" s="209"/>
      <c r="D7" s="209"/>
    </row>
    <row r="8" spans="1:4" ht="27.6" x14ac:dyDescent="0.3">
      <c r="A8" s="190" t="s">
        <v>2002</v>
      </c>
      <c r="B8" s="87" t="s">
        <v>2003</v>
      </c>
      <c r="C8" s="88" t="s">
        <v>24</v>
      </c>
      <c r="D8" s="190"/>
    </row>
    <row r="9" spans="1:4" ht="14.4" x14ac:dyDescent="0.3">
      <c r="A9" s="190" t="s">
        <v>2002</v>
      </c>
      <c r="B9" s="87" t="s">
        <v>2004</v>
      </c>
      <c r="C9" s="88"/>
      <c r="D9" s="190"/>
    </row>
    <row r="10" spans="1:4" ht="14.4" x14ac:dyDescent="0.3">
      <c r="A10" s="190" t="s">
        <v>2002</v>
      </c>
      <c r="B10" s="87" t="s">
        <v>2005</v>
      </c>
      <c r="C10" s="88"/>
      <c r="D10" s="190"/>
    </row>
    <row r="11" spans="1:4" ht="14.4" x14ac:dyDescent="0.3">
      <c r="A11" s="190" t="s">
        <v>2002</v>
      </c>
      <c r="B11" s="87" t="s">
        <v>2006</v>
      </c>
      <c r="C11" s="88"/>
      <c r="D11" s="190"/>
    </row>
    <row r="12" spans="1:4" ht="14.4" x14ac:dyDescent="0.3">
      <c r="A12" s="190" t="s">
        <v>2002</v>
      </c>
      <c r="B12" s="87" t="s">
        <v>2007</v>
      </c>
      <c r="C12" s="88"/>
      <c r="D12" s="190"/>
    </row>
    <row r="13" spans="1:4" ht="14.4" x14ac:dyDescent="0.3">
      <c r="A13" s="190" t="s">
        <v>2002</v>
      </c>
      <c r="B13" s="211" t="s">
        <v>2008</v>
      </c>
      <c r="C13" s="88"/>
      <c r="D13" s="190"/>
    </row>
    <row r="14" spans="1:4" ht="41.4" x14ac:dyDescent="0.3">
      <c r="A14" s="190" t="s">
        <v>2002</v>
      </c>
      <c r="B14" s="87" t="s">
        <v>2009</v>
      </c>
      <c r="C14" s="88"/>
      <c r="D14" s="190"/>
    </row>
    <row r="15" spans="1:4" ht="27.6" x14ac:dyDescent="0.3">
      <c r="A15" s="190" t="s">
        <v>2002</v>
      </c>
      <c r="B15" s="87" t="s">
        <v>2010</v>
      </c>
      <c r="C15" s="88"/>
      <c r="D15" s="190"/>
    </row>
    <row r="16" spans="1:4" ht="27.6" x14ac:dyDescent="0.3">
      <c r="A16" s="190" t="s">
        <v>2002</v>
      </c>
      <c r="B16" s="87" t="s">
        <v>2011</v>
      </c>
      <c r="C16" s="88"/>
      <c r="D16" s="190"/>
    </row>
    <row r="18" spans="1:2" ht="27.6" x14ac:dyDescent="0.3">
      <c r="A18" s="190" t="s">
        <v>2012</v>
      </c>
      <c r="B18" s="87" t="s">
        <v>2013</v>
      </c>
    </row>
    <row r="19" spans="1:2" ht="14.4" x14ac:dyDescent="0.3">
      <c r="A19" s="190" t="s">
        <v>2012</v>
      </c>
      <c r="B19" s="87" t="s">
        <v>2014</v>
      </c>
    </row>
    <row r="20" spans="1:2" ht="14.4" x14ac:dyDescent="0.3">
      <c r="A20" s="190" t="s">
        <v>2012</v>
      </c>
      <c r="B20" s="211" t="s">
        <v>2015</v>
      </c>
    </row>
    <row r="21" spans="1:2" ht="14.4" x14ac:dyDescent="0.3">
      <c r="A21" s="190" t="s">
        <v>2012</v>
      </c>
      <c r="B21" s="87" t="s">
        <v>2016</v>
      </c>
    </row>
    <row r="22" spans="1:2" ht="14.4" x14ac:dyDescent="0.3">
      <c r="A22" s="190" t="s">
        <v>2012</v>
      </c>
      <c r="B22" s="87" t="s">
        <v>2017</v>
      </c>
    </row>
    <row r="23" spans="1:2" ht="14.4" x14ac:dyDescent="0.3">
      <c r="A23" s="190" t="s">
        <v>2012</v>
      </c>
      <c r="B23" s="87" t="s">
        <v>2018</v>
      </c>
    </row>
    <row r="24" spans="1:2" ht="14.4" x14ac:dyDescent="0.3">
      <c r="A24" s="190" t="s">
        <v>2012</v>
      </c>
      <c r="B24" s="87" t="s">
        <v>2019</v>
      </c>
    </row>
    <row r="25" spans="1:2" ht="14.4" x14ac:dyDescent="0.3">
      <c r="A25" s="190" t="s">
        <v>2012</v>
      </c>
      <c r="B25" s="87" t="s">
        <v>2020</v>
      </c>
    </row>
    <row r="26" spans="1:2" ht="14.4" x14ac:dyDescent="0.3">
      <c r="A26" s="190" t="s">
        <v>2012</v>
      </c>
      <c r="B26" s="87" t="s">
        <v>2021</v>
      </c>
    </row>
    <row r="27" spans="1:2" ht="14.4" x14ac:dyDescent="0.3">
      <c r="A27" s="209"/>
      <c r="B27" s="210"/>
    </row>
    <row r="28" spans="1:2" ht="14.4" x14ac:dyDescent="0.3">
      <c r="A28" s="190" t="s">
        <v>2022</v>
      </c>
      <c r="B28" s="87" t="s">
        <v>2023</v>
      </c>
    </row>
    <row r="29" spans="1:2" ht="14.4" x14ac:dyDescent="0.3">
      <c r="A29" s="209"/>
      <c r="B29" s="210"/>
    </row>
    <row r="30" spans="1:2" ht="27.6" x14ac:dyDescent="0.3">
      <c r="A30" s="190" t="s">
        <v>2024</v>
      </c>
      <c r="B30" s="87" t="s">
        <v>2025</v>
      </c>
    </row>
    <row r="31" spans="1:2" ht="14.4" x14ac:dyDescent="0.3">
      <c r="A31" s="190" t="s">
        <v>2024</v>
      </c>
      <c r="B31" s="211" t="s">
        <v>2026</v>
      </c>
    </row>
    <row r="32" spans="1:2" ht="41.4" x14ac:dyDescent="0.3">
      <c r="A32" s="190" t="s">
        <v>2024</v>
      </c>
      <c r="B32" s="87" t="s">
        <v>2027</v>
      </c>
    </row>
    <row r="33" spans="1:3" ht="14.4" x14ac:dyDescent="0.3">
      <c r="A33" s="190" t="s">
        <v>2024</v>
      </c>
      <c r="B33" s="87" t="s">
        <v>2028</v>
      </c>
      <c r="C33" s="88"/>
    </row>
    <row r="34" spans="1:3" ht="27.6" x14ac:dyDescent="0.3">
      <c r="A34" s="190" t="s">
        <v>2024</v>
      </c>
      <c r="B34" s="87" t="s">
        <v>2029</v>
      </c>
      <c r="C34" s="88"/>
    </row>
    <row r="35" spans="1:3" ht="14.4" x14ac:dyDescent="0.3">
      <c r="A35" s="209"/>
      <c r="B35" s="210"/>
      <c r="C35" s="209"/>
    </row>
    <row r="36" spans="1:3" ht="27.6" x14ac:dyDescent="0.3">
      <c r="A36" s="190" t="s">
        <v>2030</v>
      </c>
      <c r="B36" s="87" t="s">
        <v>2031</v>
      </c>
      <c r="C36" s="88"/>
    </row>
    <row r="37" spans="1:3" ht="14.4" x14ac:dyDescent="0.3">
      <c r="A37" s="190" t="s">
        <v>2030</v>
      </c>
      <c r="B37" s="87" t="s">
        <v>2032</v>
      </c>
      <c r="C37" s="88"/>
    </row>
    <row r="38" spans="1:3" ht="14.4" x14ac:dyDescent="0.3">
      <c r="A38" s="190" t="s">
        <v>2030</v>
      </c>
      <c r="B38" s="87" t="s">
        <v>2033</v>
      </c>
      <c r="C38" s="88"/>
    </row>
    <row r="39" spans="1:3" ht="27.6" x14ac:dyDescent="0.3">
      <c r="A39" s="190" t="s">
        <v>2030</v>
      </c>
      <c r="B39" s="87" t="s">
        <v>2034</v>
      </c>
      <c r="C39" s="88"/>
    </row>
    <row r="40" spans="1:3" ht="27.6" x14ac:dyDescent="0.3">
      <c r="A40" s="190" t="s">
        <v>2030</v>
      </c>
      <c r="B40" s="87" t="s">
        <v>2035</v>
      </c>
      <c r="C40" s="88"/>
    </row>
    <row r="41" spans="1:3" ht="27.6" x14ac:dyDescent="0.3">
      <c r="A41" s="190" t="s">
        <v>2030</v>
      </c>
      <c r="B41" s="87" t="s">
        <v>2036</v>
      </c>
      <c r="C41" s="88"/>
    </row>
    <row r="42" spans="1:3" ht="14.4" x14ac:dyDescent="0.3">
      <c r="A42" s="209"/>
      <c r="B42" s="210"/>
      <c r="C42" s="209"/>
    </row>
    <row r="43" spans="1:3" ht="14.4" x14ac:dyDescent="0.3">
      <c r="A43" s="190" t="s">
        <v>2037</v>
      </c>
      <c r="B43" s="87" t="s">
        <v>2038</v>
      </c>
      <c r="C43" s="88"/>
    </row>
    <row r="44" spans="1:3" ht="14.4" x14ac:dyDescent="0.3">
      <c r="A44" s="133"/>
      <c r="B44" s="14"/>
      <c r="C44" s="17"/>
    </row>
    <row r="45" spans="1:3" ht="14.4" x14ac:dyDescent="0.3">
      <c r="A45" s="133"/>
      <c r="B45" s="14"/>
      <c r="C45" s="17"/>
    </row>
    <row r="46" spans="1:3" ht="14.4" x14ac:dyDescent="0.3">
      <c r="A46" s="133"/>
      <c r="B46" s="15" t="s">
        <v>75</v>
      </c>
      <c r="C46" s="2">
        <f>COUNTIF($C$4:$C$43,"C")</f>
        <v>1</v>
      </c>
    </row>
    <row r="47" spans="1:3" ht="14.4" x14ac:dyDescent="0.3">
      <c r="A47" s="133"/>
      <c r="B47" s="15" t="s">
        <v>81</v>
      </c>
      <c r="C47" s="2">
        <f>COUNTIF($C$4:$C$43,"NC")</f>
        <v>1</v>
      </c>
    </row>
    <row r="48" spans="1:3" ht="14.4" x14ac:dyDescent="0.3">
      <c r="A48" s="133"/>
      <c r="B48" s="15" t="s">
        <v>84</v>
      </c>
      <c r="C48" s="2">
        <f>COUNTIF($C$4:$C$43,"NA")</f>
        <v>1</v>
      </c>
    </row>
  </sheetData>
  <autoFilter ref="A4:D43" xr:uid="{00000000-0009-0000-0000-00001B000000}"/>
  <conditionalFormatting sqref="C5:C6 C8:C16 C18:C26 C28 C30:C34 C36:C41 C43">
    <cfRule type="beginsWith" dxfId="59" priority="1" operator="beginsWith" text="C">
      <formula>LEFT((C5),LEN("C"))=("C")</formula>
    </cfRule>
    <cfRule type="beginsWith" dxfId="58" priority="2" operator="beginsWith" text="NC">
      <formula>LEFT((C5),LEN("NC"))=("NC")</formula>
    </cfRule>
    <cfRule type="beginsWith" dxfId="57" priority="3" operator="beginsWith" text="NA">
      <formula>LEFT((C5),LEN("NA"))=("NA")</formula>
    </cfRule>
  </conditionalFormatting>
  <dataValidations count="1">
    <dataValidation type="list" allowBlank="1" sqref="C5:C6 C8:C16 C18:C26 C28 C30:C34 C36:C41 C43" xr:uid="{00000000-0002-0000-1B00-000000000000}">
      <formula1>"C,NC,NA"</formula1>
    </dataValidation>
  </dataValidations>
  <hyperlinks>
    <hyperlink ref="B1" location="'Tabla de contenido'!A1" display="VOLVER A TABLA DE CONTENIDO" xr:uid="{00000000-0004-0000-1B00-000000000000}"/>
  </hyperlinks>
  <pageMargins left="0.7" right="0.7" top="0.75" bottom="0.75" header="0" footer="0"/>
  <pageSetup orientation="portrait"/>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41B47"/>
  </sheetPr>
  <dimension ref="A1:D77"/>
  <sheetViews>
    <sheetView showGridLines="0" workbookViewId="0">
      <selection sqref="A1:D1"/>
    </sheetView>
  </sheetViews>
  <sheetFormatPr baseColWidth="10" defaultColWidth="14.44140625" defaultRowHeight="15" customHeight="1" outlineLevelCol="1" x14ac:dyDescent="0.3"/>
  <cols>
    <col min="1" max="1" width="14.21875" customWidth="1"/>
    <col min="2" max="2" width="66.88671875" customWidth="1"/>
    <col min="3" max="3" width="11.5546875" customWidth="1"/>
    <col min="4" max="4" width="40.21875" customWidth="1" outlineLevel="1"/>
    <col min="5" max="24" width="10.77734375" customWidth="1"/>
  </cols>
  <sheetData>
    <row r="1" spans="1:4" ht="14.4" x14ac:dyDescent="0.3">
      <c r="A1" s="269"/>
      <c r="B1" s="270" t="s">
        <v>0</v>
      </c>
      <c r="C1" s="269"/>
      <c r="D1" s="269"/>
    </row>
    <row r="2" spans="1:4" ht="14.4" x14ac:dyDescent="0.3">
      <c r="A2" s="59"/>
      <c r="B2" s="60" t="s">
        <v>919</v>
      </c>
      <c r="C2" s="196"/>
      <c r="D2" s="62"/>
    </row>
    <row r="3" spans="1:4" ht="14.4" x14ac:dyDescent="0.3">
      <c r="A3" s="59"/>
      <c r="B3" s="60" t="s">
        <v>2039</v>
      </c>
      <c r="C3" s="61"/>
      <c r="D3" s="62"/>
    </row>
    <row r="4" spans="1:4" ht="14.4" x14ac:dyDescent="0.3">
      <c r="A4" s="59" t="s">
        <v>7</v>
      </c>
      <c r="B4" s="60" t="s">
        <v>9</v>
      </c>
      <c r="C4" s="59" t="s">
        <v>10</v>
      </c>
      <c r="D4" s="59" t="s">
        <v>11</v>
      </c>
    </row>
    <row r="5" spans="1:4" ht="28.2" x14ac:dyDescent="0.3">
      <c r="A5" s="202" t="s">
        <v>2040</v>
      </c>
      <c r="B5" s="212" t="s">
        <v>936</v>
      </c>
      <c r="C5" s="204"/>
      <c r="D5" s="204"/>
    </row>
    <row r="6" spans="1:4" ht="14.4" x14ac:dyDescent="0.3">
      <c r="A6" s="190" t="s">
        <v>2040</v>
      </c>
      <c r="B6" s="87" t="s">
        <v>2041</v>
      </c>
      <c r="C6" s="88" t="s">
        <v>16</v>
      </c>
      <c r="D6" s="190"/>
    </row>
    <row r="7" spans="1:4" ht="27.6" x14ac:dyDescent="0.3">
      <c r="A7" s="190" t="s">
        <v>2040</v>
      </c>
      <c r="B7" s="87" t="s">
        <v>2042</v>
      </c>
      <c r="C7" s="88" t="s">
        <v>20</v>
      </c>
      <c r="D7" s="190"/>
    </row>
    <row r="8" spans="1:4" ht="14.4" x14ac:dyDescent="0.3">
      <c r="A8" s="202" t="s">
        <v>2040</v>
      </c>
      <c r="B8" s="212" t="s">
        <v>1145</v>
      </c>
      <c r="C8" s="204"/>
      <c r="D8" s="202"/>
    </row>
    <row r="9" spans="1:4" ht="14.4" x14ac:dyDescent="0.3">
      <c r="A9" s="190" t="s">
        <v>2040</v>
      </c>
      <c r="B9" s="87" t="s">
        <v>1338</v>
      </c>
      <c r="C9" s="88" t="s">
        <v>24</v>
      </c>
      <c r="D9" s="190"/>
    </row>
    <row r="10" spans="1:4" ht="55.2" x14ac:dyDescent="0.3">
      <c r="A10" s="190" t="s">
        <v>2040</v>
      </c>
      <c r="B10" s="87" t="s">
        <v>2043</v>
      </c>
      <c r="C10" s="88"/>
      <c r="D10" s="190"/>
    </row>
    <row r="11" spans="1:4" ht="14.4" x14ac:dyDescent="0.3">
      <c r="A11" s="202" t="s">
        <v>2044</v>
      </c>
      <c r="B11" s="212" t="s">
        <v>2045</v>
      </c>
      <c r="C11" s="204"/>
      <c r="D11" s="202"/>
    </row>
    <row r="12" spans="1:4" ht="27.6" x14ac:dyDescent="0.3">
      <c r="A12" s="190" t="s">
        <v>2044</v>
      </c>
      <c r="B12" s="87" t="s">
        <v>2046</v>
      </c>
      <c r="C12" s="88"/>
      <c r="D12" s="190"/>
    </row>
    <row r="13" spans="1:4" ht="27.6" x14ac:dyDescent="0.3">
      <c r="A13" s="190" t="s">
        <v>2044</v>
      </c>
      <c r="B13" s="87" t="s">
        <v>2047</v>
      </c>
      <c r="C13" s="88"/>
      <c r="D13" s="190"/>
    </row>
    <row r="14" spans="1:4" ht="14.4" x14ac:dyDescent="0.3">
      <c r="A14" s="202" t="s">
        <v>2044</v>
      </c>
      <c r="B14" s="212" t="s">
        <v>2048</v>
      </c>
      <c r="C14" s="204"/>
      <c r="D14" s="202"/>
    </row>
    <row r="15" spans="1:4" ht="14.4" x14ac:dyDescent="0.3">
      <c r="A15" s="190" t="s">
        <v>2044</v>
      </c>
      <c r="B15" s="87" t="s">
        <v>2049</v>
      </c>
      <c r="C15" s="88"/>
      <c r="D15" s="190"/>
    </row>
    <row r="16" spans="1:4" ht="14.4" x14ac:dyDescent="0.3">
      <c r="A16" s="190" t="s">
        <v>2044</v>
      </c>
      <c r="B16" s="87" t="s">
        <v>2050</v>
      </c>
      <c r="C16" s="88"/>
      <c r="D16" s="208"/>
    </row>
    <row r="17" spans="1:4" ht="27.6" x14ac:dyDescent="0.3">
      <c r="A17" s="190" t="s">
        <v>2044</v>
      </c>
      <c r="B17" s="87" t="s">
        <v>2051</v>
      </c>
      <c r="C17" s="88"/>
      <c r="D17" s="208"/>
    </row>
    <row r="18" spans="1:4" ht="14.4" x14ac:dyDescent="0.3">
      <c r="A18" s="190" t="s">
        <v>2044</v>
      </c>
      <c r="B18" s="87" t="s">
        <v>2052</v>
      </c>
      <c r="C18" s="88"/>
      <c r="D18" s="208"/>
    </row>
    <row r="19" spans="1:4" ht="27.6" x14ac:dyDescent="0.3">
      <c r="A19" s="190" t="s">
        <v>2044</v>
      </c>
      <c r="B19" s="87" t="s">
        <v>2053</v>
      </c>
      <c r="C19" s="88"/>
      <c r="D19" s="208"/>
    </row>
    <row r="20" spans="1:4" ht="27.6" x14ac:dyDescent="0.3">
      <c r="A20" s="190" t="s">
        <v>2044</v>
      </c>
      <c r="B20" s="87" t="s">
        <v>2054</v>
      </c>
      <c r="C20" s="88"/>
      <c r="D20" s="190"/>
    </row>
    <row r="21" spans="1:4" ht="14.4" x14ac:dyDescent="0.3">
      <c r="A21" s="190" t="s">
        <v>2044</v>
      </c>
      <c r="B21" s="87" t="s">
        <v>2055</v>
      </c>
      <c r="C21" s="88"/>
      <c r="D21" s="190"/>
    </row>
    <row r="22" spans="1:4" ht="27.6" x14ac:dyDescent="0.3">
      <c r="A22" s="190" t="s">
        <v>2044</v>
      </c>
      <c r="B22" s="87" t="s">
        <v>2056</v>
      </c>
      <c r="C22" s="88"/>
      <c r="D22" s="190"/>
    </row>
    <row r="23" spans="1:4" ht="14.4" x14ac:dyDescent="0.3">
      <c r="A23" s="202" t="s">
        <v>2044</v>
      </c>
      <c r="B23" s="212" t="s">
        <v>2057</v>
      </c>
      <c r="C23" s="204"/>
      <c r="D23" s="202"/>
    </row>
    <row r="24" spans="1:4" ht="27.6" x14ac:dyDescent="0.3">
      <c r="A24" s="190" t="s">
        <v>2044</v>
      </c>
      <c r="B24" s="87" t="s">
        <v>2058</v>
      </c>
      <c r="C24" s="88"/>
      <c r="D24" s="190"/>
    </row>
    <row r="25" spans="1:4" ht="14.4" x14ac:dyDescent="0.3">
      <c r="A25" s="190" t="s">
        <v>2044</v>
      </c>
      <c r="B25" s="87" t="s">
        <v>2059</v>
      </c>
      <c r="C25" s="88"/>
      <c r="D25" s="190"/>
    </row>
    <row r="26" spans="1:4" ht="14.4" x14ac:dyDescent="0.3">
      <c r="A26" s="190" t="s">
        <v>2044</v>
      </c>
      <c r="B26" s="87" t="s">
        <v>2060</v>
      </c>
      <c r="C26" s="88"/>
      <c r="D26" s="190"/>
    </row>
    <row r="27" spans="1:4" ht="14.4" x14ac:dyDescent="0.3">
      <c r="A27" s="213" t="s">
        <v>2044</v>
      </c>
      <c r="B27" s="215" t="s">
        <v>1145</v>
      </c>
      <c r="C27" s="209"/>
      <c r="D27" s="213"/>
    </row>
    <row r="28" spans="1:4" ht="14.4" x14ac:dyDescent="0.3">
      <c r="A28" s="190" t="s">
        <v>2044</v>
      </c>
      <c r="B28" s="87" t="s">
        <v>1094</v>
      </c>
      <c r="C28" s="88"/>
      <c r="D28" s="190"/>
    </row>
    <row r="29" spans="1:4" ht="14.4" x14ac:dyDescent="0.3">
      <c r="A29" s="213" t="s">
        <v>2066</v>
      </c>
      <c r="B29" s="215" t="s">
        <v>2045</v>
      </c>
      <c r="C29" s="209"/>
      <c r="D29" s="213"/>
    </row>
    <row r="30" spans="1:4" ht="27.6" x14ac:dyDescent="0.3">
      <c r="A30" s="190" t="s">
        <v>2066</v>
      </c>
      <c r="B30" s="87" t="s">
        <v>2068</v>
      </c>
      <c r="C30" s="88"/>
      <c r="D30" s="190"/>
    </row>
    <row r="31" spans="1:4" ht="14.4" x14ac:dyDescent="0.3">
      <c r="A31" s="190" t="s">
        <v>2066</v>
      </c>
      <c r="B31" s="87" t="s">
        <v>2069</v>
      </c>
      <c r="C31" s="88"/>
      <c r="D31" s="190"/>
    </row>
    <row r="32" spans="1:4" ht="14.4" x14ac:dyDescent="0.3">
      <c r="A32" s="190" t="s">
        <v>2066</v>
      </c>
      <c r="B32" s="87" t="s">
        <v>2073</v>
      </c>
      <c r="C32" s="88"/>
      <c r="D32" s="190"/>
    </row>
    <row r="33" spans="1:4" ht="27.6" x14ac:dyDescent="0.3">
      <c r="A33" s="202" t="s">
        <v>2066</v>
      </c>
      <c r="B33" s="212" t="s">
        <v>2075</v>
      </c>
      <c r="C33" s="204"/>
      <c r="D33" s="202"/>
    </row>
    <row r="34" spans="1:4" ht="14.4" x14ac:dyDescent="0.3">
      <c r="A34" s="190" t="s">
        <v>2066</v>
      </c>
      <c r="B34" s="87" t="s">
        <v>2078</v>
      </c>
      <c r="C34" s="88"/>
      <c r="D34" s="190"/>
    </row>
    <row r="35" spans="1:4" ht="14.4" x14ac:dyDescent="0.3">
      <c r="A35" s="190" t="s">
        <v>2066</v>
      </c>
      <c r="B35" s="87" t="s">
        <v>2079</v>
      </c>
      <c r="C35" s="88"/>
      <c r="D35" s="190"/>
    </row>
    <row r="36" spans="1:4" ht="14.4" x14ac:dyDescent="0.3">
      <c r="A36" s="190" t="s">
        <v>2066</v>
      </c>
      <c r="B36" s="87" t="s">
        <v>2080</v>
      </c>
      <c r="C36" s="88"/>
      <c r="D36" s="190"/>
    </row>
    <row r="37" spans="1:4" ht="14.4" x14ac:dyDescent="0.3">
      <c r="A37" s="190" t="s">
        <v>2066</v>
      </c>
      <c r="B37" s="87" t="s">
        <v>2082</v>
      </c>
      <c r="C37" s="88"/>
      <c r="D37" s="190"/>
    </row>
    <row r="38" spans="1:4" ht="14.4" x14ac:dyDescent="0.3">
      <c r="A38" s="190" t="s">
        <v>2066</v>
      </c>
      <c r="B38" s="87" t="s">
        <v>2085</v>
      </c>
      <c r="C38" s="88"/>
      <c r="D38" s="190"/>
    </row>
    <row r="39" spans="1:4" ht="14.4" x14ac:dyDescent="0.3">
      <c r="A39" s="190" t="s">
        <v>2066</v>
      </c>
      <c r="B39" s="87" t="s">
        <v>2086</v>
      </c>
      <c r="C39" s="88"/>
      <c r="D39" s="190"/>
    </row>
    <row r="40" spans="1:4" ht="14.4" x14ac:dyDescent="0.3">
      <c r="A40" s="190" t="s">
        <v>2066</v>
      </c>
      <c r="B40" s="87" t="s">
        <v>2087</v>
      </c>
      <c r="C40" s="88"/>
      <c r="D40" s="190"/>
    </row>
    <row r="41" spans="1:4" ht="14.4" x14ac:dyDescent="0.3">
      <c r="A41" s="190" t="s">
        <v>2066</v>
      </c>
      <c r="B41" s="87" t="s">
        <v>2089</v>
      </c>
      <c r="C41" s="88"/>
      <c r="D41" s="190"/>
    </row>
    <row r="42" spans="1:4" ht="27.6" x14ac:dyDescent="0.3">
      <c r="A42" s="190" t="s">
        <v>2066</v>
      </c>
      <c r="B42" s="87" t="s">
        <v>2091</v>
      </c>
      <c r="C42" s="88"/>
      <c r="D42" s="190"/>
    </row>
    <row r="43" spans="1:4" ht="14.4" x14ac:dyDescent="0.3">
      <c r="A43" s="190" t="s">
        <v>2066</v>
      </c>
      <c r="B43" s="87" t="s">
        <v>2093</v>
      </c>
      <c r="C43" s="88"/>
      <c r="D43" s="208"/>
    </row>
    <row r="44" spans="1:4" ht="14.4" x14ac:dyDescent="0.3">
      <c r="A44" s="202" t="s">
        <v>2066</v>
      </c>
      <c r="B44" s="212" t="s">
        <v>2095</v>
      </c>
      <c r="C44" s="204"/>
      <c r="D44" s="202"/>
    </row>
    <row r="45" spans="1:4" ht="14.4" x14ac:dyDescent="0.3">
      <c r="A45" s="190" t="s">
        <v>2066</v>
      </c>
      <c r="B45" s="87" t="s">
        <v>2097</v>
      </c>
      <c r="C45" s="88"/>
      <c r="D45" s="190"/>
    </row>
    <row r="46" spans="1:4" ht="27.6" x14ac:dyDescent="0.3">
      <c r="A46" s="202" t="s">
        <v>2099</v>
      </c>
      <c r="B46" s="212" t="s">
        <v>2100</v>
      </c>
      <c r="C46" s="204"/>
      <c r="D46" s="202"/>
    </row>
    <row r="47" spans="1:4" ht="14.4" x14ac:dyDescent="0.3">
      <c r="A47" s="190" t="s">
        <v>2099</v>
      </c>
      <c r="B47" s="216" t="s">
        <v>1103</v>
      </c>
      <c r="C47" s="88"/>
      <c r="D47" s="190"/>
    </row>
    <row r="48" spans="1:4" ht="27.6" x14ac:dyDescent="0.3">
      <c r="A48" s="190" t="s">
        <v>2104</v>
      </c>
      <c r="B48" s="87" t="s">
        <v>999</v>
      </c>
      <c r="C48" s="88"/>
      <c r="D48" s="190"/>
    </row>
    <row r="49" spans="1:4" ht="41.4" x14ac:dyDescent="0.3">
      <c r="A49" s="190" t="s">
        <v>2104</v>
      </c>
      <c r="B49" s="87" t="s">
        <v>2106</v>
      </c>
      <c r="C49" s="88"/>
      <c r="D49" s="217"/>
    </row>
    <row r="50" spans="1:4" ht="14.4" x14ac:dyDescent="0.3">
      <c r="A50" s="190" t="s">
        <v>2104</v>
      </c>
      <c r="B50" s="87" t="s">
        <v>2109</v>
      </c>
      <c r="C50" s="88"/>
      <c r="D50" s="190"/>
    </row>
    <row r="51" spans="1:4" ht="14.4" x14ac:dyDescent="0.3">
      <c r="A51" s="190" t="s">
        <v>2104</v>
      </c>
      <c r="B51" s="216" t="s">
        <v>2110</v>
      </c>
      <c r="C51" s="88"/>
      <c r="D51" s="190"/>
    </row>
    <row r="52" spans="1:4" ht="27.6" x14ac:dyDescent="0.3">
      <c r="A52" s="190" t="s">
        <v>2104</v>
      </c>
      <c r="B52" s="87" t="s">
        <v>2112</v>
      </c>
      <c r="C52" s="88"/>
      <c r="D52" s="190"/>
    </row>
    <row r="53" spans="1:4" ht="27.6" x14ac:dyDescent="0.3">
      <c r="A53" s="190" t="s">
        <v>2104</v>
      </c>
      <c r="B53" s="87" t="s">
        <v>2113</v>
      </c>
      <c r="C53" s="88"/>
      <c r="D53" s="190"/>
    </row>
    <row r="54" spans="1:4" ht="14.4" x14ac:dyDescent="0.3">
      <c r="A54" s="190" t="s">
        <v>2104</v>
      </c>
      <c r="B54" s="87" t="s">
        <v>2115</v>
      </c>
      <c r="C54" s="88"/>
      <c r="D54" s="190"/>
    </row>
    <row r="55" spans="1:4" ht="14.4" x14ac:dyDescent="0.3">
      <c r="A55" s="202" t="s">
        <v>2104</v>
      </c>
      <c r="B55" s="212" t="s">
        <v>2117</v>
      </c>
      <c r="C55" s="204"/>
      <c r="D55" s="212"/>
    </row>
    <row r="56" spans="1:4" ht="27.6" x14ac:dyDescent="0.3">
      <c r="A56" s="190" t="s">
        <v>2104</v>
      </c>
      <c r="B56" s="87" t="s">
        <v>2119</v>
      </c>
      <c r="C56" s="88"/>
      <c r="D56" s="190"/>
    </row>
    <row r="57" spans="1:4" ht="14.4" x14ac:dyDescent="0.3">
      <c r="A57" s="202" t="s">
        <v>2121</v>
      </c>
      <c r="B57" s="212" t="s">
        <v>2122</v>
      </c>
      <c r="C57" s="204"/>
      <c r="D57" s="202"/>
    </row>
    <row r="58" spans="1:4" ht="14.4" x14ac:dyDescent="0.3">
      <c r="A58" s="202" t="s">
        <v>2121</v>
      </c>
      <c r="B58" s="212" t="s">
        <v>2123</v>
      </c>
      <c r="C58" s="204"/>
      <c r="D58" s="202"/>
    </row>
    <row r="59" spans="1:4" ht="27.6" x14ac:dyDescent="0.3">
      <c r="A59" s="190" t="s">
        <v>2121</v>
      </c>
      <c r="B59" s="87" t="s">
        <v>2125</v>
      </c>
      <c r="C59" s="88"/>
      <c r="D59" s="190"/>
    </row>
    <row r="60" spans="1:4" ht="14.4" x14ac:dyDescent="0.3">
      <c r="A60" s="190" t="s">
        <v>2121</v>
      </c>
      <c r="B60" s="87" t="s">
        <v>2127</v>
      </c>
      <c r="C60" s="88"/>
      <c r="D60" s="190"/>
    </row>
    <row r="61" spans="1:4" ht="14.4" x14ac:dyDescent="0.3">
      <c r="A61" s="190" t="s">
        <v>2121</v>
      </c>
      <c r="B61" s="87" t="s">
        <v>2129</v>
      </c>
      <c r="C61" s="88"/>
      <c r="D61" s="190"/>
    </row>
    <row r="62" spans="1:4" ht="14.4" x14ac:dyDescent="0.3">
      <c r="A62" s="190" t="s">
        <v>2121</v>
      </c>
      <c r="B62" s="87" t="s">
        <v>2131</v>
      </c>
      <c r="C62" s="88"/>
      <c r="D62" s="190"/>
    </row>
    <row r="63" spans="1:4" ht="27.6" x14ac:dyDescent="0.3">
      <c r="A63" s="190" t="s">
        <v>2121</v>
      </c>
      <c r="B63" s="87" t="s">
        <v>2133</v>
      </c>
      <c r="C63" s="88"/>
      <c r="D63" s="190"/>
    </row>
    <row r="64" spans="1:4" ht="14.4" x14ac:dyDescent="0.3">
      <c r="A64" s="190" t="s">
        <v>2121</v>
      </c>
      <c r="B64" s="87" t="s">
        <v>2135</v>
      </c>
      <c r="C64" s="88"/>
      <c r="D64" s="190"/>
    </row>
    <row r="65" spans="1:4" ht="55.2" x14ac:dyDescent="0.3">
      <c r="A65" s="190" t="s">
        <v>2121</v>
      </c>
      <c r="B65" s="87" t="s">
        <v>2137</v>
      </c>
      <c r="C65" s="88"/>
      <c r="D65" s="190"/>
    </row>
    <row r="66" spans="1:4" ht="14.4" x14ac:dyDescent="0.3">
      <c r="A66" s="213" t="s">
        <v>2121</v>
      </c>
      <c r="B66" s="215" t="s">
        <v>1145</v>
      </c>
      <c r="C66" s="209"/>
      <c r="D66" s="213"/>
    </row>
    <row r="67" spans="1:4" ht="14.4" x14ac:dyDescent="0.3">
      <c r="A67" s="190" t="s">
        <v>2121</v>
      </c>
      <c r="B67" s="216" t="s">
        <v>2140</v>
      </c>
      <c r="C67" s="88"/>
      <c r="D67" s="190"/>
    </row>
    <row r="68" spans="1:4" ht="14.4" x14ac:dyDescent="0.3">
      <c r="A68" s="218" t="s">
        <v>2141</v>
      </c>
      <c r="B68" s="215" t="s">
        <v>2143</v>
      </c>
      <c r="C68" s="209"/>
      <c r="D68" s="209"/>
    </row>
    <row r="69" spans="1:4" ht="14.4" x14ac:dyDescent="0.3">
      <c r="A69" s="218" t="s">
        <v>2141</v>
      </c>
      <c r="B69" s="215" t="s">
        <v>1725</v>
      </c>
      <c r="C69" s="209"/>
      <c r="D69" s="209"/>
    </row>
    <row r="70" spans="1:4" ht="41.4" x14ac:dyDescent="0.3">
      <c r="A70" s="80" t="s">
        <v>2141</v>
      </c>
      <c r="B70" s="94" t="s">
        <v>2145</v>
      </c>
      <c r="C70" s="88"/>
      <c r="D70" s="95"/>
    </row>
    <row r="71" spans="1:4" ht="27.6" x14ac:dyDescent="0.3">
      <c r="A71" s="219" t="s">
        <v>2141</v>
      </c>
      <c r="B71" s="215" t="s">
        <v>1734</v>
      </c>
      <c r="C71" s="209"/>
      <c r="D71" s="213"/>
    </row>
    <row r="72" spans="1:4" ht="14.4" x14ac:dyDescent="0.3">
      <c r="A72" s="80" t="s">
        <v>2141</v>
      </c>
      <c r="B72" s="216" t="s">
        <v>1997</v>
      </c>
      <c r="C72" s="88"/>
      <c r="D72" s="95"/>
    </row>
    <row r="73" spans="1:4" ht="14.4" x14ac:dyDescent="0.3">
      <c r="A73" s="17"/>
      <c r="B73" s="14"/>
      <c r="C73" s="17"/>
      <c r="D73" s="17"/>
    </row>
    <row r="74" spans="1:4" ht="14.4" x14ac:dyDescent="0.3">
      <c r="A74" s="17"/>
      <c r="B74" s="14"/>
      <c r="C74" s="17"/>
      <c r="D74" s="17"/>
    </row>
    <row r="75" spans="1:4" ht="14.4" x14ac:dyDescent="0.3">
      <c r="A75" s="17"/>
      <c r="B75" s="15" t="s">
        <v>75</v>
      </c>
      <c r="C75" s="2">
        <f>COUNTIF($C$4:$C$72,"C")</f>
        <v>1</v>
      </c>
      <c r="D75" s="17"/>
    </row>
    <row r="76" spans="1:4" ht="14.4" x14ac:dyDescent="0.3">
      <c r="A76" s="17"/>
      <c r="B76" s="15" t="s">
        <v>81</v>
      </c>
      <c r="C76" s="2">
        <f>COUNTIF($C$4:$C$72,"NC")</f>
        <v>1</v>
      </c>
      <c r="D76" s="17"/>
    </row>
    <row r="77" spans="1:4" ht="14.4" x14ac:dyDescent="0.3">
      <c r="A77" s="17"/>
      <c r="B77" s="15" t="s">
        <v>84</v>
      </c>
      <c r="C77" s="2">
        <f>COUNTIF($C$4:$C$72,"NA")</f>
        <v>1</v>
      </c>
      <c r="D77" s="17"/>
    </row>
  </sheetData>
  <autoFilter ref="A4:D72" xr:uid="{00000000-0009-0000-0000-00001C000000}"/>
  <conditionalFormatting sqref="C6:C7 C9:C10 C12:C13 C15:C22 C24:C26 C28 C30:C32 C34:C43 C45 C47:C54 C56 C59:C65 C67 C70 C72">
    <cfRule type="beginsWith" dxfId="56" priority="1" operator="beginsWith" text="C">
      <formula>LEFT((C6),LEN("C"))=("C")</formula>
    </cfRule>
    <cfRule type="beginsWith" dxfId="55" priority="2" operator="beginsWith" text="NC">
      <formula>LEFT((C6),LEN("NC"))=("NC")</formula>
    </cfRule>
    <cfRule type="beginsWith" dxfId="54" priority="3" operator="beginsWith" text="NA">
      <formula>LEFT((C6),LEN("NA"))=("NA")</formula>
    </cfRule>
  </conditionalFormatting>
  <dataValidations count="1">
    <dataValidation type="list" allowBlank="1" sqref="C6:C7 C9:C10 C12:C13 C15:C22 C24:C26 C28 C30:C32 C34:C43 C45 C47:C54 C56 C59:C65 C67 C70 C72" xr:uid="{00000000-0002-0000-1C00-000000000000}">
      <formula1>"C,NC,NA"</formula1>
    </dataValidation>
  </dataValidations>
  <hyperlinks>
    <hyperlink ref="B1" location="'Tabla de contenido'!A1" display="VOLVER A TABLA DE CONTENIDO" xr:uid="{00000000-0004-0000-1C00-000000000000}"/>
  </hyperlinks>
  <pageMargins left="0.7" right="0.7" top="0.75" bottom="0.75" header="0" footer="0"/>
  <pageSetup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41B47"/>
  </sheetPr>
  <dimension ref="A1:D129"/>
  <sheetViews>
    <sheetView showGridLines="0" workbookViewId="0">
      <selection sqref="A1:D1"/>
    </sheetView>
  </sheetViews>
  <sheetFormatPr baseColWidth="10" defaultColWidth="14.44140625" defaultRowHeight="15" customHeight="1" outlineLevelCol="1" x14ac:dyDescent="0.3"/>
  <cols>
    <col min="1" max="1" width="13.5546875" customWidth="1"/>
    <col min="2" max="2" width="66.21875" customWidth="1"/>
    <col min="3" max="3" width="11.5546875" customWidth="1"/>
    <col min="4" max="4" width="26" customWidth="1" outlineLevel="1"/>
    <col min="5" max="5" width="2.33203125" customWidth="1"/>
    <col min="6" max="24" width="10.77734375" customWidth="1"/>
  </cols>
  <sheetData>
    <row r="1" spans="1:4" ht="14.4" x14ac:dyDescent="0.3">
      <c r="A1" s="269"/>
      <c r="B1" s="270" t="s">
        <v>0</v>
      </c>
      <c r="C1" s="269"/>
      <c r="D1" s="269"/>
    </row>
    <row r="2" spans="1:4" ht="14.4" x14ac:dyDescent="0.3">
      <c r="A2" s="59"/>
      <c r="B2" s="60" t="s">
        <v>919</v>
      </c>
      <c r="C2" s="196"/>
      <c r="D2" s="62"/>
    </row>
    <row r="3" spans="1:4" ht="14.4" x14ac:dyDescent="0.3">
      <c r="A3" s="59"/>
      <c r="B3" s="60" t="s">
        <v>2061</v>
      </c>
      <c r="C3" s="61"/>
      <c r="D3" s="62"/>
    </row>
    <row r="4" spans="1:4" ht="14.4" x14ac:dyDescent="0.3">
      <c r="A4" s="59" t="s">
        <v>7</v>
      </c>
      <c r="B4" s="60" t="s">
        <v>9</v>
      </c>
      <c r="C4" s="59" t="s">
        <v>10</v>
      </c>
      <c r="D4" s="59" t="s">
        <v>11</v>
      </c>
    </row>
    <row r="5" spans="1:4" ht="14.4" x14ac:dyDescent="0.3">
      <c r="A5" s="202" t="s">
        <v>2062</v>
      </c>
      <c r="B5" s="212" t="s">
        <v>2063</v>
      </c>
      <c r="C5" s="204"/>
      <c r="D5" s="204"/>
    </row>
    <row r="6" spans="1:4" ht="27.6" x14ac:dyDescent="0.3">
      <c r="A6" s="214" t="s">
        <v>2062</v>
      </c>
      <c r="B6" s="87" t="s">
        <v>1290</v>
      </c>
      <c r="C6" s="88" t="s">
        <v>16</v>
      </c>
      <c r="D6" s="190"/>
    </row>
    <row r="7" spans="1:4" ht="69" x14ac:dyDescent="0.3">
      <c r="A7" s="214" t="s">
        <v>2062</v>
      </c>
      <c r="B7" s="87" t="s">
        <v>2064</v>
      </c>
      <c r="C7" s="88" t="s">
        <v>20</v>
      </c>
      <c r="D7" s="190"/>
    </row>
    <row r="8" spans="1:4" ht="41.4" x14ac:dyDescent="0.3">
      <c r="A8" s="214" t="s">
        <v>2062</v>
      </c>
      <c r="B8" s="87" t="s">
        <v>2065</v>
      </c>
      <c r="C8" s="88" t="s">
        <v>24</v>
      </c>
      <c r="D8" s="190"/>
    </row>
    <row r="9" spans="1:4" ht="41.4" x14ac:dyDescent="0.3">
      <c r="A9" s="214" t="s">
        <v>2062</v>
      </c>
      <c r="B9" s="87" t="s">
        <v>2067</v>
      </c>
      <c r="C9" s="88"/>
      <c r="D9" s="190"/>
    </row>
    <row r="10" spans="1:4" ht="14.4" x14ac:dyDescent="0.3">
      <c r="A10" s="202" t="s">
        <v>2062</v>
      </c>
      <c r="B10" s="212" t="s">
        <v>1335</v>
      </c>
      <c r="C10" s="204"/>
      <c r="D10" s="204"/>
    </row>
    <row r="11" spans="1:4" ht="41.4" x14ac:dyDescent="0.3">
      <c r="A11" s="214" t="s">
        <v>2062</v>
      </c>
      <c r="B11" s="87" t="s">
        <v>2070</v>
      </c>
      <c r="C11" s="88"/>
      <c r="D11" s="190"/>
    </row>
    <row r="12" spans="1:4" ht="14.4" x14ac:dyDescent="0.3">
      <c r="A12" s="214" t="s">
        <v>2062</v>
      </c>
      <c r="B12" s="87" t="s">
        <v>2071</v>
      </c>
      <c r="C12" s="88"/>
      <c r="D12" s="190"/>
    </row>
    <row r="13" spans="1:4" ht="14.4" x14ac:dyDescent="0.3">
      <c r="A13" s="214" t="s">
        <v>2062</v>
      </c>
      <c r="B13" s="87" t="s">
        <v>2072</v>
      </c>
      <c r="C13" s="88"/>
      <c r="D13" s="190"/>
    </row>
    <row r="14" spans="1:4" ht="14.4" x14ac:dyDescent="0.3">
      <c r="A14" s="214" t="s">
        <v>2062</v>
      </c>
      <c r="B14" s="87" t="s">
        <v>2074</v>
      </c>
      <c r="C14" s="88"/>
      <c r="D14" s="190"/>
    </row>
    <row r="15" spans="1:4" ht="14.4" x14ac:dyDescent="0.3">
      <c r="A15" s="202" t="s">
        <v>2062</v>
      </c>
      <c r="B15" s="212" t="s">
        <v>2076</v>
      </c>
      <c r="C15" s="204"/>
      <c r="D15" s="204"/>
    </row>
    <row r="16" spans="1:4" ht="41.4" x14ac:dyDescent="0.3">
      <c r="A16" s="214" t="s">
        <v>2062</v>
      </c>
      <c r="B16" s="87" t="s">
        <v>2077</v>
      </c>
      <c r="C16" s="88"/>
      <c r="D16" s="190"/>
    </row>
    <row r="17" spans="1:4" ht="14.4" x14ac:dyDescent="0.3">
      <c r="A17" s="202" t="s">
        <v>2062</v>
      </c>
      <c r="B17" s="212" t="s">
        <v>1145</v>
      </c>
      <c r="C17" s="204"/>
      <c r="D17" s="204"/>
    </row>
    <row r="18" spans="1:4" ht="14.4" x14ac:dyDescent="0.3">
      <c r="A18" s="214" t="s">
        <v>2062</v>
      </c>
      <c r="B18" s="87" t="s">
        <v>2023</v>
      </c>
      <c r="C18" s="88"/>
      <c r="D18" s="190"/>
    </row>
    <row r="19" spans="1:4" ht="69" x14ac:dyDescent="0.3">
      <c r="A19" s="214" t="s">
        <v>2062</v>
      </c>
      <c r="B19" s="87" t="s">
        <v>2081</v>
      </c>
      <c r="C19" s="88"/>
      <c r="D19" s="190"/>
    </row>
    <row r="20" spans="1:4" ht="14.4" x14ac:dyDescent="0.3">
      <c r="A20" s="202" t="s">
        <v>2083</v>
      </c>
      <c r="B20" s="212" t="s">
        <v>2084</v>
      </c>
      <c r="C20" s="204"/>
      <c r="D20" s="204"/>
    </row>
    <row r="21" spans="1:4" ht="27.6" x14ac:dyDescent="0.3">
      <c r="A21" s="214" t="s">
        <v>2083</v>
      </c>
      <c r="B21" s="87" t="s">
        <v>1137</v>
      </c>
      <c r="C21" s="88"/>
      <c r="D21" s="190"/>
    </row>
    <row r="22" spans="1:4" ht="27.6" x14ac:dyDescent="0.3">
      <c r="A22" s="214" t="s">
        <v>2083</v>
      </c>
      <c r="B22" s="87" t="s">
        <v>2088</v>
      </c>
      <c r="C22" s="88"/>
      <c r="D22" s="190"/>
    </row>
    <row r="23" spans="1:4" ht="14.4" x14ac:dyDescent="0.3">
      <c r="A23" s="214" t="s">
        <v>2083</v>
      </c>
      <c r="B23" s="87" t="s">
        <v>2090</v>
      </c>
      <c r="C23" s="88"/>
      <c r="D23" s="190"/>
    </row>
    <row r="24" spans="1:4" ht="14.4" x14ac:dyDescent="0.3">
      <c r="A24" s="214" t="s">
        <v>2083</v>
      </c>
      <c r="B24" s="87" t="s">
        <v>2092</v>
      </c>
      <c r="C24" s="88"/>
      <c r="D24" s="190"/>
    </row>
    <row r="25" spans="1:4" ht="27.6" x14ac:dyDescent="0.3">
      <c r="A25" s="214" t="s">
        <v>2083</v>
      </c>
      <c r="B25" s="87" t="s">
        <v>2094</v>
      </c>
      <c r="C25" s="88"/>
      <c r="D25" s="190"/>
    </row>
    <row r="26" spans="1:4" ht="14.4" x14ac:dyDescent="0.3">
      <c r="A26" s="214" t="s">
        <v>2083</v>
      </c>
      <c r="B26" s="87" t="s">
        <v>2096</v>
      </c>
      <c r="C26" s="88"/>
      <c r="D26" s="190"/>
    </row>
    <row r="27" spans="1:4" ht="14.4" x14ac:dyDescent="0.3">
      <c r="A27" s="214" t="s">
        <v>2083</v>
      </c>
      <c r="B27" s="87" t="s">
        <v>2098</v>
      </c>
      <c r="C27" s="88"/>
      <c r="D27" s="190"/>
    </row>
    <row r="28" spans="1:4" ht="14.4" x14ac:dyDescent="0.3">
      <c r="A28" s="214" t="s">
        <v>2083</v>
      </c>
      <c r="B28" s="87" t="s">
        <v>2101</v>
      </c>
      <c r="C28" s="88"/>
      <c r="D28" s="190"/>
    </row>
    <row r="29" spans="1:4" ht="14.4" x14ac:dyDescent="0.3">
      <c r="A29" s="214" t="s">
        <v>2083</v>
      </c>
      <c r="B29" s="87" t="s">
        <v>2102</v>
      </c>
      <c r="C29" s="88"/>
      <c r="D29" s="190"/>
    </row>
    <row r="30" spans="1:4" ht="27.6" x14ac:dyDescent="0.3">
      <c r="A30" s="214" t="s">
        <v>2083</v>
      </c>
      <c r="B30" s="87" t="s">
        <v>2103</v>
      </c>
      <c r="C30" s="88"/>
      <c r="D30" s="190"/>
    </row>
    <row r="31" spans="1:4" ht="14.4" x14ac:dyDescent="0.3">
      <c r="A31" s="214" t="s">
        <v>2083</v>
      </c>
      <c r="B31" s="87" t="s">
        <v>2105</v>
      </c>
      <c r="C31" s="88"/>
      <c r="D31" s="190"/>
    </row>
    <row r="32" spans="1:4" ht="14.4" x14ac:dyDescent="0.3">
      <c r="A32" s="202" t="s">
        <v>2083</v>
      </c>
      <c r="B32" s="212" t="s">
        <v>2107</v>
      </c>
      <c r="C32" s="204"/>
      <c r="D32" s="204"/>
    </row>
    <row r="33" spans="1:4" ht="14.4" x14ac:dyDescent="0.3">
      <c r="A33" s="214" t="s">
        <v>2083</v>
      </c>
      <c r="B33" s="211" t="s">
        <v>2108</v>
      </c>
      <c r="C33" s="88"/>
      <c r="D33" s="190"/>
    </row>
    <row r="34" spans="1:4" ht="14.4" x14ac:dyDescent="0.3">
      <c r="A34" s="214" t="s">
        <v>2083</v>
      </c>
      <c r="B34" s="87" t="s">
        <v>2111</v>
      </c>
      <c r="C34" s="88"/>
      <c r="D34" s="190"/>
    </row>
    <row r="35" spans="1:4" ht="14.4" x14ac:dyDescent="0.3">
      <c r="A35" s="214" t="s">
        <v>2083</v>
      </c>
      <c r="B35" s="87" t="s">
        <v>1636</v>
      </c>
      <c r="C35" s="88"/>
      <c r="D35" s="190"/>
    </row>
    <row r="36" spans="1:4" ht="27.6" x14ac:dyDescent="0.3">
      <c r="A36" s="214" t="s">
        <v>2083</v>
      </c>
      <c r="B36" s="87" t="s">
        <v>2114</v>
      </c>
      <c r="C36" s="88"/>
      <c r="D36" s="190"/>
    </row>
    <row r="37" spans="1:4" ht="27.6" x14ac:dyDescent="0.3">
      <c r="A37" s="214" t="s">
        <v>2083</v>
      </c>
      <c r="B37" s="87" t="s">
        <v>2116</v>
      </c>
      <c r="C37" s="88"/>
      <c r="D37" s="190"/>
    </row>
    <row r="38" spans="1:4" ht="41.4" x14ac:dyDescent="0.3">
      <c r="A38" s="214" t="s">
        <v>2083</v>
      </c>
      <c r="B38" s="87" t="s">
        <v>2118</v>
      </c>
      <c r="C38" s="88"/>
      <c r="D38" s="190"/>
    </row>
    <row r="39" spans="1:4" ht="28.2" x14ac:dyDescent="0.3">
      <c r="A39" s="214" t="s">
        <v>2083</v>
      </c>
      <c r="B39" s="87" t="s">
        <v>2120</v>
      </c>
      <c r="C39" s="88"/>
      <c r="D39" s="190"/>
    </row>
    <row r="40" spans="1:4" ht="27.6" x14ac:dyDescent="0.3">
      <c r="A40" s="214" t="s">
        <v>2083</v>
      </c>
      <c r="B40" s="87" t="s">
        <v>2124</v>
      </c>
      <c r="C40" s="88"/>
      <c r="D40" s="190"/>
    </row>
    <row r="41" spans="1:4" ht="27.6" x14ac:dyDescent="0.3">
      <c r="A41" s="214" t="s">
        <v>2083</v>
      </c>
      <c r="B41" s="87" t="s">
        <v>2126</v>
      </c>
      <c r="C41" s="88"/>
      <c r="D41" s="190"/>
    </row>
    <row r="42" spans="1:4" ht="14.4" x14ac:dyDescent="0.3">
      <c r="A42" s="214" t="s">
        <v>2083</v>
      </c>
      <c r="B42" s="87" t="s">
        <v>2128</v>
      </c>
      <c r="C42" s="88"/>
      <c r="D42" s="190"/>
    </row>
    <row r="43" spans="1:4" ht="27.6" x14ac:dyDescent="0.3">
      <c r="A43" s="214" t="s">
        <v>2083</v>
      </c>
      <c r="B43" s="87" t="s">
        <v>2130</v>
      </c>
      <c r="C43" s="88"/>
      <c r="D43" s="190"/>
    </row>
    <row r="44" spans="1:4" ht="14.4" x14ac:dyDescent="0.3">
      <c r="A44" s="214" t="s">
        <v>2083</v>
      </c>
      <c r="B44" s="87" t="s">
        <v>2132</v>
      </c>
      <c r="C44" s="88"/>
      <c r="D44" s="190"/>
    </row>
    <row r="45" spans="1:4" ht="14.4" x14ac:dyDescent="0.3">
      <c r="A45" s="214" t="s">
        <v>2083</v>
      </c>
      <c r="B45" s="87" t="s">
        <v>2134</v>
      </c>
      <c r="C45" s="88"/>
      <c r="D45" s="190"/>
    </row>
    <row r="46" spans="1:4" ht="14.4" x14ac:dyDescent="0.3">
      <c r="A46" s="214" t="s">
        <v>2083</v>
      </c>
      <c r="B46" s="87" t="s">
        <v>2136</v>
      </c>
      <c r="C46" s="88"/>
      <c r="D46" s="190"/>
    </row>
    <row r="47" spans="1:4" ht="27.6" x14ac:dyDescent="0.3">
      <c r="A47" s="214" t="s">
        <v>2083</v>
      </c>
      <c r="B47" s="87" t="s">
        <v>2138</v>
      </c>
      <c r="C47" s="88"/>
      <c r="D47" s="190"/>
    </row>
    <row r="48" spans="1:4" ht="14.4" x14ac:dyDescent="0.3">
      <c r="A48" s="214" t="s">
        <v>2083</v>
      </c>
      <c r="B48" s="87" t="s">
        <v>2139</v>
      </c>
      <c r="C48" s="88"/>
      <c r="D48" s="190"/>
    </row>
    <row r="49" spans="1:4" ht="14.4" x14ac:dyDescent="0.3">
      <c r="A49" s="202" t="s">
        <v>2083</v>
      </c>
      <c r="B49" s="212" t="s">
        <v>1145</v>
      </c>
      <c r="C49" s="204"/>
      <c r="D49" s="204"/>
    </row>
    <row r="50" spans="1:4" ht="14.4" x14ac:dyDescent="0.3">
      <c r="A50" s="214" t="s">
        <v>2083</v>
      </c>
      <c r="B50" s="87" t="s">
        <v>2142</v>
      </c>
      <c r="C50" s="88"/>
      <c r="D50" s="190"/>
    </row>
    <row r="51" spans="1:4" ht="14.4" x14ac:dyDescent="0.3">
      <c r="A51" s="202" t="s">
        <v>2144</v>
      </c>
      <c r="B51" s="212" t="s">
        <v>2045</v>
      </c>
      <c r="C51" s="204"/>
      <c r="D51" s="204"/>
    </row>
    <row r="52" spans="1:4" ht="28.2" x14ac:dyDescent="0.3">
      <c r="A52" s="214" t="s">
        <v>2144</v>
      </c>
      <c r="B52" s="87" t="s">
        <v>2146</v>
      </c>
      <c r="C52" s="88"/>
      <c r="D52" s="87"/>
    </row>
    <row r="53" spans="1:4" ht="14.4" x14ac:dyDescent="0.3">
      <c r="A53" s="214" t="s">
        <v>2144</v>
      </c>
      <c r="B53" s="87" t="s">
        <v>2147</v>
      </c>
      <c r="C53" s="88"/>
      <c r="D53" s="190"/>
    </row>
    <row r="54" spans="1:4" ht="14.4" x14ac:dyDescent="0.3">
      <c r="A54" s="214" t="s">
        <v>2144</v>
      </c>
      <c r="B54" s="87" t="s">
        <v>2148</v>
      </c>
      <c r="C54" s="88"/>
      <c r="D54" s="190"/>
    </row>
    <row r="55" spans="1:4" ht="14.4" x14ac:dyDescent="0.3">
      <c r="A55" s="214" t="s">
        <v>2144</v>
      </c>
      <c r="B55" s="87" t="s">
        <v>2149</v>
      </c>
      <c r="C55" s="88"/>
      <c r="D55" s="190"/>
    </row>
    <row r="56" spans="1:4" ht="14.4" x14ac:dyDescent="0.3">
      <c r="A56" s="202" t="s">
        <v>2144</v>
      </c>
      <c r="B56" s="212" t="s">
        <v>2150</v>
      </c>
      <c r="C56" s="204"/>
      <c r="D56" s="204"/>
    </row>
    <row r="57" spans="1:4" ht="27.6" x14ac:dyDescent="0.3">
      <c r="A57" s="214" t="s">
        <v>2144</v>
      </c>
      <c r="B57" s="87" t="s">
        <v>2151</v>
      </c>
      <c r="C57" s="88"/>
      <c r="D57" s="190"/>
    </row>
    <row r="58" spans="1:4" ht="14.4" x14ac:dyDescent="0.3">
      <c r="A58" s="214" t="s">
        <v>2144</v>
      </c>
      <c r="B58" s="87" t="s">
        <v>2152</v>
      </c>
      <c r="C58" s="88"/>
      <c r="D58" s="190"/>
    </row>
    <row r="59" spans="1:4" ht="55.2" x14ac:dyDescent="0.3">
      <c r="A59" s="214" t="s">
        <v>2144</v>
      </c>
      <c r="B59" s="87" t="s">
        <v>2153</v>
      </c>
      <c r="C59" s="88"/>
      <c r="D59" s="190"/>
    </row>
    <row r="60" spans="1:4" ht="14.4" x14ac:dyDescent="0.3">
      <c r="A60" s="214" t="s">
        <v>2144</v>
      </c>
      <c r="B60" s="87" t="s">
        <v>2154</v>
      </c>
      <c r="C60" s="88"/>
      <c r="D60" s="190"/>
    </row>
    <row r="61" spans="1:4" ht="14.4" x14ac:dyDescent="0.3">
      <c r="A61" s="214" t="s">
        <v>2144</v>
      </c>
      <c r="B61" s="87" t="s">
        <v>2155</v>
      </c>
      <c r="C61" s="88"/>
      <c r="D61" s="190"/>
    </row>
    <row r="62" spans="1:4" ht="14.4" x14ac:dyDescent="0.3">
      <c r="A62" s="214" t="s">
        <v>2144</v>
      </c>
      <c r="B62" s="87" t="s">
        <v>2156</v>
      </c>
      <c r="C62" s="88"/>
      <c r="D62" s="190"/>
    </row>
    <row r="63" spans="1:4" ht="27.6" x14ac:dyDescent="0.3">
      <c r="A63" s="214" t="s">
        <v>2144</v>
      </c>
      <c r="B63" s="87" t="s">
        <v>2157</v>
      </c>
      <c r="C63" s="88"/>
      <c r="D63" s="190"/>
    </row>
    <row r="64" spans="1:4" ht="41.4" x14ac:dyDescent="0.3">
      <c r="A64" s="214" t="s">
        <v>2144</v>
      </c>
      <c r="B64" s="87" t="s">
        <v>2158</v>
      </c>
      <c r="C64" s="88"/>
      <c r="D64" s="190"/>
    </row>
    <row r="65" spans="1:4" ht="27.6" x14ac:dyDescent="0.3">
      <c r="A65" s="214" t="s">
        <v>2144</v>
      </c>
      <c r="B65" s="87" t="s">
        <v>2159</v>
      </c>
      <c r="C65" s="88"/>
      <c r="D65" s="190"/>
    </row>
    <row r="66" spans="1:4" ht="27.6" x14ac:dyDescent="0.3">
      <c r="A66" s="214" t="s">
        <v>2144</v>
      </c>
      <c r="B66" s="87" t="s">
        <v>2160</v>
      </c>
      <c r="C66" s="88"/>
      <c r="D66" s="190"/>
    </row>
    <row r="67" spans="1:4" ht="14.4" x14ac:dyDescent="0.3">
      <c r="A67" s="202" t="s">
        <v>2144</v>
      </c>
      <c r="B67" s="212" t="s">
        <v>2161</v>
      </c>
      <c r="C67" s="204"/>
      <c r="D67" s="204"/>
    </row>
    <row r="68" spans="1:4" ht="14.4" x14ac:dyDescent="0.3">
      <c r="A68" s="214" t="s">
        <v>2144</v>
      </c>
      <c r="B68" s="211" t="s">
        <v>2162</v>
      </c>
      <c r="C68" s="88"/>
      <c r="D68" s="190"/>
    </row>
    <row r="69" spans="1:4" ht="14.4" x14ac:dyDescent="0.3">
      <c r="A69" s="214" t="s">
        <v>2144</v>
      </c>
      <c r="B69" s="87" t="s">
        <v>2163</v>
      </c>
      <c r="C69" s="88"/>
      <c r="D69" s="190"/>
    </row>
    <row r="70" spans="1:4" ht="14.4" x14ac:dyDescent="0.3">
      <c r="A70" s="214" t="s">
        <v>2144</v>
      </c>
      <c r="B70" s="87" t="s">
        <v>2164</v>
      </c>
      <c r="C70" s="88"/>
      <c r="D70" s="190"/>
    </row>
    <row r="71" spans="1:4" ht="14.4" x14ac:dyDescent="0.3">
      <c r="A71" s="214" t="s">
        <v>2144</v>
      </c>
      <c r="B71" s="87" t="s">
        <v>2165</v>
      </c>
      <c r="C71" s="88"/>
      <c r="D71" s="190"/>
    </row>
    <row r="72" spans="1:4" ht="14.4" x14ac:dyDescent="0.3">
      <c r="A72" s="214" t="s">
        <v>2144</v>
      </c>
      <c r="B72" s="87" t="s">
        <v>2166</v>
      </c>
      <c r="C72" s="88"/>
      <c r="D72" s="190"/>
    </row>
    <row r="73" spans="1:4" ht="14.4" x14ac:dyDescent="0.3">
      <c r="A73" s="214" t="s">
        <v>2144</v>
      </c>
      <c r="B73" s="87" t="s">
        <v>2167</v>
      </c>
      <c r="C73" s="88"/>
      <c r="D73" s="190"/>
    </row>
    <row r="74" spans="1:4" ht="14.4" x14ac:dyDescent="0.3">
      <c r="A74" s="214" t="s">
        <v>2144</v>
      </c>
      <c r="B74" s="87" t="s">
        <v>2168</v>
      </c>
      <c r="C74" s="88"/>
      <c r="D74" s="190"/>
    </row>
    <row r="75" spans="1:4" ht="14.4" x14ac:dyDescent="0.3">
      <c r="A75" s="202" t="s">
        <v>2144</v>
      </c>
      <c r="B75" s="212" t="s">
        <v>2076</v>
      </c>
      <c r="C75" s="204"/>
      <c r="D75" s="204"/>
    </row>
    <row r="76" spans="1:4" ht="41.4" x14ac:dyDescent="0.3">
      <c r="A76" s="214" t="s">
        <v>2144</v>
      </c>
      <c r="B76" s="87" t="s">
        <v>2169</v>
      </c>
      <c r="C76" s="88"/>
      <c r="D76" s="190"/>
    </row>
    <row r="77" spans="1:4" ht="41.4" x14ac:dyDescent="0.3">
      <c r="A77" s="214" t="s">
        <v>2144</v>
      </c>
      <c r="B77" s="87" t="s">
        <v>2170</v>
      </c>
      <c r="C77" s="88"/>
      <c r="D77" s="190"/>
    </row>
    <row r="78" spans="1:4" ht="14.4" x14ac:dyDescent="0.3">
      <c r="A78" s="202" t="s">
        <v>2144</v>
      </c>
      <c r="B78" s="212" t="s">
        <v>1145</v>
      </c>
      <c r="C78" s="204"/>
      <c r="D78" s="204"/>
    </row>
    <row r="79" spans="1:4" ht="27.6" x14ac:dyDescent="0.3">
      <c r="A79" s="214" t="s">
        <v>2144</v>
      </c>
      <c r="B79" s="87" t="s">
        <v>1193</v>
      </c>
      <c r="C79" s="88"/>
      <c r="D79" s="190"/>
    </row>
    <row r="80" spans="1:4" ht="27.6" x14ac:dyDescent="0.3">
      <c r="A80" s="214" t="s">
        <v>2171</v>
      </c>
      <c r="B80" s="87" t="s">
        <v>2172</v>
      </c>
      <c r="C80" s="88"/>
      <c r="D80" s="190"/>
    </row>
    <row r="81" spans="1:4" ht="41.4" x14ac:dyDescent="0.3">
      <c r="A81" s="214" t="s">
        <v>2171</v>
      </c>
      <c r="B81" s="87" t="s">
        <v>2173</v>
      </c>
      <c r="C81" s="88"/>
      <c r="D81" s="190"/>
    </row>
    <row r="82" spans="1:4" ht="14.4" x14ac:dyDescent="0.3">
      <c r="A82" s="202" t="s">
        <v>2171</v>
      </c>
      <c r="B82" s="212" t="s">
        <v>1145</v>
      </c>
      <c r="C82" s="204"/>
      <c r="D82" s="204"/>
    </row>
    <row r="83" spans="1:4" ht="27.6" x14ac:dyDescent="0.3">
      <c r="A83" s="214" t="s">
        <v>2171</v>
      </c>
      <c r="B83" s="87" t="s">
        <v>1051</v>
      </c>
      <c r="C83" s="88"/>
      <c r="D83" s="190"/>
    </row>
    <row r="84" spans="1:4" ht="41.4" x14ac:dyDescent="0.3">
      <c r="A84" s="220" t="s">
        <v>2174</v>
      </c>
      <c r="B84" s="221" t="s">
        <v>2175</v>
      </c>
      <c r="C84" s="222"/>
      <c r="D84" s="220"/>
    </row>
    <row r="85" spans="1:4" ht="14.4" x14ac:dyDescent="0.3">
      <c r="A85" s="214" t="s">
        <v>2174</v>
      </c>
      <c r="B85" s="87" t="s">
        <v>2176</v>
      </c>
      <c r="C85" s="88"/>
      <c r="D85" s="190"/>
    </row>
    <row r="86" spans="1:4" ht="14.4" x14ac:dyDescent="0.3">
      <c r="A86" s="214" t="s">
        <v>2174</v>
      </c>
      <c r="B86" s="87" t="s">
        <v>2177</v>
      </c>
      <c r="C86" s="88"/>
      <c r="D86" s="190"/>
    </row>
    <row r="87" spans="1:4" ht="14.4" x14ac:dyDescent="0.3">
      <c r="A87" s="214" t="s">
        <v>2174</v>
      </c>
      <c r="B87" s="211" t="s">
        <v>2178</v>
      </c>
      <c r="C87" s="88"/>
      <c r="D87" s="190"/>
    </row>
    <row r="88" spans="1:4" ht="14.4" x14ac:dyDescent="0.3">
      <c r="A88" s="214" t="s">
        <v>2174</v>
      </c>
      <c r="B88" s="87" t="s">
        <v>2179</v>
      </c>
      <c r="C88" s="88"/>
      <c r="D88" s="190"/>
    </row>
    <row r="89" spans="1:4" ht="14.4" x14ac:dyDescent="0.3">
      <c r="A89" s="214" t="s">
        <v>2174</v>
      </c>
      <c r="B89" s="87" t="s">
        <v>2180</v>
      </c>
      <c r="C89" s="88"/>
      <c r="D89" s="190"/>
    </row>
    <row r="90" spans="1:4" ht="14.4" x14ac:dyDescent="0.3">
      <c r="A90" s="214" t="s">
        <v>2174</v>
      </c>
      <c r="B90" s="87" t="s">
        <v>2181</v>
      </c>
      <c r="C90" s="88"/>
      <c r="D90" s="190"/>
    </row>
    <row r="91" spans="1:4" ht="14.4" x14ac:dyDescent="0.3">
      <c r="A91" s="214" t="s">
        <v>2174</v>
      </c>
      <c r="B91" s="87" t="s">
        <v>2182</v>
      </c>
      <c r="C91" s="88"/>
      <c r="D91" s="190"/>
    </row>
    <row r="92" spans="1:4" ht="27.6" x14ac:dyDescent="0.3">
      <c r="A92" s="214" t="s">
        <v>2174</v>
      </c>
      <c r="B92" s="87" t="s">
        <v>2183</v>
      </c>
      <c r="C92" s="87"/>
      <c r="D92" s="190"/>
    </row>
    <row r="93" spans="1:4" ht="14.4" x14ac:dyDescent="0.3">
      <c r="A93" s="214" t="s">
        <v>2174</v>
      </c>
      <c r="B93" s="87" t="s">
        <v>2184</v>
      </c>
      <c r="C93" s="88"/>
      <c r="D93" s="190"/>
    </row>
    <row r="94" spans="1:4" ht="14.4" x14ac:dyDescent="0.3">
      <c r="A94" s="214" t="s">
        <v>2174</v>
      </c>
      <c r="B94" s="211" t="s">
        <v>2185</v>
      </c>
      <c r="C94" s="88"/>
      <c r="D94" s="190"/>
    </row>
    <row r="95" spans="1:4" ht="14.4" x14ac:dyDescent="0.3">
      <c r="A95" s="214" t="s">
        <v>2174</v>
      </c>
      <c r="B95" s="87" t="s">
        <v>2186</v>
      </c>
      <c r="C95" s="88"/>
      <c r="D95" s="190"/>
    </row>
    <row r="96" spans="1:4" ht="27.6" x14ac:dyDescent="0.3">
      <c r="A96" s="214" t="s">
        <v>2174</v>
      </c>
      <c r="B96" s="87" t="s">
        <v>2187</v>
      </c>
      <c r="C96" s="88"/>
      <c r="D96" s="190"/>
    </row>
    <row r="97" spans="1:4" ht="41.4" x14ac:dyDescent="0.3">
      <c r="A97" s="214" t="s">
        <v>2174</v>
      </c>
      <c r="B97" s="87" t="s">
        <v>2188</v>
      </c>
      <c r="C97" s="88"/>
      <c r="D97" s="190"/>
    </row>
    <row r="98" spans="1:4" ht="14.4" x14ac:dyDescent="0.3">
      <c r="A98" s="214" t="s">
        <v>2174</v>
      </c>
      <c r="B98" s="87" t="s">
        <v>2189</v>
      </c>
      <c r="C98" s="88"/>
      <c r="D98" s="190"/>
    </row>
    <row r="99" spans="1:4" ht="41.4" x14ac:dyDescent="0.3">
      <c r="A99" s="214" t="s">
        <v>2174</v>
      </c>
      <c r="B99" s="87" t="s">
        <v>2190</v>
      </c>
      <c r="C99" s="87"/>
      <c r="D99" s="87"/>
    </row>
    <row r="100" spans="1:4" ht="14.4" x14ac:dyDescent="0.3">
      <c r="A100" s="214" t="s">
        <v>2174</v>
      </c>
      <c r="B100" s="87" t="s">
        <v>2191</v>
      </c>
      <c r="C100" s="88"/>
      <c r="D100" s="190"/>
    </row>
    <row r="101" spans="1:4" ht="14.4" x14ac:dyDescent="0.3">
      <c r="A101" s="214" t="s">
        <v>2174</v>
      </c>
      <c r="B101" s="87" t="s">
        <v>2192</v>
      </c>
      <c r="C101" s="88"/>
      <c r="D101" s="190"/>
    </row>
    <row r="102" spans="1:4" ht="14.4" x14ac:dyDescent="0.3">
      <c r="A102" s="214" t="s">
        <v>2174</v>
      </c>
      <c r="B102" s="87" t="s">
        <v>2193</v>
      </c>
      <c r="C102" s="88"/>
      <c r="D102" s="190"/>
    </row>
    <row r="103" spans="1:4" ht="14.4" x14ac:dyDescent="0.3">
      <c r="A103" s="214" t="s">
        <v>2174</v>
      </c>
      <c r="B103" s="87" t="s">
        <v>2194</v>
      </c>
      <c r="C103" s="88"/>
      <c r="D103" s="190"/>
    </row>
    <row r="104" spans="1:4" ht="14.4" x14ac:dyDescent="0.3">
      <c r="A104" s="214" t="s">
        <v>2174</v>
      </c>
      <c r="B104" s="87" t="s">
        <v>2195</v>
      </c>
      <c r="C104" s="88"/>
      <c r="D104" s="190"/>
    </row>
    <row r="105" spans="1:4" ht="14.4" x14ac:dyDescent="0.3">
      <c r="A105" s="214" t="s">
        <v>2174</v>
      </c>
      <c r="B105" s="87" t="s">
        <v>2196</v>
      </c>
      <c r="C105" s="88"/>
      <c r="D105" s="190"/>
    </row>
    <row r="106" spans="1:4" ht="14.4" x14ac:dyDescent="0.3">
      <c r="A106" s="202" t="s">
        <v>2174</v>
      </c>
      <c r="B106" s="212" t="s">
        <v>2076</v>
      </c>
      <c r="C106" s="204"/>
      <c r="D106" s="204"/>
    </row>
    <row r="107" spans="1:4" ht="41.4" x14ac:dyDescent="0.3">
      <c r="A107" s="214" t="s">
        <v>2174</v>
      </c>
      <c r="B107" s="87" t="s">
        <v>2197</v>
      </c>
      <c r="C107" s="88"/>
      <c r="D107" s="190"/>
    </row>
    <row r="108" spans="1:4" ht="27.6" x14ac:dyDescent="0.3">
      <c r="A108" s="214" t="s">
        <v>2174</v>
      </c>
      <c r="B108" s="87" t="s">
        <v>2198</v>
      </c>
      <c r="C108" s="88"/>
      <c r="D108" s="190"/>
    </row>
    <row r="109" spans="1:4" ht="14.4" x14ac:dyDescent="0.3">
      <c r="A109" s="202" t="s">
        <v>2174</v>
      </c>
      <c r="B109" s="212" t="s">
        <v>1145</v>
      </c>
      <c r="C109" s="204"/>
      <c r="D109" s="204"/>
    </row>
    <row r="110" spans="1:4" ht="27.6" x14ac:dyDescent="0.3">
      <c r="A110" s="214" t="s">
        <v>2174</v>
      </c>
      <c r="B110" s="87" t="s">
        <v>2199</v>
      </c>
      <c r="C110" s="88"/>
      <c r="D110" s="190"/>
    </row>
    <row r="111" spans="1:4" ht="55.2" x14ac:dyDescent="0.3">
      <c r="A111" s="202" t="s">
        <v>2200</v>
      </c>
      <c r="B111" s="212" t="s">
        <v>2201</v>
      </c>
      <c r="C111" s="204"/>
      <c r="D111" s="204"/>
    </row>
    <row r="112" spans="1:4" ht="27.6" x14ac:dyDescent="0.3">
      <c r="A112" s="214" t="s">
        <v>2200</v>
      </c>
      <c r="B112" s="87" t="s">
        <v>2202</v>
      </c>
      <c r="C112" s="88"/>
      <c r="D112" s="190"/>
    </row>
    <row r="113" spans="1:4" ht="14.4" x14ac:dyDescent="0.3">
      <c r="A113" s="214" t="s">
        <v>2200</v>
      </c>
      <c r="B113" s="87" t="s">
        <v>2203</v>
      </c>
      <c r="C113" s="88"/>
      <c r="D113" s="190"/>
    </row>
    <row r="114" spans="1:4" ht="14.4" x14ac:dyDescent="0.3">
      <c r="A114" s="202" t="s">
        <v>2200</v>
      </c>
      <c r="B114" s="212" t="s">
        <v>2204</v>
      </c>
      <c r="C114" s="204"/>
      <c r="D114" s="204"/>
    </row>
    <row r="115" spans="1:4" ht="27.6" x14ac:dyDescent="0.3">
      <c r="A115" s="214" t="s">
        <v>2205</v>
      </c>
      <c r="B115" s="87" t="s">
        <v>1063</v>
      </c>
      <c r="C115" s="88"/>
      <c r="D115" s="190"/>
    </row>
    <row r="116" spans="1:4" ht="14.4" x14ac:dyDescent="0.3">
      <c r="A116" s="202" t="s">
        <v>2205</v>
      </c>
      <c r="B116" s="212" t="s">
        <v>2206</v>
      </c>
      <c r="C116" s="204"/>
      <c r="D116" s="204"/>
    </row>
    <row r="117" spans="1:4" ht="27.6" x14ac:dyDescent="0.3">
      <c r="A117" s="214" t="s">
        <v>2205</v>
      </c>
      <c r="B117" s="87" t="s">
        <v>2207</v>
      </c>
      <c r="C117" s="88"/>
      <c r="D117" s="190"/>
    </row>
    <row r="118" spans="1:4" ht="14.4" x14ac:dyDescent="0.3">
      <c r="A118" s="214" t="s">
        <v>2205</v>
      </c>
      <c r="B118" s="87" t="s">
        <v>2208</v>
      </c>
      <c r="C118" s="88"/>
      <c r="D118" s="190"/>
    </row>
    <row r="119" spans="1:4" ht="14.4" x14ac:dyDescent="0.3">
      <c r="A119" s="202" t="s">
        <v>2205</v>
      </c>
      <c r="B119" s="212" t="s">
        <v>2209</v>
      </c>
      <c r="C119" s="204"/>
      <c r="D119" s="204"/>
    </row>
    <row r="120" spans="1:4" ht="14.4" x14ac:dyDescent="0.3">
      <c r="A120" s="214" t="s">
        <v>2205</v>
      </c>
      <c r="B120" s="87" t="s">
        <v>2210</v>
      </c>
      <c r="C120" s="88"/>
      <c r="D120" s="190"/>
    </row>
    <row r="121" spans="1:4" ht="14.4" x14ac:dyDescent="0.3">
      <c r="A121" s="214" t="s">
        <v>2205</v>
      </c>
      <c r="B121" s="87" t="s">
        <v>2211</v>
      </c>
      <c r="C121" s="88"/>
      <c r="D121" s="190"/>
    </row>
    <row r="122" spans="1:4" ht="14.4" x14ac:dyDescent="0.3">
      <c r="A122" s="214" t="s">
        <v>2205</v>
      </c>
      <c r="B122" s="87" t="s">
        <v>2212</v>
      </c>
      <c r="C122" s="88"/>
      <c r="D122" s="190"/>
    </row>
    <row r="123" spans="1:4" ht="27.6" x14ac:dyDescent="0.3">
      <c r="A123" s="202" t="s">
        <v>2205</v>
      </c>
      <c r="B123" s="212" t="s">
        <v>2213</v>
      </c>
      <c r="C123" s="204"/>
      <c r="D123" s="204"/>
    </row>
    <row r="124" spans="1:4" ht="14.4" x14ac:dyDescent="0.3">
      <c r="A124" s="214" t="s">
        <v>2205</v>
      </c>
      <c r="B124" s="87" t="s">
        <v>2214</v>
      </c>
      <c r="C124" s="88"/>
      <c r="D124" s="17"/>
    </row>
    <row r="125" spans="1:4" ht="14.4" x14ac:dyDescent="0.3">
      <c r="A125" s="17"/>
      <c r="B125" s="14"/>
      <c r="C125" s="17"/>
      <c r="D125" s="17"/>
    </row>
    <row r="126" spans="1:4" ht="14.4" x14ac:dyDescent="0.3">
      <c r="A126" s="17"/>
      <c r="B126" s="14"/>
      <c r="C126" s="17"/>
      <c r="D126" s="17"/>
    </row>
    <row r="127" spans="1:4" ht="14.4" x14ac:dyDescent="0.3">
      <c r="A127" s="17"/>
      <c r="B127" s="15" t="s">
        <v>75</v>
      </c>
      <c r="C127" s="2">
        <f>COUNTIF($C$4:$C$124,"C")</f>
        <v>1</v>
      </c>
      <c r="D127" s="17"/>
    </row>
    <row r="128" spans="1:4" ht="14.4" x14ac:dyDescent="0.3">
      <c r="A128" s="17"/>
      <c r="B128" s="15" t="s">
        <v>81</v>
      </c>
      <c r="C128" s="2">
        <f>COUNTIF($C$4:$C$124,"NC")</f>
        <v>1</v>
      </c>
      <c r="D128" s="17"/>
    </row>
    <row r="129" spans="2:3" ht="14.4" x14ac:dyDescent="0.3">
      <c r="B129" s="15" t="s">
        <v>84</v>
      </c>
      <c r="C129" s="2">
        <f>COUNTIF($C$4:$C$124,"NA")</f>
        <v>1</v>
      </c>
    </row>
  </sheetData>
  <autoFilter ref="A4:D124" xr:uid="{00000000-0009-0000-0000-00001D000000}"/>
  <conditionalFormatting sqref="C6:C9 C11:C14 C16 C18:C19 C21:C31 C33:C48 C50 C52:C55 C57:C66 C68:C74 C76:C77 C79:C81 C83 C85:C91 C93:C98 C100:C105 C107:C108 C110 C112:C113 C115 C117:C118 C120:C122 C124">
    <cfRule type="beginsWith" dxfId="53" priority="1" operator="beginsWith" text="C">
      <formula>LEFT((C6),LEN("C"))=("C")</formula>
    </cfRule>
    <cfRule type="beginsWith" dxfId="52" priority="2" operator="beginsWith" text="NC">
      <formula>LEFT((C6),LEN("NC"))=("NC")</formula>
    </cfRule>
    <cfRule type="beginsWith" dxfId="51" priority="3" operator="beginsWith" text="NA">
      <formula>LEFT((C6),LEN("NA"))=("NA")</formula>
    </cfRule>
  </conditionalFormatting>
  <dataValidations count="1">
    <dataValidation type="list" allowBlank="1" sqref="C6:C9 C11:C14 C16 C18:C19 C21:C31 C33:C48 C50 C52:C55 C57:C66 C68:C74 C76:C77 C79:C81 C83 C85:C105 C107:C108 C110 C112:C113 C115 C117:C118 C120:C122 C124" xr:uid="{00000000-0002-0000-1D00-000000000000}">
      <formula1>"C,NC,NA"</formula1>
    </dataValidation>
  </dataValidations>
  <hyperlinks>
    <hyperlink ref="B1" location="'Tabla de contenido'!A1" display="VOLVER A TABLA DE CONTENIDO" xr:uid="{00000000-0004-0000-1D00-000000000000}"/>
  </hyperlinks>
  <pageMargins left="0.7" right="0.7" top="0.75" bottom="0.75" header="0" footer="0"/>
  <pageSetup orientation="portrait"/>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38761D"/>
  </sheetPr>
  <dimension ref="A1:D268"/>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70.6640625" customWidth="1"/>
    <col min="3" max="3" width="11.5546875" customWidth="1"/>
    <col min="4" max="4" width="31.44140625" customWidth="1" outlineLevel="1"/>
    <col min="5" max="5" width="2.33203125" customWidth="1"/>
    <col min="6" max="15" width="10.77734375" customWidth="1"/>
  </cols>
  <sheetData>
    <row r="1" spans="1:4" ht="14.4" x14ac:dyDescent="0.3">
      <c r="A1" s="269"/>
      <c r="B1" s="270" t="s">
        <v>0</v>
      </c>
      <c r="C1" s="269"/>
      <c r="D1" s="269"/>
    </row>
    <row r="2" spans="1:4" ht="14.4" x14ac:dyDescent="0.3">
      <c r="A2" s="74"/>
      <c r="B2" s="115" t="s">
        <v>2215</v>
      </c>
      <c r="C2" s="116"/>
      <c r="D2" s="77"/>
    </row>
    <row r="3" spans="1:4" ht="14.4" x14ac:dyDescent="0.3">
      <c r="A3" s="6"/>
      <c r="B3" s="223" t="s">
        <v>2216</v>
      </c>
      <c r="C3" s="182"/>
      <c r="D3" s="19"/>
    </row>
    <row r="4" spans="1:4" ht="14.4" x14ac:dyDescent="0.3">
      <c r="A4" s="6" t="s">
        <v>7</v>
      </c>
      <c r="B4" s="40" t="s">
        <v>9</v>
      </c>
      <c r="C4" s="224" t="s">
        <v>10</v>
      </c>
      <c r="D4" s="6" t="s">
        <v>11</v>
      </c>
    </row>
    <row r="5" spans="1:4" ht="14.4" x14ac:dyDescent="0.3">
      <c r="A5" s="202" t="s">
        <v>2217</v>
      </c>
      <c r="B5" s="212" t="s">
        <v>2218</v>
      </c>
      <c r="C5" s="204"/>
      <c r="D5" s="204"/>
    </row>
    <row r="6" spans="1:4" ht="14.4" x14ac:dyDescent="0.3">
      <c r="A6" s="202" t="s">
        <v>2217</v>
      </c>
      <c r="B6" s="212" t="s">
        <v>2219</v>
      </c>
      <c r="C6" s="204"/>
      <c r="D6" s="204"/>
    </row>
    <row r="7" spans="1:4" ht="27.6" x14ac:dyDescent="0.3">
      <c r="A7" s="111" t="s">
        <v>2217</v>
      </c>
      <c r="B7" s="47" t="s">
        <v>2220</v>
      </c>
      <c r="C7" s="172" t="s">
        <v>16</v>
      </c>
      <c r="D7" s="36"/>
    </row>
    <row r="8" spans="1:4" ht="14.4" x14ac:dyDescent="0.3">
      <c r="A8" s="111" t="s">
        <v>2217</v>
      </c>
      <c r="B8" s="47" t="s">
        <v>2221</v>
      </c>
      <c r="C8" s="172" t="s">
        <v>20</v>
      </c>
      <c r="D8" s="36"/>
    </row>
    <row r="9" spans="1:4" ht="14.4" x14ac:dyDescent="0.3">
      <c r="A9" s="111" t="s">
        <v>2217</v>
      </c>
      <c r="B9" s="47" t="s">
        <v>2222</v>
      </c>
      <c r="C9" s="172" t="s">
        <v>24</v>
      </c>
      <c r="D9" s="36"/>
    </row>
    <row r="10" spans="1:4" ht="14.4" x14ac:dyDescent="0.3">
      <c r="A10" s="111" t="s">
        <v>2217</v>
      </c>
      <c r="B10" s="47" t="s">
        <v>2223</v>
      </c>
      <c r="C10" s="172"/>
      <c r="D10" s="36"/>
    </row>
    <row r="11" spans="1:4" ht="14.4" x14ac:dyDescent="0.3">
      <c r="A11" s="202" t="s">
        <v>2217</v>
      </c>
      <c r="B11" s="212" t="s">
        <v>428</v>
      </c>
      <c r="C11" s="204"/>
      <c r="D11" s="204"/>
    </row>
    <row r="12" spans="1:4" ht="14.4" x14ac:dyDescent="0.3">
      <c r="A12" s="202" t="s">
        <v>2217</v>
      </c>
      <c r="B12" s="212" t="s">
        <v>2224</v>
      </c>
      <c r="C12" s="204"/>
      <c r="D12" s="204"/>
    </row>
    <row r="13" spans="1:4" ht="27.6" x14ac:dyDescent="0.3">
      <c r="A13" s="111" t="s">
        <v>2217</v>
      </c>
      <c r="B13" s="47" t="s">
        <v>2225</v>
      </c>
      <c r="C13" s="172"/>
      <c r="D13" s="50"/>
    </row>
    <row r="14" spans="1:4" ht="41.4" x14ac:dyDescent="0.3">
      <c r="A14" s="111" t="s">
        <v>2217</v>
      </c>
      <c r="B14" s="47" t="s">
        <v>2226</v>
      </c>
      <c r="C14" s="172"/>
      <c r="D14" s="50"/>
    </row>
    <row r="15" spans="1:4" ht="41.4" x14ac:dyDescent="0.3">
      <c r="A15" s="111" t="s">
        <v>2217</v>
      </c>
      <c r="B15" s="47" t="s">
        <v>2227</v>
      </c>
      <c r="C15" s="172"/>
      <c r="D15" s="50"/>
    </row>
    <row r="16" spans="1:4" ht="14.4" x14ac:dyDescent="0.3">
      <c r="A16" s="202" t="s">
        <v>2217</v>
      </c>
      <c r="B16" s="212" t="s">
        <v>2228</v>
      </c>
      <c r="C16" s="204"/>
      <c r="D16" s="204"/>
    </row>
    <row r="17" spans="1:4" ht="55.2" x14ac:dyDescent="0.3">
      <c r="A17" s="111" t="s">
        <v>2217</v>
      </c>
      <c r="B17" s="47" t="s">
        <v>2229</v>
      </c>
      <c r="C17" s="172"/>
      <c r="D17" s="50"/>
    </row>
    <row r="18" spans="1:4" ht="27.6" x14ac:dyDescent="0.3">
      <c r="A18" s="202" t="s">
        <v>2217</v>
      </c>
      <c r="B18" s="212" t="s">
        <v>2230</v>
      </c>
      <c r="C18" s="204"/>
      <c r="D18" s="204"/>
    </row>
    <row r="19" spans="1:4" ht="14.4" x14ac:dyDescent="0.3">
      <c r="A19" s="111" t="s">
        <v>2217</v>
      </c>
      <c r="B19" s="47" t="s">
        <v>2023</v>
      </c>
      <c r="C19" s="172"/>
      <c r="D19" s="50"/>
    </row>
    <row r="20" spans="1:4" ht="41.4" x14ac:dyDescent="0.3">
      <c r="A20" s="111" t="s">
        <v>2217</v>
      </c>
      <c r="B20" s="47" t="s">
        <v>2231</v>
      </c>
      <c r="C20" s="172"/>
      <c r="D20" s="50"/>
    </row>
    <row r="21" spans="1:4" ht="27.6" x14ac:dyDescent="0.3">
      <c r="A21" s="202" t="s">
        <v>2217</v>
      </c>
      <c r="B21" s="212" t="s">
        <v>2230</v>
      </c>
      <c r="C21" s="204"/>
      <c r="D21" s="204"/>
    </row>
    <row r="22" spans="1:4" ht="41.4" x14ac:dyDescent="0.3">
      <c r="A22" s="111" t="s">
        <v>2217</v>
      </c>
      <c r="B22" s="47" t="s">
        <v>2232</v>
      </c>
      <c r="C22" s="172"/>
      <c r="D22" s="50"/>
    </row>
    <row r="23" spans="1:4" ht="14.4" x14ac:dyDescent="0.3">
      <c r="A23" s="202" t="s">
        <v>2217</v>
      </c>
      <c r="B23" s="212" t="s">
        <v>2233</v>
      </c>
      <c r="C23" s="204"/>
      <c r="D23" s="204"/>
    </row>
    <row r="24" spans="1:4" ht="14.4" x14ac:dyDescent="0.3">
      <c r="A24" s="202" t="s">
        <v>2217</v>
      </c>
      <c r="B24" s="212" t="s">
        <v>2045</v>
      </c>
      <c r="C24" s="204"/>
      <c r="D24" s="204"/>
    </row>
    <row r="25" spans="1:4" ht="27.6" x14ac:dyDescent="0.3">
      <c r="A25" s="111" t="s">
        <v>2217</v>
      </c>
      <c r="B25" s="47" t="s">
        <v>2234</v>
      </c>
      <c r="C25" s="172"/>
      <c r="D25" s="50"/>
    </row>
    <row r="26" spans="1:4" ht="14.4" x14ac:dyDescent="0.3">
      <c r="A26" s="111" t="s">
        <v>2217</v>
      </c>
      <c r="B26" s="47" t="s">
        <v>2235</v>
      </c>
      <c r="C26" s="172"/>
      <c r="D26" s="50"/>
    </row>
    <row r="27" spans="1:4" ht="14.4" x14ac:dyDescent="0.3">
      <c r="A27" s="111" t="s">
        <v>2217</v>
      </c>
      <c r="B27" s="47" t="s">
        <v>2236</v>
      </c>
      <c r="C27" s="172"/>
      <c r="D27" s="50"/>
    </row>
    <row r="28" spans="1:4" ht="14.4" x14ac:dyDescent="0.3">
      <c r="A28" s="111" t="s">
        <v>2217</v>
      </c>
      <c r="B28" s="47" t="s">
        <v>2237</v>
      </c>
      <c r="C28" s="172"/>
      <c r="D28" s="50"/>
    </row>
    <row r="29" spans="1:4" ht="69" x14ac:dyDescent="0.3">
      <c r="A29" s="111" t="s">
        <v>2217</v>
      </c>
      <c r="B29" s="47" t="s">
        <v>2238</v>
      </c>
      <c r="C29" s="172"/>
      <c r="D29" s="50"/>
    </row>
    <row r="30" spans="1:4" ht="14.4" x14ac:dyDescent="0.3">
      <c r="A30" s="202" t="s">
        <v>2217</v>
      </c>
      <c r="B30" s="212" t="s">
        <v>1023</v>
      </c>
      <c r="C30" s="204"/>
      <c r="D30" s="204"/>
    </row>
    <row r="31" spans="1:4" ht="14.4" x14ac:dyDescent="0.3">
      <c r="A31" s="111" t="s">
        <v>2217</v>
      </c>
      <c r="B31" s="47" t="s">
        <v>2239</v>
      </c>
      <c r="C31" s="172"/>
      <c r="D31" s="50"/>
    </row>
    <row r="32" spans="1:4" ht="14.4" x14ac:dyDescent="0.3">
      <c r="A32" s="111" t="s">
        <v>2217</v>
      </c>
      <c r="B32" s="47" t="s">
        <v>2240</v>
      </c>
      <c r="C32" s="172"/>
      <c r="D32" s="50"/>
    </row>
    <row r="33" spans="1:4" ht="14.4" x14ac:dyDescent="0.3">
      <c r="A33" s="111" t="s">
        <v>2217</v>
      </c>
      <c r="B33" s="47" t="s">
        <v>2241</v>
      </c>
      <c r="C33" s="172"/>
      <c r="D33" s="50"/>
    </row>
    <row r="34" spans="1:4" ht="14.4" x14ac:dyDescent="0.3">
      <c r="A34" s="111" t="s">
        <v>2217</v>
      </c>
      <c r="B34" s="47" t="s">
        <v>2242</v>
      </c>
      <c r="C34" s="172"/>
      <c r="D34" s="50"/>
    </row>
    <row r="35" spans="1:4" ht="14.4" x14ac:dyDescent="0.3">
      <c r="A35" s="202" t="s">
        <v>2217</v>
      </c>
      <c r="B35" s="212" t="s">
        <v>428</v>
      </c>
      <c r="C35" s="204"/>
      <c r="D35" s="204"/>
    </row>
    <row r="36" spans="1:4" ht="14.4" x14ac:dyDescent="0.3">
      <c r="A36" s="202" t="s">
        <v>2217</v>
      </c>
      <c r="B36" s="212" t="s">
        <v>969</v>
      </c>
      <c r="C36" s="204"/>
      <c r="D36" s="204"/>
    </row>
    <row r="37" spans="1:4" ht="55.2" x14ac:dyDescent="0.3">
      <c r="A37" s="111" t="s">
        <v>2217</v>
      </c>
      <c r="B37" s="47" t="s">
        <v>2243</v>
      </c>
      <c r="C37" s="172"/>
      <c r="D37" s="50"/>
    </row>
    <row r="38" spans="1:4" ht="55.2" x14ac:dyDescent="0.3">
      <c r="A38" s="111" t="s">
        <v>2217</v>
      </c>
      <c r="B38" s="47" t="s">
        <v>2244</v>
      </c>
      <c r="C38" s="172"/>
      <c r="D38" s="36"/>
    </row>
    <row r="39" spans="1:4" ht="41.4" x14ac:dyDescent="0.3">
      <c r="A39" s="111" t="s">
        <v>2217</v>
      </c>
      <c r="B39" s="47" t="s">
        <v>2245</v>
      </c>
      <c r="C39" s="9"/>
      <c r="D39" s="36"/>
    </row>
    <row r="40" spans="1:4" ht="14.4" x14ac:dyDescent="0.3">
      <c r="A40" s="202" t="s">
        <v>2217</v>
      </c>
      <c r="B40" s="212" t="s">
        <v>2246</v>
      </c>
      <c r="C40" s="204"/>
      <c r="D40" s="204"/>
    </row>
    <row r="41" spans="1:4" ht="14.4" x14ac:dyDescent="0.3">
      <c r="A41" s="202" t="s">
        <v>2217</v>
      </c>
      <c r="B41" s="212" t="s">
        <v>1136</v>
      </c>
      <c r="C41" s="204"/>
      <c r="D41" s="204"/>
    </row>
    <row r="42" spans="1:4" ht="27.6" x14ac:dyDescent="0.3">
      <c r="A42" s="111" t="s">
        <v>2217</v>
      </c>
      <c r="B42" s="47" t="s">
        <v>2247</v>
      </c>
      <c r="C42" s="9"/>
      <c r="D42" s="36"/>
    </row>
    <row r="43" spans="1:4" ht="41.4" x14ac:dyDescent="0.3">
      <c r="A43" s="111" t="s">
        <v>2217</v>
      </c>
      <c r="B43" s="47" t="s">
        <v>2248</v>
      </c>
      <c r="C43" s="9"/>
      <c r="D43" s="36"/>
    </row>
    <row r="44" spans="1:4" ht="27.6" x14ac:dyDescent="0.3">
      <c r="A44" s="47" t="s">
        <v>2217</v>
      </c>
      <c r="B44" s="47" t="s">
        <v>2249</v>
      </c>
      <c r="C44" s="9"/>
      <c r="D44" s="47"/>
    </row>
    <row r="45" spans="1:4" ht="41.4" x14ac:dyDescent="0.3">
      <c r="A45" s="111" t="s">
        <v>2217</v>
      </c>
      <c r="B45" s="47" t="s">
        <v>2250</v>
      </c>
      <c r="C45" s="9"/>
      <c r="D45" s="36"/>
    </row>
    <row r="46" spans="1:4" ht="14.4" x14ac:dyDescent="0.3">
      <c r="A46" s="111" t="s">
        <v>2217</v>
      </c>
      <c r="B46" s="47" t="s">
        <v>2251</v>
      </c>
      <c r="C46" s="9"/>
      <c r="D46" s="36"/>
    </row>
    <row r="47" spans="1:4" ht="41.4" x14ac:dyDescent="0.3">
      <c r="A47" s="111" t="s">
        <v>2217</v>
      </c>
      <c r="B47" s="47" t="s">
        <v>2252</v>
      </c>
      <c r="C47" s="9"/>
      <c r="D47" s="36"/>
    </row>
    <row r="48" spans="1:4" ht="27.6" x14ac:dyDescent="0.3">
      <c r="A48" s="111" t="s">
        <v>2217</v>
      </c>
      <c r="B48" s="47" t="s">
        <v>2253</v>
      </c>
      <c r="C48" s="9"/>
      <c r="D48" s="36"/>
    </row>
    <row r="49" spans="1:4" ht="41.4" x14ac:dyDescent="0.3">
      <c r="A49" s="111" t="s">
        <v>2217</v>
      </c>
      <c r="B49" s="47" t="s">
        <v>2254</v>
      </c>
      <c r="C49" s="9"/>
      <c r="D49" s="36"/>
    </row>
    <row r="50" spans="1:4" ht="55.2" x14ac:dyDescent="0.3">
      <c r="A50" s="111" t="s">
        <v>2217</v>
      </c>
      <c r="B50" s="47" t="s">
        <v>2255</v>
      </c>
      <c r="C50" s="9"/>
      <c r="D50" s="36"/>
    </row>
    <row r="51" spans="1:4" ht="41.4" x14ac:dyDescent="0.3">
      <c r="A51" s="111" t="s">
        <v>2217</v>
      </c>
      <c r="B51" s="47" t="s">
        <v>2256</v>
      </c>
      <c r="C51" s="9"/>
      <c r="D51" s="36"/>
    </row>
    <row r="52" spans="1:4" ht="27.6" x14ac:dyDescent="0.3">
      <c r="A52" s="111" t="s">
        <v>2217</v>
      </c>
      <c r="B52" s="47" t="s">
        <v>2257</v>
      </c>
      <c r="C52" s="9"/>
      <c r="D52" s="36"/>
    </row>
    <row r="53" spans="1:4" ht="14.4" x14ac:dyDescent="0.3">
      <c r="A53" s="202" t="s">
        <v>2217</v>
      </c>
      <c r="B53" s="212" t="s">
        <v>428</v>
      </c>
      <c r="C53" s="204"/>
      <c r="D53" s="204"/>
    </row>
    <row r="54" spans="1:4" ht="14.4" x14ac:dyDescent="0.3">
      <c r="A54" s="202" t="s">
        <v>2217</v>
      </c>
      <c r="B54" s="212" t="s">
        <v>969</v>
      </c>
      <c r="C54" s="204"/>
      <c r="D54" s="204"/>
    </row>
    <row r="55" spans="1:4" ht="55.2" x14ac:dyDescent="0.3">
      <c r="A55" s="111" t="s">
        <v>2217</v>
      </c>
      <c r="B55" s="47" t="s">
        <v>2258</v>
      </c>
      <c r="C55" s="9"/>
      <c r="D55" s="50"/>
    </row>
    <row r="56" spans="1:4" ht="69" x14ac:dyDescent="0.3">
      <c r="A56" s="111" t="s">
        <v>2217</v>
      </c>
      <c r="B56" s="47" t="s">
        <v>2259</v>
      </c>
      <c r="C56" s="9"/>
      <c r="D56" s="36"/>
    </row>
    <row r="57" spans="1:4" ht="14.4" x14ac:dyDescent="0.3">
      <c r="A57" s="202" t="s">
        <v>2260</v>
      </c>
      <c r="B57" s="212" t="s">
        <v>2218</v>
      </c>
      <c r="C57" s="204"/>
      <c r="D57" s="204"/>
    </row>
    <row r="58" spans="1:4" ht="27.6" x14ac:dyDescent="0.3">
      <c r="A58" s="202" t="s">
        <v>2260</v>
      </c>
      <c r="B58" s="212" t="s">
        <v>2261</v>
      </c>
      <c r="C58" s="204"/>
      <c r="D58" s="204"/>
    </row>
    <row r="59" spans="1:4" ht="27.6" x14ac:dyDescent="0.3">
      <c r="A59" s="111" t="s">
        <v>2260</v>
      </c>
      <c r="B59" s="125" t="s">
        <v>2262</v>
      </c>
      <c r="C59" s="9"/>
      <c r="D59" s="36"/>
    </row>
    <row r="60" spans="1:4" ht="27.6" x14ac:dyDescent="0.3">
      <c r="A60" s="111" t="s">
        <v>2260</v>
      </c>
      <c r="B60" s="47" t="s">
        <v>2263</v>
      </c>
      <c r="C60" s="9"/>
      <c r="D60" s="36"/>
    </row>
    <row r="61" spans="1:4" ht="14.4" x14ac:dyDescent="0.3">
      <c r="A61" s="111" t="s">
        <v>2260</v>
      </c>
      <c r="B61" s="47" t="s">
        <v>2264</v>
      </c>
      <c r="C61" s="9"/>
      <c r="D61" s="36"/>
    </row>
    <row r="62" spans="1:4" ht="14.4" x14ac:dyDescent="0.3">
      <c r="A62" s="111" t="s">
        <v>2260</v>
      </c>
      <c r="B62" s="47" t="s">
        <v>2265</v>
      </c>
      <c r="C62" s="9"/>
      <c r="D62" s="36"/>
    </row>
    <row r="63" spans="1:4" ht="27.6" x14ac:dyDescent="0.3">
      <c r="A63" s="111" t="s">
        <v>2260</v>
      </c>
      <c r="B63" s="47" t="s">
        <v>2266</v>
      </c>
      <c r="C63" s="9"/>
      <c r="D63" s="36"/>
    </row>
    <row r="64" spans="1:4" ht="27.6" x14ac:dyDescent="0.3">
      <c r="A64" s="111" t="s">
        <v>2260</v>
      </c>
      <c r="B64" s="47" t="s">
        <v>2267</v>
      </c>
      <c r="C64" s="9"/>
      <c r="D64" s="36"/>
    </row>
    <row r="65" spans="1:4" ht="27.6" x14ac:dyDescent="0.3">
      <c r="A65" s="111" t="s">
        <v>2260</v>
      </c>
      <c r="B65" s="47" t="s">
        <v>2268</v>
      </c>
      <c r="C65" s="9"/>
      <c r="D65" s="36"/>
    </row>
    <row r="66" spans="1:4" ht="41.4" x14ac:dyDescent="0.3">
      <c r="A66" s="111" t="s">
        <v>2260</v>
      </c>
      <c r="B66" s="47" t="s">
        <v>2269</v>
      </c>
      <c r="C66" s="9"/>
      <c r="D66" s="36"/>
    </row>
    <row r="67" spans="1:4" ht="41.4" x14ac:dyDescent="0.3">
      <c r="A67" s="111" t="s">
        <v>2260</v>
      </c>
      <c r="B67" s="47" t="s">
        <v>2270</v>
      </c>
      <c r="C67" s="9"/>
      <c r="D67" s="36"/>
    </row>
    <row r="68" spans="1:4" ht="55.2" x14ac:dyDescent="0.3">
      <c r="A68" s="111" t="s">
        <v>2260</v>
      </c>
      <c r="B68" s="47" t="s">
        <v>2271</v>
      </c>
      <c r="C68" s="9"/>
      <c r="D68" s="54"/>
    </row>
    <row r="69" spans="1:4" ht="27.6" x14ac:dyDescent="0.3">
      <c r="A69" s="111" t="s">
        <v>2260</v>
      </c>
      <c r="B69" s="47" t="s">
        <v>2272</v>
      </c>
      <c r="C69" s="9"/>
      <c r="D69" s="36"/>
    </row>
    <row r="70" spans="1:4" ht="55.2" x14ac:dyDescent="0.3">
      <c r="A70" s="111" t="s">
        <v>2260</v>
      </c>
      <c r="B70" s="47" t="s">
        <v>2273</v>
      </c>
      <c r="C70" s="9"/>
      <c r="D70" s="54"/>
    </row>
    <row r="71" spans="1:4" ht="27.6" x14ac:dyDescent="0.3">
      <c r="A71" s="111" t="s">
        <v>2260</v>
      </c>
      <c r="B71" s="47" t="s">
        <v>2274</v>
      </c>
      <c r="C71" s="9"/>
      <c r="D71" s="36"/>
    </row>
    <row r="72" spans="1:4" ht="41.4" x14ac:dyDescent="0.3">
      <c r="A72" s="111" t="s">
        <v>2260</v>
      </c>
      <c r="B72" s="47" t="s">
        <v>2275</v>
      </c>
      <c r="C72" s="9"/>
      <c r="D72" s="36"/>
    </row>
    <row r="73" spans="1:4" ht="14.4" x14ac:dyDescent="0.3">
      <c r="A73" s="111" t="s">
        <v>2260</v>
      </c>
      <c r="B73" s="47" t="s">
        <v>2276</v>
      </c>
      <c r="C73" s="9"/>
      <c r="D73" s="36"/>
    </row>
    <row r="74" spans="1:4" ht="27.6" x14ac:dyDescent="0.3">
      <c r="A74" s="111" t="s">
        <v>2260</v>
      </c>
      <c r="B74" s="47" t="s">
        <v>2277</v>
      </c>
      <c r="C74" s="9"/>
      <c r="D74" s="36"/>
    </row>
    <row r="75" spans="1:4" ht="14.4" x14ac:dyDescent="0.3">
      <c r="A75" s="111" t="s">
        <v>2260</v>
      </c>
      <c r="B75" s="47" t="s">
        <v>2278</v>
      </c>
      <c r="C75" s="9"/>
      <c r="D75" s="36"/>
    </row>
    <row r="76" spans="1:4" ht="14.4" x14ac:dyDescent="0.3">
      <c r="A76" s="111" t="s">
        <v>2260</v>
      </c>
      <c r="B76" s="47" t="s">
        <v>2279</v>
      </c>
      <c r="C76" s="9"/>
      <c r="D76" s="36"/>
    </row>
    <row r="77" spans="1:4" ht="27.6" x14ac:dyDescent="0.3">
      <c r="A77" s="111" t="s">
        <v>2260</v>
      </c>
      <c r="B77" s="47" t="s">
        <v>2280</v>
      </c>
      <c r="C77" s="9"/>
      <c r="D77" s="36"/>
    </row>
    <row r="78" spans="1:4" ht="14.4" x14ac:dyDescent="0.3">
      <c r="A78" s="202" t="s">
        <v>2260</v>
      </c>
      <c r="B78" s="212" t="s">
        <v>2281</v>
      </c>
      <c r="C78" s="204"/>
      <c r="D78" s="204"/>
    </row>
    <row r="79" spans="1:4" ht="14.4" x14ac:dyDescent="0.3">
      <c r="A79" s="111" t="s">
        <v>2260</v>
      </c>
      <c r="B79" s="125" t="s">
        <v>2282</v>
      </c>
      <c r="C79" s="172"/>
      <c r="D79" s="109"/>
    </row>
    <row r="80" spans="1:4" ht="14.4" x14ac:dyDescent="0.3">
      <c r="A80" s="111" t="s">
        <v>2260</v>
      </c>
      <c r="B80" s="125" t="s">
        <v>2283</v>
      </c>
      <c r="C80" s="172"/>
      <c r="D80" s="109"/>
    </row>
    <row r="81" spans="1:4" ht="14.4" x14ac:dyDescent="0.3">
      <c r="A81" s="111" t="s">
        <v>2260</v>
      </c>
      <c r="B81" s="125" t="s">
        <v>2284</v>
      </c>
      <c r="C81" s="172"/>
      <c r="D81" s="109"/>
    </row>
    <row r="82" spans="1:4" ht="27.6" x14ac:dyDescent="0.3">
      <c r="A82" s="111" t="s">
        <v>2260</v>
      </c>
      <c r="B82" s="125" t="s">
        <v>2285</v>
      </c>
      <c r="C82" s="172"/>
      <c r="D82" s="109"/>
    </row>
    <row r="83" spans="1:4" ht="14.4" x14ac:dyDescent="0.3">
      <c r="A83" s="202" t="s">
        <v>2260</v>
      </c>
      <c r="B83" s="212" t="s">
        <v>2286</v>
      </c>
      <c r="C83" s="204"/>
      <c r="D83" s="204"/>
    </row>
    <row r="84" spans="1:4" ht="14.4" x14ac:dyDescent="0.3">
      <c r="A84" s="202" t="s">
        <v>2260</v>
      </c>
      <c r="B84" s="212" t="s">
        <v>2287</v>
      </c>
      <c r="C84" s="204"/>
      <c r="D84" s="204"/>
    </row>
    <row r="85" spans="1:4" ht="14.4" x14ac:dyDescent="0.3">
      <c r="A85" s="202" t="s">
        <v>2260</v>
      </c>
      <c r="B85" s="212" t="s">
        <v>2288</v>
      </c>
      <c r="C85" s="204"/>
      <c r="D85" s="204"/>
    </row>
    <row r="86" spans="1:4" ht="14.4" x14ac:dyDescent="0.3">
      <c r="A86" s="111" t="s">
        <v>2260</v>
      </c>
      <c r="B86" s="47" t="s">
        <v>1406</v>
      </c>
      <c r="C86" s="9"/>
      <c r="D86" s="36"/>
    </row>
    <row r="87" spans="1:4" ht="14.4" x14ac:dyDescent="0.3">
      <c r="A87" s="202" t="s">
        <v>2260</v>
      </c>
      <c r="B87" s="212" t="s">
        <v>2289</v>
      </c>
      <c r="C87" s="204"/>
      <c r="D87" s="204"/>
    </row>
    <row r="88" spans="1:4" ht="27.6" x14ac:dyDescent="0.3">
      <c r="A88" s="202" t="s">
        <v>2260</v>
      </c>
      <c r="B88" s="212" t="s">
        <v>2290</v>
      </c>
      <c r="C88" s="204"/>
      <c r="D88" s="204"/>
    </row>
    <row r="89" spans="1:4" ht="27.6" x14ac:dyDescent="0.3">
      <c r="A89" s="111" t="s">
        <v>2260</v>
      </c>
      <c r="B89" s="47" t="s">
        <v>2291</v>
      </c>
      <c r="C89" s="9"/>
      <c r="D89" s="36"/>
    </row>
    <row r="90" spans="1:4" ht="14.4" x14ac:dyDescent="0.3">
      <c r="A90" s="202" t="s">
        <v>2260</v>
      </c>
      <c r="B90" s="212" t="s">
        <v>428</v>
      </c>
      <c r="C90" s="204"/>
      <c r="D90" s="204"/>
    </row>
    <row r="91" spans="1:4" ht="14.4" x14ac:dyDescent="0.3">
      <c r="A91" s="202" t="s">
        <v>2260</v>
      </c>
      <c r="B91" s="212" t="s">
        <v>2292</v>
      </c>
      <c r="C91" s="204"/>
      <c r="D91" s="204"/>
    </row>
    <row r="92" spans="1:4" ht="14.4" x14ac:dyDescent="0.3">
      <c r="A92" s="111" t="s">
        <v>2260</v>
      </c>
      <c r="B92" s="47" t="s">
        <v>2293</v>
      </c>
      <c r="C92" s="9"/>
      <c r="D92" s="36"/>
    </row>
    <row r="93" spans="1:4" ht="14.4" x14ac:dyDescent="0.3">
      <c r="A93" s="202" t="s">
        <v>2294</v>
      </c>
      <c r="B93" s="212" t="s">
        <v>2218</v>
      </c>
      <c r="C93" s="204"/>
      <c r="D93" s="204"/>
    </row>
    <row r="94" spans="1:4" ht="27.6" x14ac:dyDescent="0.3">
      <c r="A94" s="202" t="s">
        <v>2294</v>
      </c>
      <c r="B94" s="212" t="s">
        <v>2290</v>
      </c>
      <c r="C94" s="204"/>
      <c r="D94" s="204"/>
    </row>
    <row r="95" spans="1:4" ht="27.6" x14ac:dyDescent="0.3">
      <c r="A95" s="111" t="s">
        <v>2294</v>
      </c>
      <c r="B95" s="125" t="s">
        <v>2202</v>
      </c>
      <c r="C95" s="9"/>
      <c r="D95" s="36"/>
    </row>
    <row r="96" spans="1:4" ht="14.4" x14ac:dyDescent="0.3">
      <c r="A96" s="111" t="s">
        <v>2294</v>
      </c>
      <c r="B96" s="47" t="s">
        <v>2295</v>
      </c>
      <c r="C96" s="9"/>
      <c r="D96" s="36"/>
    </row>
    <row r="97" spans="1:4" ht="55.2" x14ac:dyDescent="0.3">
      <c r="A97" s="111" t="s">
        <v>2294</v>
      </c>
      <c r="B97" s="47" t="s">
        <v>2296</v>
      </c>
      <c r="C97" s="9"/>
      <c r="D97" s="36"/>
    </row>
    <row r="98" spans="1:4" ht="14.4" x14ac:dyDescent="0.3">
      <c r="A98" s="202" t="s">
        <v>2294</v>
      </c>
      <c r="B98" s="212" t="s">
        <v>2297</v>
      </c>
      <c r="C98" s="204"/>
      <c r="D98" s="204"/>
    </row>
    <row r="99" spans="1:4" ht="14.4" x14ac:dyDescent="0.3">
      <c r="A99" s="111" t="s">
        <v>2294</v>
      </c>
      <c r="B99" s="47" t="s">
        <v>2298</v>
      </c>
      <c r="C99" s="9"/>
      <c r="D99" s="36"/>
    </row>
    <row r="100" spans="1:4" ht="14.4" x14ac:dyDescent="0.3">
      <c r="A100" s="111" t="s">
        <v>2294</v>
      </c>
      <c r="B100" s="47" t="s">
        <v>2299</v>
      </c>
      <c r="C100" s="9"/>
      <c r="D100" s="36"/>
    </row>
    <row r="101" spans="1:4" ht="14.4" x14ac:dyDescent="0.3">
      <c r="A101" s="111" t="s">
        <v>2294</v>
      </c>
      <c r="B101" s="47" t="s">
        <v>2300</v>
      </c>
      <c r="C101" s="9"/>
      <c r="D101" s="36"/>
    </row>
    <row r="102" spans="1:4" ht="27.6" x14ac:dyDescent="0.3">
      <c r="A102" s="111" t="s">
        <v>2294</v>
      </c>
      <c r="B102" s="47" t="s">
        <v>2301</v>
      </c>
      <c r="C102" s="9"/>
      <c r="D102" s="36"/>
    </row>
    <row r="103" spans="1:4" ht="27.6" x14ac:dyDescent="0.3">
      <c r="A103" s="111" t="s">
        <v>2294</v>
      </c>
      <c r="B103" s="47" t="s">
        <v>2302</v>
      </c>
      <c r="C103" s="9"/>
      <c r="D103" s="36"/>
    </row>
    <row r="104" spans="1:4" ht="14.4" x14ac:dyDescent="0.3">
      <c r="A104" s="111" t="s">
        <v>2294</v>
      </c>
      <c r="B104" s="47" t="s">
        <v>2303</v>
      </c>
      <c r="C104" s="9"/>
      <c r="D104" s="36"/>
    </row>
    <row r="105" spans="1:4" ht="14.4" x14ac:dyDescent="0.3">
      <c r="A105" s="111" t="s">
        <v>2294</v>
      </c>
      <c r="B105" s="47" t="s">
        <v>2304</v>
      </c>
      <c r="C105" s="9"/>
      <c r="D105" s="36"/>
    </row>
    <row r="106" spans="1:4" ht="27.6" x14ac:dyDescent="0.3">
      <c r="A106" s="111" t="s">
        <v>2294</v>
      </c>
      <c r="B106" s="47" t="s">
        <v>2305</v>
      </c>
      <c r="C106" s="9"/>
      <c r="D106" s="36"/>
    </row>
    <row r="107" spans="1:4" ht="27.6" x14ac:dyDescent="0.3">
      <c r="A107" s="202" t="s">
        <v>2294</v>
      </c>
      <c r="B107" s="212" t="s">
        <v>2306</v>
      </c>
      <c r="C107" s="204"/>
      <c r="D107" s="204"/>
    </row>
    <row r="108" spans="1:4" ht="27.6" x14ac:dyDescent="0.3">
      <c r="A108" s="111" t="s">
        <v>2294</v>
      </c>
      <c r="B108" s="125" t="s">
        <v>2307</v>
      </c>
      <c r="C108" s="9"/>
      <c r="D108" s="36"/>
    </row>
    <row r="109" spans="1:4" ht="41.4" x14ac:dyDescent="0.3">
      <c r="A109" s="111" t="s">
        <v>2294</v>
      </c>
      <c r="B109" s="47" t="s">
        <v>2309</v>
      </c>
      <c r="C109" s="9"/>
      <c r="D109" s="36"/>
    </row>
    <row r="110" spans="1:4" ht="41.4" x14ac:dyDescent="0.3">
      <c r="A110" s="111" t="s">
        <v>2294</v>
      </c>
      <c r="B110" s="47" t="s">
        <v>2310</v>
      </c>
      <c r="C110" s="9"/>
      <c r="D110" s="36"/>
    </row>
    <row r="111" spans="1:4" ht="14.4" x14ac:dyDescent="0.3">
      <c r="A111" s="111" t="s">
        <v>2294</v>
      </c>
      <c r="B111" s="47" t="s">
        <v>2312</v>
      </c>
      <c r="C111" s="9"/>
      <c r="D111" s="36"/>
    </row>
    <row r="112" spans="1:4" ht="14.4" x14ac:dyDescent="0.3">
      <c r="A112" s="111" t="s">
        <v>2294</v>
      </c>
      <c r="B112" s="47" t="s">
        <v>2314</v>
      </c>
      <c r="C112" s="9"/>
      <c r="D112" s="36"/>
    </row>
    <row r="113" spans="1:4" ht="14.4" x14ac:dyDescent="0.3">
      <c r="A113" s="111" t="s">
        <v>2294</v>
      </c>
      <c r="B113" s="47" t="s">
        <v>2315</v>
      </c>
      <c r="C113" s="9"/>
      <c r="D113" s="36"/>
    </row>
    <row r="114" spans="1:4" ht="14.4" x14ac:dyDescent="0.3">
      <c r="A114" s="111" t="s">
        <v>2294</v>
      </c>
      <c r="B114" s="47" t="s">
        <v>2316</v>
      </c>
      <c r="C114" s="9"/>
      <c r="D114" s="36"/>
    </row>
    <row r="115" spans="1:4" ht="14.4" x14ac:dyDescent="0.3">
      <c r="A115" s="111" t="s">
        <v>2294</v>
      </c>
      <c r="B115" s="47" t="s">
        <v>2317</v>
      </c>
      <c r="C115" s="9"/>
      <c r="D115" s="36"/>
    </row>
    <row r="116" spans="1:4" ht="14.4" x14ac:dyDescent="0.3">
      <c r="A116" s="111" t="s">
        <v>2294</v>
      </c>
      <c r="B116" s="47" t="s">
        <v>2318</v>
      </c>
      <c r="C116" s="9"/>
      <c r="D116" s="36"/>
    </row>
    <row r="117" spans="1:4" ht="14.4" x14ac:dyDescent="0.3">
      <c r="A117" s="111" t="s">
        <v>2294</v>
      </c>
      <c r="B117" s="47" t="s">
        <v>2319</v>
      </c>
      <c r="C117" s="9"/>
      <c r="D117" s="36"/>
    </row>
    <row r="118" spans="1:4" ht="14.4" x14ac:dyDescent="0.3">
      <c r="A118" s="111" t="s">
        <v>2294</v>
      </c>
      <c r="B118" s="47" t="s">
        <v>2320</v>
      </c>
      <c r="C118" s="9"/>
      <c r="D118" s="36"/>
    </row>
    <row r="119" spans="1:4" ht="14.4" x14ac:dyDescent="0.3">
      <c r="A119" s="111" t="s">
        <v>2294</v>
      </c>
      <c r="B119" s="47" t="s">
        <v>2322</v>
      </c>
      <c r="C119" s="9"/>
      <c r="D119" s="36"/>
    </row>
    <row r="120" spans="1:4" ht="14.4" x14ac:dyDescent="0.3">
      <c r="A120" s="111" t="s">
        <v>2294</v>
      </c>
      <c r="B120" s="47" t="s">
        <v>2324</v>
      </c>
      <c r="C120" s="9"/>
      <c r="D120" s="36"/>
    </row>
    <row r="121" spans="1:4" ht="14.4" x14ac:dyDescent="0.3">
      <c r="A121" s="202" t="s">
        <v>2294</v>
      </c>
      <c r="B121" s="212" t="s">
        <v>428</v>
      </c>
      <c r="C121" s="204"/>
      <c r="D121" s="204"/>
    </row>
    <row r="122" spans="1:4" ht="14.4" x14ac:dyDescent="0.3">
      <c r="A122" s="202" t="s">
        <v>2294</v>
      </c>
      <c r="B122" s="212" t="s">
        <v>2292</v>
      </c>
      <c r="C122" s="204"/>
      <c r="D122" s="204"/>
    </row>
    <row r="123" spans="1:4" ht="14.4" x14ac:dyDescent="0.3">
      <c r="A123" s="202" t="s">
        <v>2294</v>
      </c>
      <c r="B123" s="212" t="s">
        <v>2326</v>
      </c>
      <c r="C123" s="204"/>
      <c r="D123" s="204"/>
    </row>
    <row r="124" spans="1:4" ht="14.4" x14ac:dyDescent="0.3">
      <c r="A124" s="111" t="s">
        <v>2294</v>
      </c>
      <c r="B124" s="47" t="s">
        <v>2327</v>
      </c>
      <c r="C124" s="9"/>
      <c r="D124" s="36"/>
    </row>
    <row r="125" spans="1:4" ht="14.4" x14ac:dyDescent="0.3">
      <c r="A125" s="202" t="s">
        <v>2294</v>
      </c>
      <c r="B125" s="212" t="s">
        <v>2289</v>
      </c>
      <c r="C125" s="204"/>
      <c r="D125" s="204"/>
    </row>
    <row r="126" spans="1:4" ht="27.6" x14ac:dyDescent="0.3">
      <c r="A126" s="202" t="s">
        <v>2294</v>
      </c>
      <c r="B126" s="212" t="s">
        <v>2290</v>
      </c>
      <c r="C126" s="204"/>
      <c r="D126" s="204"/>
    </row>
    <row r="127" spans="1:4" ht="27.6" x14ac:dyDescent="0.3">
      <c r="A127" s="111" t="s">
        <v>2294</v>
      </c>
      <c r="B127" s="125" t="s">
        <v>2329</v>
      </c>
      <c r="C127" s="9"/>
      <c r="D127" s="36"/>
    </row>
    <row r="128" spans="1:4" ht="27.6" x14ac:dyDescent="0.3">
      <c r="A128" s="111" t="s">
        <v>2294</v>
      </c>
      <c r="B128" s="125" t="s">
        <v>2331</v>
      </c>
      <c r="C128" s="125"/>
      <c r="D128" s="125"/>
    </row>
    <row r="129" spans="1:4" ht="14.4" x14ac:dyDescent="0.3">
      <c r="A129" s="111" t="s">
        <v>2294</v>
      </c>
      <c r="B129" s="125" t="s">
        <v>2333</v>
      </c>
      <c r="C129" s="125"/>
      <c r="D129" s="125"/>
    </row>
    <row r="130" spans="1:4" ht="14.4" x14ac:dyDescent="0.3">
      <c r="A130" s="111" t="s">
        <v>2294</v>
      </c>
      <c r="B130" s="47" t="s">
        <v>2335</v>
      </c>
      <c r="C130" s="9"/>
      <c r="D130" s="36"/>
    </row>
    <row r="131" spans="1:4" ht="14.4" x14ac:dyDescent="0.3">
      <c r="A131" s="111" t="s">
        <v>2294</v>
      </c>
      <c r="B131" s="47" t="s">
        <v>2337</v>
      </c>
      <c r="C131" s="9"/>
      <c r="D131" s="36"/>
    </row>
    <row r="132" spans="1:4" ht="14.4" x14ac:dyDescent="0.3">
      <c r="A132" s="111" t="s">
        <v>2294</v>
      </c>
      <c r="B132" s="47" t="s">
        <v>2338</v>
      </c>
      <c r="C132" s="9"/>
      <c r="D132" s="36"/>
    </row>
    <row r="133" spans="1:4" ht="27.6" x14ac:dyDescent="0.3">
      <c r="A133" s="111" t="s">
        <v>2294</v>
      </c>
      <c r="B133" s="47" t="s">
        <v>2339</v>
      </c>
      <c r="C133" s="9"/>
      <c r="D133" s="36"/>
    </row>
    <row r="134" spans="1:4" ht="27.6" x14ac:dyDescent="0.3">
      <c r="A134" s="111" t="s">
        <v>2294</v>
      </c>
      <c r="B134" s="47" t="s">
        <v>2341</v>
      </c>
      <c r="C134" s="9"/>
      <c r="D134" s="36"/>
    </row>
    <row r="135" spans="1:4" ht="14.4" x14ac:dyDescent="0.3">
      <c r="A135" s="111" t="s">
        <v>2294</v>
      </c>
      <c r="B135" s="47" t="s">
        <v>2343</v>
      </c>
      <c r="C135" s="9"/>
      <c r="D135" s="36"/>
    </row>
    <row r="136" spans="1:4" ht="27.6" x14ac:dyDescent="0.3">
      <c r="A136" s="111" t="s">
        <v>2294</v>
      </c>
      <c r="B136" s="47" t="s">
        <v>2344</v>
      </c>
      <c r="C136" s="9"/>
      <c r="D136" s="36"/>
    </row>
    <row r="137" spans="1:4" ht="14.4" x14ac:dyDescent="0.3">
      <c r="A137" s="202" t="s">
        <v>2294</v>
      </c>
      <c r="B137" s="212" t="s">
        <v>2346</v>
      </c>
      <c r="C137" s="204"/>
      <c r="D137" s="204"/>
    </row>
    <row r="138" spans="1:4" ht="14.4" x14ac:dyDescent="0.3">
      <c r="A138" s="111" t="s">
        <v>2294</v>
      </c>
      <c r="B138" s="47" t="s">
        <v>2349</v>
      </c>
      <c r="C138" s="9"/>
      <c r="D138" s="36"/>
    </row>
    <row r="139" spans="1:4" ht="14.4" x14ac:dyDescent="0.3">
      <c r="A139" s="111" t="s">
        <v>2294</v>
      </c>
      <c r="B139" s="47" t="s">
        <v>2350</v>
      </c>
      <c r="C139" s="9"/>
      <c r="D139" s="36"/>
    </row>
    <row r="140" spans="1:4" ht="14.4" x14ac:dyDescent="0.3">
      <c r="A140" s="111" t="s">
        <v>2294</v>
      </c>
      <c r="B140" s="47" t="s">
        <v>2351</v>
      </c>
      <c r="C140" s="9"/>
      <c r="D140" s="36"/>
    </row>
    <row r="141" spans="1:4" ht="14.4" x14ac:dyDescent="0.3">
      <c r="A141" s="111" t="s">
        <v>2294</v>
      </c>
      <c r="B141" s="47" t="s">
        <v>2352</v>
      </c>
      <c r="C141" s="9"/>
      <c r="D141" s="36"/>
    </row>
    <row r="142" spans="1:4" ht="14.4" x14ac:dyDescent="0.3">
      <c r="A142" s="202" t="s">
        <v>2294</v>
      </c>
      <c r="B142" s="212" t="s">
        <v>428</v>
      </c>
      <c r="C142" s="204"/>
      <c r="D142" s="204"/>
    </row>
    <row r="143" spans="1:4" ht="14.4" x14ac:dyDescent="0.3">
      <c r="A143" s="202" t="s">
        <v>2294</v>
      </c>
      <c r="B143" s="212" t="s">
        <v>2292</v>
      </c>
      <c r="C143" s="204"/>
      <c r="D143" s="204"/>
    </row>
    <row r="144" spans="1:4" ht="14.4" x14ac:dyDescent="0.3">
      <c r="A144" s="111" t="s">
        <v>2294</v>
      </c>
      <c r="B144" s="47" t="s">
        <v>2355</v>
      </c>
      <c r="C144" s="9"/>
      <c r="D144" s="36"/>
    </row>
    <row r="145" spans="1:4" ht="14.4" x14ac:dyDescent="0.3">
      <c r="A145" s="202" t="s">
        <v>2356</v>
      </c>
      <c r="B145" s="212" t="s">
        <v>2218</v>
      </c>
      <c r="C145" s="204"/>
      <c r="D145" s="204"/>
    </row>
    <row r="146" spans="1:4" ht="27.6" x14ac:dyDescent="0.3">
      <c r="A146" s="202" t="s">
        <v>2356</v>
      </c>
      <c r="B146" s="212" t="s">
        <v>2357</v>
      </c>
      <c r="C146" s="204"/>
      <c r="D146" s="204"/>
    </row>
    <row r="147" spans="1:4" ht="27.6" x14ac:dyDescent="0.3">
      <c r="A147" s="111" t="s">
        <v>2356</v>
      </c>
      <c r="B147" s="125" t="s">
        <v>2359</v>
      </c>
      <c r="C147" s="9"/>
      <c r="D147" s="36"/>
    </row>
    <row r="148" spans="1:4" ht="14.4" x14ac:dyDescent="0.3">
      <c r="A148" s="111" t="s">
        <v>2356</v>
      </c>
      <c r="B148" s="47" t="s">
        <v>2360</v>
      </c>
      <c r="C148" s="9"/>
      <c r="D148" s="36"/>
    </row>
    <row r="149" spans="1:4" ht="14.4" x14ac:dyDescent="0.3">
      <c r="A149" s="111" t="s">
        <v>2356</v>
      </c>
      <c r="B149" s="47" t="s">
        <v>2362</v>
      </c>
      <c r="C149" s="9"/>
      <c r="D149" s="36"/>
    </row>
    <row r="150" spans="1:4" ht="27.6" x14ac:dyDescent="0.3">
      <c r="A150" s="111" t="s">
        <v>2356</v>
      </c>
      <c r="B150" s="47" t="s">
        <v>2364</v>
      </c>
      <c r="C150" s="9"/>
      <c r="D150" s="36"/>
    </row>
    <row r="151" spans="1:4" ht="55.2" x14ac:dyDescent="0.3">
      <c r="A151" s="111" t="s">
        <v>2356</v>
      </c>
      <c r="B151" s="47" t="s">
        <v>2366</v>
      </c>
      <c r="C151" s="9"/>
      <c r="D151" s="36"/>
    </row>
    <row r="152" spans="1:4" ht="14.4" x14ac:dyDescent="0.3">
      <c r="A152" s="202" t="s">
        <v>2356</v>
      </c>
      <c r="B152" s="212" t="s">
        <v>428</v>
      </c>
      <c r="C152" s="204"/>
      <c r="D152" s="204"/>
    </row>
    <row r="153" spans="1:4" ht="14.4" x14ac:dyDescent="0.3">
      <c r="A153" s="202" t="s">
        <v>2356</v>
      </c>
      <c r="B153" s="212" t="s">
        <v>2292</v>
      </c>
      <c r="C153" s="204"/>
      <c r="D153" s="204"/>
    </row>
    <row r="154" spans="1:4" ht="14.4" x14ac:dyDescent="0.3">
      <c r="A154" s="202" t="s">
        <v>2356</v>
      </c>
      <c r="B154" s="212" t="s">
        <v>2368</v>
      </c>
      <c r="C154" s="204"/>
      <c r="D154" s="204"/>
    </row>
    <row r="155" spans="1:4" ht="14.4" x14ac:dyDescent="0.3">
      <c r="A155" s="111" t="s">
        <v>2356</v>
      </c>
      <c r="B155" s="47" t="s">
        <v>841</v>
      </c>
      <c r="C155" s="9"/>
      <c r="D155" s="36"/>
    </row>
    <row r="156" spans="1:4" ht="14.4" x14ac:dyDescent="0.3">
      <c r="A156" s="202" t="s">
        <v>2356</v>
      </c>
      <c r="B156" s="212" t="s">
        <v>2233</v>
      </c>
      <c r="C156" s="204"/>
      <c r="D156" s="204"/>
    </row>
    <row r="157" spans="1:4" ht="27.6" x14ac:dyDescent="0.3">
      <c r="A157" s="202" t="s">
        <v>2356</v>
      </c>
      <c r="B157" s="212" t="s">
        <v>2370</v>
      </c>
      <c r="C157" s="204"/>
      <c r="D157" s="204"/>
    </row>
    <row r="158" spans="1:4" ht="27.6" x14ac:dyDescent="0.3">
      <c r="A158" s="111" t="s">
        <v>2356</v>
      </c>
      <c r="B158" s="47" t="s">
        <v>2372</v>
      </c>
      <c r="C158" s="9"/>
      <c r="D158" s="36"/>
    </row>
    <row r="159" spans="1:4" ht="14.4" x14ac:dyDescent="0.3">
      <c r="A159" s="202" t="s">
        <v>2356</v>
      </c>
      <c r="B159" s="212" t="s">
        <v>428</v>
      </c>
      <c r="C159" s="204"/>
      <c r="D159" s="204"/>
    </row>
    <row r="160" spans="1:4" ht="14.4" x14ac:dyDescent="0.3">
      <c r="A160" s="202" t="s">
        <v>2356</v>
      </c>
      <c r="B160" s="212" t="s">
        <v>2292</v>
      </c>
      <c r="C160" s="204"/>
      <c r="D160" s="204"/>
    </row>
    <row r="161" spans="1:4" ht="14.4" x14ac:dyDescent="0.3">
      <c r="A161" s="111" t="s">
        <v>2356</v>
      </c>
      <c r="B161" s="47" t="s">
        <v>2375</v>
      </c>
      <c r="C161" s="9"/>
      <c r="D161" s="36"/>
    </row>
    <row r="162" spans="1:4" ht="14.4" x14ac:dyDescent="0.3">
      <c r="A162" s="202" t="s">
        <v>2356</v>
      </c>
      <c r="B162" s="212" t="s">
        <v>2246</v>
      </c>
      <c r="C162" s="204"/>
      <c r="D162" s="204"/>
    </row>
    <row r="163" spans="1:4" ht="27.6" x14ac:dyDescent="0.3">
      <c r="A163" s="202" t="s">
        <v>2356</v>
      </c>
      <c r="B163" s="212" t="s">
        <v>2370</v>
      </c>
      <c r="C163" s="204"/>
      <c r="D163" s="204"/>
    </row>
    <row r="164" spans="1:4" ht="41.4" x14ac:dyDescent="0.3">
      <c r="A164" s="111" t="s">
        <v>2356</v>
      </c>
      <c r="B164" s="125" t="s">
        <v>2376</v>
      </c>
      <c r="C164" s="9"/>
      <c r="D164" s="36"/>
    </row>
    <row r="165" spans="1:4" ht="27.6" x14ac:dyDescent="0.3">
      <c r="A165" s="111" t="s">
        <v>2356</v>
      </c>
      <c r="B165" s="47" t="s">
        <v>2378</v>
      </c>
      <c r="C165" s="9"/>
      <c r="D165" s="36"/>
    </row>
    <row r="166" spans="1:4" ht="55.2" x14ac:dyDescent="0.3">
      <c r="A166" s="111" t="s">
        <v>2356</v>
      </c>
      <c r="B166" s="47" t="s">
        <v>2380</v>
      </c>
      <c r="C166" s="9"/>
      <c r="D166" s="36"/>
    </row>
    <row r="167" spans="1:4" ht="82.8" x14ac:dyDescent="0.3">
      <c r="A167" s="111" t="s">
        <v>2356</v>
      </c>
      <c r="B167" s="47" t="s">
        <v>2381</v>
      </c>
      <c r="C167" s="9"/>
      <c r="D167" s="36"/>
    </row>
    <row r="168" spans="1:4" ht="14.4" x14ac:dyDescent="0.3">
      <c r="A168" s="202" t="s">
        <v>2356</v>
      </c>
      <c r="B168" s="212" t="s">
        <v>428</v>
      </c>
      <c r="C168" s="204"/>
      <c r="D168" s="204"/>
    </row>
    <row r="169" spans="1:4" ht="14.4" x14ac:dyDescent="0.3">
      <c r="A169" s="202" t="s">
        <v>2356</v>
      </c>
      <c r="B169" s="212" t="s">
        <v>2292</v>
      </c>
      <c r="C169" s="204"/>
      <c r="D169" s="204"/>
    </row>
    <row r="170" spans="1:4" ht="14.4" x14ac:dyDescent="0.3">
      <c r="A170" s="111" t="s">
        <v>2356</v>
      </c>
      <c r="B170" s="47" t="s">
        <v>857</v>
      </c>
      <c r="C170" s="9"/>
      <c r="D170" s="36"/>
    </row>
    <row r="171" spans="1:4" ht="14.4" x14ac:dyDescent="0.3">
      <c r="A171" s="202" t="s">
        <v>2383</v>
      </c>
      <c r="B171" s="212" t="s">
        <v>2218</v>
      </c>
      <c r="C171" s="204"/>
      <c r="D171" s="204"/>
    </row>
    <row r="172" spans="1:4" ht="27.6" x14ac:dyDescent="0.3">
      <c r="A172" s="202" t="s">
        <v>2383</v>
      </c>
      <c r="B172" s="212" t="s">
        <v>2290</v>
      </c>
      <c r="C172" s="204"/>
      <c r="D172" s="204"/>
    </row>
    <row r="173" spans="1:4" ht="27.6" x14ac:dyDescent="0.3">
      <c r="A173" s="111" t="s">
        <v>2383</v>
      </c>
      <c r="B173" s="47" t="s">
        <v>2385</v>
      </c>
      <c r="C173" s="47"/>
      <c r="D173" s="47"/>
    </row>
    <row r="174" spans="1:4" ht="14.4" x14ac:dyDescent="0.3">
      <c r="A174" s="111" t="s">
        <v>2383</v>
      </c>
      <c r="B174" s="47" t="s">
        <v>2387</v>
      </c>
      <c r="C174" s="9"/>
      <c r="D174" s="36"/>
    </row>
    <row r="175" spans="1:4" ht="14.4" x14ac:dyDescent="0.3">
      <c r="A175" s="111" t="s">
        <v>2383</v>
      </c>
      <c r="B175" s="47" t="s">
        <v>2388</v>
      </c>
      <c r="C175" s="9"/>
      <c r="D175" s="36"/>
    </row>
    <row r="176" spans="1:4" ht="14.4" x14ac:dyDescent="0.3">
      <c r="A176" s="111" t="s">
        <v>2383</v>
      </c>
      <c r="B176" s="47" t="s">
        <v>2389</v>
      </c>
      <c r="C176" s="9"/>
      <c r="D176" s="36"/>
    </row>
    <row r="177" spans="1:4" ht="14.4" x14ac:dyDescent="0.3">
      <c r="A177" s="111" t="s">
        <v>2383</v>
      </c>
      <c r="B177" s="47" t="s">
        <v>2391</v>
      </c>
      <c r="C177" s="9"/>
      <c r="D177" s="36"/>
    </row>
    <row r="178" spans="1:4" ht="14.4" x14ac:dyDescent="0.3">
      <c r="A178" s="111" t="s">
        <v>2383</v>
      </c>
      <c r="B178" s="47" t="s">
        <v>2392</v>
      </c>
      <c r="C178" s="9"/>
      <c r="D178" s="36"/>
    </row>
    <row r="179" spans="1:4" ht="14.4" x14ac:dyDescent="0.3">
      <c r="A179" s="111" t="s">
        <v>2383</v>
      </c>
      <c r="B179" s="47" t="s">
        <v>2394</v>
      </c>
      <c r="C179" s="9"/>
      <c r="D179" s="36"/>
    </row>
    <row r="180" spans="1:4" ht="14.4" x14ac:dyDescent="0.3">
      <c r="A180" s="111" t="s">
        <v>2383</v>
      </c>
      <c r="B180" s="47" t="s">
        <v>2396</v>
      </c>
      <c r="C180" s="9"/>
      <c r="D180" s="36"/>
    </row>
    <row r="181" spans="1:4" ht="14.4" x14ac:dyDescent="0.3">
      <c r="A181" s="111" t="s">
        <v>2383</v>
      </c>
      <c r="B181" s="47" t="s">
        <v>2397</v>
      </c>
      <c r="C181" s="9"/>
      <c r="D181" s="36"/>
    </row>
    <row r="182" spans="1:4" ht="14.4" x14ac:dyDescent="0.3">
      <c r="A182" s="111" t="s">
        <v>2383</v>
      </c>
      <c r="B182" s="47" t="s">
        <v>2399</v>
      </c>
      <c r="C182" s="9"/>
      <c r="D182" s="36"/>
    </row>
    <row r="183" spans="1:4" ht="14.4" x14ac:dyDescent="0.3">
      <c r="A183" s="111" t="s">
        <v>2383</v>
      </c>
      <c r="B183" s="47" t="s">
        <v>2401</v>
      </c>
      <c r="C183" s="9"/>
      <c r="D183" s="36"/>
    </row>
    <row r="184" spans="1:4" ht="14.4" x14ac:dyDescent="0.3">
      <c r="A184" s="111" t="s">
        <v>2383</v>
      </c>
      <c r="B184" s="47" t="s">
        <v>2403</v>
      </c>
      <c r="C184" s="9"/>
      <c r="D184" s="36"/>
    </row>
    <row r="185" spans="1:4" ht="14.4" x14ac:dyDescent="0.3">
      <c r="A185" s="111" t="s">
        <v>2383</v>
      </c>
      <c r="B185" s="47" t="s">
        <v>2405</v>
      </c>
      <c r="C185" s="9"/>
      <c r="D185" s="36"/>
    </row>
    <row r="186" spans="1:4" ht="27.6" x14ac:dyDescent="0.3">
      <c r="A186" s="111" t="s">
        <v>2383</v>
      </c>
      <c r="B186" s="47" t="s">
        <v>2407</v>
      </c>
      <c r="C186" s="9"/>
      <c r="D186" s="36"/>
    </row>
    <row r="187" spans="1:4" ht="14.4" x14ac:dyDescent="0.3">
      <c r="A187" s="111" t="s">
        <v>2383</v>
      </c>
      <c r="B187" s="47" t="s">
        <v>2408</v>
      </c>
      <c r="C187" s="9"/>
      <c r="D187" s="36"/>
    </row>
    <row r="188" spans="1:4" ht="14.4" x14ac:dyDescent="0.3">
      <c r="A188" s="111" t="s">
        <v>2383</v>
      </c>
      <c r="B188" s="47" t="s">
        <v>2410</v>
      </c>
      <c r="C188" s="9"/>
      <c r="D188" s="36"/>
    </row>
    <row r="189" spans="1:4" ht="41.4" x14ac:dyDescent="0.3">
      <c r="A189" s="111" t="s">
        <v>2383</v>
      </c>
      <c r="B189" s="47" t="s">
        <v>2411</v>
      </c>
      <c r="C189" s="9"/>
      <c r="D189" s="36"/>
    </row>
    <row r="190" spans="1:4" ht="27.6" x14ac:dyDescent="0.3">
      <c r="A190" s="202" t="s">
        <v>2383</v>
      </c>
      <c r="B190" s="212" t="s">
        <v>2306</v>
      </c>
      <c r="C190" s="204"/>
      <c r="D190" s="204"/>
    </row>
    <row r="191" spans="1:4" ht="27.6" x14ac:dyDescent="0.3">
      <c r="A191" s="111" t="s">
        <v>2383</v>
      </c>
      <c r="B191" s="47" t="s">
        <v>2414</v>
      </c>
      <c r="C191" s="9"/>
      <c r="D191" s="36"/>
    </row>
    <row r="192" spans="1:4" ht="14.4" x14ac:dyDescent="0.3">
      <c r="A192" s="111" t="s">
        <v>2383</v>
      </c>
      <c r="B192" s="47" t="s">
        <v>2415</v>
      </c>
      <c r="C192" s="9"/>
      <c r="D192" s="36"/>
    </row>
    <row r="193" spans="1:4" ht="27.6" x14ac:dyDescent="0.3">
      <c r="A193" s="111" t="s">
        <v>2383</v>
      </c>
      <c r="B193" s="47" t="s">
        <v>2416</v>
      </c>
      <c r="C193" s="9"/>
      <c r="D193" s="36"/>
    </row>
    <row r="194" spans="1:4" ht="14.4" x14ac:dyDescent="0.3">
      <c r="A194" s="111" t="s">
        <v>2383</v>
      </c>
      <c r="B194" s="47" t="s">
        <v>2417</v>
      </c>
      <c r="C194" s="9"/>
      <c r="D194" s="36"/>
    </row>
    <row r="195" spans="1:4" ht="27.6" x14ac:dyDescent="0.3">
      <c r="A195" s="111" t="s">
        <v>2383</v>
      </c>
      <c r="B195" s="47" t="s">
        <v>2419</v>
      </c>
      <c r="C195" s="9"/>
      <c r="D195" s="36"/>
    </row>
    <row r="196" spans="1:4" ht="14.4" x14ac:dyDescent="0.3">
      <c r="A196" s="111" t="s">
        <v>2383</v>
      </c>
      <c r="B196" s="47" t="s">
        <v>2421</v>
      </c>
      <c r="C196" s="9"/>
      <c r="D196" s="36"/>
    </row>
    <row r="197" spans="1:4" ht="14.4" x14ac:dyDescent="0.3">
      <c r="A197" s="111" t="s">
        <v>2383</v>
      </c>
      <c r="B197" s="47" t="s">
        <v>2423</v>
      </c>
      <c r="C197" s="9"/>
      <c r="D197" s="36"/>
    </row>
    <row r="198" spans="1:4" ht="14.4" x14ac:dyDescent="0.3">
      <c r="A198" s="111" t="s">
        <v>2383</v>
      </c>
      <c r="B198" s="47" t="s">
        <v>2424</v>
      </c>
      <c r="C198" s="9"/>
      <c r="D198" s="36"/>
    </row>
    <row r="199" spans="1:4" ht="14.4" x14ac:dyDescent="0.3">
      <c r="A199" s="111" t="s">
        <v>2383</v>
      </c>
      <c r="B199" s="47" t="s">
        <v>2426</v>
      </c>
      <c r="C199" s="9"/>
      <c r="D199" s="36"/>
    </row>
    <row r="200" spans="1:4" ht="14.4" x14ac:dyDescent="0.3">
      <c r="A200" s="111" t="s">
        <v>2383</v>
      </c>
      <c r="B200" s="47" t="s">
        <v>2428</v>
      </c>
      <c r="C200" s="9"/>
      <c r="D200" s="36"/>
    </row>
    <row r="201" spans="1:4" ht="14.4" x14ac:dyDescent="0.3">
      <c r="A201" s="111" t="s">
        <v>2383</v>
      </c>
      <c r="B201" s="47" t="s">
        <v>2430</v>
      </c>
      <c r="C201" s="9"/>
      <c r="D201" s="36"/>
    </row>
    <row r="202" spans="1:4" ht="41.4" x14ac:dyDescent="0.3">
      <c r="A202" s="111" t="s">
        <v>2383</v>
      </c>
      <c r="B202" s="47" t="s">
        <v>2431</v>
      </c>
      <c r="C202" s="9"/>
      <c r="D202" s="36"/>
    </row>
    <row r="203" spans="1:4" ht="14.4" x14ac:dyDescent="0.3">
      <c r="A203" s="202" t="s">
        <v>2383</v>
      </c>
      <c r="B203" s="212" t="s">
        <v>428</v>
      </c>
      <c r="C203" s="204"/>
      <c r="D203" s="204"/>
    </row>
    <row r="204" spans="1:4" ht="14.4" x14ac:dyDescent="0.3">
      <c r="A204" s="202" t="s">
        <v>2383</v>
      </c>
      <c r="B204" s="212" t="s">
        <v>2292</v>
      </c>
      <c r="C204" s="204"/>
      <c r="D204" s="204"/>
    </row>
    <row r="205" spans="1:4" ht="14.4" x14ac:dyDescent="0.3">
      <c r="A205" s="202" t="s">
        <v>2383</v>
      </c>
      <c r="B205" s="212" t="s">
        <v>2368</v>
      </c>
      <c r="C205" s="204"/>
      <c r="D205" s="204"/>
    </row>
    <row r="206" spans="1:4" ht="14.4" x14ac:dyDescent="0.3">
      <c r="A206" s="111" t="s">
        <v>2383</v>
      </c>
      <c r="B206" s="47" t="s">
        <v>2435</v>
      </c>
      <c r="C206" s="9"/>
      <c r="D206" s="36"/>
    </row>
    <row r="207" spans="1:4" ht="14.4" x14ac:dyDescent="0.3">
      <c r="A207" s="202" t="s">
        <v>2383</v>
      </c>
      <c r="B207" s="212" t="s">
        <v>2289</v>
      </c>
      <c r="C207" s="204"/>
      <c r="D207" s="204"/>
    </row>
    <row r="208" spans="1:4" ht="27.6" x14ac:dyDescent="0.3">
      <c r="A208" s="202" t="s">
        <v>2383</v>
      </c>
      <c r="B208" s="212" t="s">
        <v>2290</v>
      </c>
      <c r="C208" s="204"/>
      <c r="D208" s="204"/>
    </row>
    <row r="209" spans="1:4" ht="27.6" x14ac:dyDescent="0.3">
      <c r="A209" s="47" t="s">
        <v>2383</v>
      </c>
      <c r="B209" s="47" t="s">
        <v>2438</v>
      </c>
      <c r="C209" s="9"/>
      <c r="D209" s="47"/>
    </row>
    <row r="210" spans="1:4" ht="27.6" x14ac:dyDescent="0.3">
      <c r="A210" s="111" t="s">
        <v>2383</v>
      </c>
      <c r="B210" s="47" t="s">
        <v>2440</v>
      </c>
      <c r="C210" s="9"/>
      <c r="D210" s="36"/>
    </row>
    <row r="211" spans="1:4" ht="14.4" x14ac:dyDescent="0.3">
      <c r="A211" s="111" t="s">
        <v>2383</v>
      </c>
      <c r="B211" s="47" t="s">
        <v>2442</v>
      </c>
      <c r="C211" s="9"/>
      <c r="D211" s="36"/>
    </row>
    <row r="212" spans="1:4" ht="27.6" x14ac:dyDescent="0.3">
      <c r="A212" s="111" t="s">
        <v>2383</v>
      </c>
      <c r="B212" s="47" t="s">
        <v>2444</v>
      </c>
      <c r="C212" s="47"/>
      <c r="D212" s="47"/>
    </row>
    <row r="213" spans="1:4" ht="27.6" x14ac:dyDescent="0.3">
      <c r="A213" s="111" t="s">
        <v>2383</v>
      </c>
      <c r="B213" s="47" t="s">
        <v>2446</v>
      </c>
      <c r="C213" s="9"/>
      <c r="D213" s="36"/>
    </row>
    <row r="214" spans="1:4" ht="27.6" x14ac:dyDescent="0.3">
      <c r="A214" s="111" t="s">
        <v>2383</v>
      </c>
      <c r="B214" s="47" t="s">
        <v>2448</v>
      </c>
      <c r="C214" s="9"/>
      <c r="D214" s="36"/>
    </row>
    <row r="215" spans="1:4" ht="55.2" x14ac:dyDescent="0.3">
      <c r="A215" s="111" t="s">
        <v>2383</v>
      </c>
      <c r="B215" s="47" t="s">
        <v>2450</v>
      </c>
      <c r="C215" s="9"/>
      <c r="D215" s="36"/>
    </row>
    <row r="216" spans="1:4" ht="41.4" x14ac:dyDescent="0.3">
      <c r="A216" s="111" t="s">
        <v>2383</v>
      </c>
      <c r="B216" s="47" t="s">
        <v>2451</v>
      </c>
      <c r="C216" s="9"/>
      <c r="D216" s="36"/>
    </row>
    <row r="217" spans="1:4" ht="27.6" x14ac:dyDescent="0.3">
      <c r="A217" s="111" t="s">
        <v>2383</v>
      </c>
      <c r="B217" s="47" t="s">
        <v>2453</v>
      </c>
      <c r="C217" s="9"/>
      <c r="D217" s="36"/>
    </row>
    <row r="218" spans="1:4" ht="14.4" x14ac:dyDescent="0.3">
      <c r="A218" s="202" t="s">
        <v>2383</v>
      </c>
      <c r="B218" s="212" t="s">
        <v>428</v>
      </c>
      <c r="C218" s="204"/>
      <c r="D218" s="204"/>
    </row>
    <row r="219" spans="1:4" ht="14.4" x14ac:dyDescent="0.3">
      <c r="A219" s="202" t="s">
        <v>2383</v>
      </c>
      <c r="B219" s="212" t="s">
        <v>2292</v>
      </c>
      <c r="C219" s="204"/>
      <c r="D219" s="204"/>
    </row>
    <row r="220" spans="1:4" ht="14.4" x14ac:dyDescent="0.3">
      <c r="A220" s="202" t="s">
        <v>2383</v>
      </c>
      <c r="B220" s="212" t="s">
        <v>2368</v>
      </c>
      <c r="C220" s="204"/>
      <c r="D220" s="204"/>
    </row>
    <row r="221" spans="1:4" ht="14.4" x14ac:dyDescent="0.3">
      <c r="A221" s="111" t="s">
        <v>2383</v>
      </c>
      <c r="B221" s="47" t="s">
        <v>2456</v>
      </c>
      <c r="C221" s="9"/>
      <c r="D221" s="36"/>
    </row>
    <row r="222" spans="1:4" ht="14.4" x14ac:dyDescent="0.3">
      <c r="A222" s="202" t="s">
        <v>2457</v>
      </c>
      <c r="B222" s="212" t="s">
        <v>2458</v>
      </c>
      <c r="C222" s="204"/>
      <c r="D222" s="204"/>
    </row>
    <row r="223" spans="1:4" ht="27.6" x14ac:dyDescent="0.3">
      <c r="A223" s="202" t="s">
        <v>2457</v>
      </c>
      <c r="B223" s="212" t="s">
        <v>2460</v>
      </c>
      <c r="C223" s="204"/>
      <c r="D223" s="204"/>
    </row>
    <row r="224" spans="1:4" ht="14.4" x14ac:dyDescent="0.3">
      <c r="A224" s="111" t="s">
        <v>2457</v>
      </c>
      <c r="B224" s="47" t="s">
        <v>2463</v>
      </c>
      <c r="C224" s="9"/>
      <c r="D224" s="47"/>
    </row>
    <row r="225" spans="1:4" ht="27.6" x14ac:dyDescent="0.3">
      <c r="A225" s="111" t="s">
        <v>2457</v>
      </c>
      <c r="B225" s="47" t="s">
        <v>2464</v>
      </c>
      <c r="C225" s="9"/>
      <c r="D225" s="36"/>
    </row>
    <row r="226" spans="1:4" ht="27.6" x14ac:dyDescent="0.3">
      <c r="A226" s="111" t="s">
        <v>2457</v>
      </c>
      <c r="B226" s="47" t="s">
        <v>2466</v>
      </c>
      <c r="C226" s="9"/>
      <c r="D226" s="36"/>
    </row>
    <row r="227" spans="1:4" ht="27.6" x14ac:dyDescent="0.3">
      <c r="A227" s="111" t="s">
        <v>2457</v>
      </c>
      <c r="B227" s="47" t="s">
        <v>2468</v>
      </c>
      <c r="C227" s="9"/>
      <c r="D227" s="36"/>
    </row>
    <row r="228" spans="1:4" ht="14.4" x14ac:dyDescent="0.3">
      <c r="A228" s="202" t="s">
        <v>2457</v>
      </c>
      <c r="B228" s="212" t="s">
        <v>428</v>
      </c>
      <c r="C228" s="204"/>
      <c r="D228" s="204"/>
    </row>
    <row r="229" spans="1:4" ht="14.4" x14ac:dyDescent="0.3">
      <c r="A229" s="202" t="s">
        <v>2457</v>
      </c>
      <c r="B229" s="212" t="s">
        <v>2292</v>
      </c>
      <c r="C229" s="204"/>
      <c r="D229" s="204"/>
    </row>
    <row r="230" spans="1:4" ht="14.4" x14ac:dyDescent="0.3">
      <c r="A230" s="202" t="s">
        <v>2457</v>
      </c>
      <c r="B230" s="212" t="s">
        <v>2288</v>
      </c>
      <c r="C230" s="204"/>
      <c r="D230" s="204"/>
    </row>
    <row r="231" spans="1:4" ht="14.4" x14ac:dyDescent="0.3">
      <c r="A231" s="111" t="s">
        <v>2457</v>
      </c>
      <c r="B231" s="47" t="s">
        <v>2472</v>
      </c>
      <c r="C231" s="9"/>
      <c r="D231" s="36"/>
    </row>
    <row r="232" spans="1:4" ht="14.4" x14ac:dyDescent="0.3">
      <c r="A232" s="202" t="s">
        <v>2473</v>
      </c>
      <c r="B232" s="212" t="s">
        <v>2218</v>
      </c>
      <c r="C232" s="204"/>
      <c r="D232" s="204"/>
    </row>
    <row r="233" spans="1:4" ht="14.4" x14ac:dyDescent="0.3">
      <c r="A233" s="202" t="s">
        <v>2473</v>
      </c>
      <c r="B233" s="212" t="s">
        <v>720</v>
      </c>
      <c r="C233" s="204"/>
      <c r="D233" s="204"/>
    </row>
    <row r="234" spans="1:4" ht="27.6" x14ac:dyDescent="0.3">
      <c r="A234" s="111" t="s">
        <v>2473</v>
      </c>
      <c r="B234" s="47" t="s">
        <v>2475</v>
      </c>
      <c r="C234" s="9"/>
      <c r="D234" s="36"/>
    </row>
    <row r="235" spans="1:4" ht="14.4" x14ac:dyDescent="0.3">
      <c r="A235" s="111" t="s">
        <v>2473</v>
      </c>
      <c r="B235" s="47" t="s">
        <v>2477</v>
      </c>
      <c r="C235" s="9"/>
      <c r="D235" s="36"/>
    </row>
    <row r="236" spans="1:4" ht="14.4" x14ac:dyDescent="0.3">
      <c r="A236" s="111" t="s">
        <v>2473</v>
      </c>
      <c r="B236" s="47" t="s">
        <v>2479</v>
      </c>
      <c r="C236" s="9"/>
      <c r="D236" s="36"/>
    </row>
    <row r="237" spans="1:4" ht="14.4" x14ac:dyDescent="0.3">
      <c r="A237" s="111" t="s">
        <v>2473</v>
      </c>
      <c r="B237" s="47" t="s">
        <v>2480</v>
      </c>
      <c r="C237" s="9"/>
      <c r="D237" s="36"/>
    </row>
    <row r="238" spans="1:4" ht="14.4" x14ac:dyDescent="0.3">
      <c r="A238" s="111" t="s">
        <v>2473</v>
      </c>
      <c r="B238" s="47" t="s">
        <v>2483</v>
      </c>
      <c r="C238" s="9"/>
      <c r="D238" s="36"/>
    </row>
    <row r="239" spans="1:4" ht="14.4" x14ac:dyDescent="0.3">
      <c r="A239" s="111" t="s">
        <v>2473</v>
      </c>
      <c r="B239" s="47" t="s">
        <v>2484</v>
      </c>
      <c r="C239" s="9"/>
      <c r="D239" s="36"/>
    </row>
    <row r="240" spans="1:4" ht="14.4" x14ac:dyDescent="0.3">
      <c r="A240" s="202" t="s">
        <v>2473</v>
      </c>
      <c r="B240" s="212" t="s">
        <v>2485</v>
      </c>
      <c r="C240" s="204"/>
      <c r="D240" s="204"/>
    </row>
    <row r="241" spans="1:4" ht="27.6" x14ac:dyDescent="0.3">
      <c r="A241" s="111" t="s">
        <v>2473</v>
      </c>
      <c r="B241" s="47" t="s">
        <v>2486</v>
      </c>
      <c r="C241" s="9"/>
      <c r="D241" s="47"/>
    </row>
    <row r="242" spans="1:4" ht="14.4" x14ac:dyDescent="0.3">
      <c r="A242" s="111" t="s">
        <v>2473</v>
      </c>
      <c r="B242" s="47" t="s">
        <v>2487</v>
      </c>
      <c r="C242" s="9"/>
      <c r="D242" s="36"/>
    </row>
    <row r="243" spans="1:4" ht="14.4" x14ac:dyDescent="0.3">
      <c r="A243" s="111" t="s">
        <v>2473</v>
      </c>
      <c r="B243" s="47" t="s">
        <v>2488</v>
      </c>
      <c r="C243" s="9"/>
      <c r="D243" s="36"/>
    </row>
    <row r="244" spans="1:4" ht="14.4" x14ac:dyDescent="0.3">
      <c r="A244" s="111" t="s">
        <v>2473</v>
      </c>
      <c r="B244" s="47" t="s">
        <v>2489</v>
      </c>
      <c r="C244" s="9"/>
      <c r="D244" s="36"/>
    </row>
    <row r="245" spans="1:4" ht="14.4" x14ac:dyDescent="0.3">
      <c r="A245" s="111" t="s">
        <v>2473</v>
      </c>
      <c r="B245" s="47" t="s">
        <v>2490</v>
      </c>
      <c r="C245" s="9"/>
      <c r="D245" s="36"/>
    </row>
    <row r="246" spans="1:4" ht="14.4" x14ac:dyDescent="0.3">
      <c r="A246" s="202" t="s">
        <v>2473</v>
      </c>
      <c r="B246" s="212" t="s">
        <v>2233</v>
      </c>
      <c r="C246" s="204"/>
      <c r="D246" s="204"/>
    </row>
    <row r="247" spans="1:4" ht="27.6" x14ac:dyDescent="0.3">
      <c r="A247" s="111" t="s">
        <v>2473</v>
      </c>
      <c r="B247" s="47" t="s">
        <v>2492</v>
      </c>
      <c r="C247" s="9"/>
      <c r="D247" s="47"/>
    </row>
    <row r="248" spans="1:4" ht="14.4" x14ac:dyDescent="0.3">
      <c r="A248" s="111" t="s">
        <v>2473</v>
      </c>
      <c r="B248" s="47" t="s">
        <v>2493</v>
      </c>
      <c r="C248" s="9"/>
      <c r="D248" s="36"/>
    </row>
    <row r="249" spans="1:4" ht="14.4" x14ac:dyDescent="0.3">
      <c r="A249" s="111" t="s">
        <v>2473</v>
      </c>
      <c r="B249" s="47" t="s">
        <v>2495</v>
      </c>
      <c r="C249" s="9"/>
      <c r="D249" s="36"/>
    </row>
    <row r="250" spans="1:4" ht="14.4" x14ac:dyDescent="0.3">
      <c r="A250" s="111" t="s">
        <v>2473</v>
      </c>
      <c r="B250" s="47" t="s">
        <v>2497</v>
      </c>
      <c r="C250" s="9"/>
      <c r="D250" s="36"/>
    </row>
    <row r="251" spans="1:4" ht="14.4" x14ac:dyDescent="0.3">
      <c r="A251" s="111" t="s">
        <v>2473</v>
      </c>
      <c r="B251" s="47" t="s">
        <v>2498</v>
      </c>
      <c r="C251" s="9"/>
      <c r="D251" s="36"/>
    </row>
    <row r="252" spans="1:4" ht="14.4" x14ac:dyDescent="0.3">
      <c r="A252" s="202" t="s">
        <v>2473</v>
      </c>
      <c r="B252" s="212" t="s">
        <v>2500</v>
      </c>
      <c r="C252" s="204"/>
      <c r="D252" s="204"/>
    </row>
    <row r="253" spans="1:4" ht="14.4" x14ac:dyDescent="0.3">
      <c r="A253" s="111" t="s">
        <v>2473</v>
      </c>
      <c r="B253" s="47" t="s">
        <v>2502</v>
      </c>
      <c r="C253" s="9"/>
      <c r="D253" s="36"/>
    </row>
    <row r="254" spans="1:4" ht="14.4" x14ac:dyDescent="0.3">
      <c r="A254" s="111" t="s">
        <v>2473</v>
      </c>
      <c r="B254" s="47" t="s">
        <v>2504</v>
      </c>
      <c r="C254" s="9"/>
      <c r="D254" s="36"/>
    </row>
    <row r="255" spans="1:4" ht="14.4" x14ac:dyDescent="0.3">
      <c r="A255" s="202" t="s">
        <v>2473</v>
      </c>
      <c r="B255" s="212" t="s">
        <v>2246</v>
      </c>
      <c r="C255" s="204"/>
      <c r="D255" s="204"/>
    </row>
    <row r="256" spans="1:4" ht="27.6" x14ac:dyDescent="0.3">
      <c r="A256" s="111" t="s">
        <v>2473</v>
      </c>
      <c r="B256" s="47" t="s">
        <v>2506</v>
      </c>
      <c r="C256" s="9"/>
      <c r="D256" s="36"/>
    </row>
    <row r="257" spans="1:4" ht="27.6" x14ac:dyDescent="0.3">
      <c r="A257" s="111" t="s">
        <v>2473</v>
      </c>
      <c r="B257" s="47" t="s">
        <v>2508</v>
      </c>
      <c r="C257" s="9"/>
      <c r="D257" s="36"/>
    </row>
    <row r="258" spans="1:4" ht="14.4" x14ac:dyDescent="0.3">
      <c r="A258" s="111" t="s">
        <v>2473</v>
      </c>
      <c r="B258" s="47" t="s">
        <v>2510</v>
      </c>
      <c r="C258" s="9"/>
      <c r="D258" s="36"/>
    </row>
    <row r="259" spans="1:4" ht="14.4" x14ac:dyDescent="0.3">
      <c r="A259" s="111" t="s">
        <v>2473</v>
      </c>
      <c r="B259" s="47" t="s">
        <v>2512</v>
      </c>
      <c r="C259" s="9"/>
      <c r="D259" s="36"/>
    </row>
    <row r="260" spans="1:4" ht="14.4" x14ac:dyDescent="0.3">
      <c r="A260" s="202" t="s">
        <v>2473</v>
      </c>
      <c r="B260" s="212" t="s">
        <v>428</v>
      </c>
      <c r="C260" s="204"/>
      <c r="D260" s="204"/>
    </row>
    <row r="261" spans="1:4" ht="14.4" x14ac:dyDescent="0.3">
      <c r="A261" s="202" t="s">
        <v>2473</v>
      </c>
      <c r="B261" s="212" t="s">
        <v>2292</v>
      </c>
      <c r="C261" s="204"/>
      <c r="D261" s="204"/>
    </row>
    <row r="262" spans="1:4" ht="14.4" x14ac:dyDescent="0.3">
      <c r="A262" s="202" t="s">
        <v>2473</v>
      </c>
      <c r="B262" s="212" t="s">
        <v>2288</v>
      </c>
      <c r="C262" s="204"/>
      <c r="D262" s="204"/>
    </row>
    <row r="263" spans="1:4" ht="14.4" x14ac:dyDescent="0.3">
      <c r="A263" s="80" t="s">
        <v>2473</v>
      </c>
      <c r="B263" s="216" t="s">
        <v>2516</v>
      </c>
      <c r="C263" s="88"/>
      <c r="D263" s="95"/>
    </row>
    <row r="264" spans="1:4" ht="14.4" x14ac:dyDescent="0.3">
      <c r="A264" s="2"/>
      <c r="B264" s="14"/>
      <c r="D264" s="2"/>
    </row>
    <row r="265" spans="1:4" ht="14.4" x14ac:dyDescent="0.3">
      <c r="A265" s="2"/>
      <c r="B265" s="15"/>
      <c r="C265" s="2"/>
      <c r="D265" s="2"/>
    </row>
    <row r="266" spans="1:4" ht="14.4" x14ac:dyDescent="0.3">
      <c r="A266" s="2"/>
      <c r="B266" s="15" t="s">
        <v>75</v>
      </c>
      <c r="C266" s="2">
        <f>COUNTIF($C$4:$C$263,"C")</f>
        <v>1</v>
      </c>
      <c r="D266" s="2"/>
    </row>
    <row r="267" spans="1:4" ht="14.4" x14ac:dyDescent="0.3">
      <c r="A267" s="2"/>
      <c r="B267" s="15" t="s">
        <v>81</v>
      </c>
      <c r="C267" s="2">
        <f>COUNTIF($C$4:$C$263,"NC")</f>
        <v>1</v>
      </c>
      <c r="D267" s="2"/>
    </row>
    <row r="268" spans="1:4" ht="14.4" x14ac:dyDescent="0.3">
      <c r="A268" s="17"/>
      <c r="B268" s="15" t="s">
        <v>84</v>
      </c>
      <c r="C268" s="2">
        <f>COUNTIF($C$4:$C$263,"NA")</f>
        <v>1</v>
      </c>
      <c r="D268" s="17"/>
    </row>
  </sheetData>
  <autoFilter ref="A4:D263" xr:uid="{00000000-0009-0000-0000-00001E000000}"/>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dxfId="50" priority="1" operator="beginsWith" text="C">
      <formula>LEFT((C7),LEN("C"))=("C")</formula>
    </cfRule>
    <cfRule type="beginsWith" dxfId="49" priority="2" operator="beginsWith" text="NC">
      <formula>LEFT((C7),LEN("NC"))=("NC")</formula>
    </cfRule>
    <cfRule type="beginsWith" dxfId="48" priority="3" operator="beginsWith" text="NA">
      <formula>LEFT((C7),LEN("NA"))=("NA")</formula>
    </cfRule>
  </conditionalFormatting>
  <dataValidations count="1">
    <dataValidation type="list" allowBlank="1" sqref="C7:C10 C13:C15 C17 C19:C20 C22 C25:C29 C31:C34 C37:C39 C42:C52 C55:C56 C59:C77 C79:C82 C86 C89 C92 C95:C97 C99:C106 C108:C120 C124 C127:C136 C138:C141 C144 C147:C148 C150:C151 C155 C158 C161 C164:C167 C170 C173:C189 C191:C202 C206 C209:C217 C221 C224:C227 C231 C234:C239 C241:C245 C247:C251 C253:C254 C256:C259 C263" xr:uid="{00000000-0002-0000-1E00-000000000000}">
      <formula1>"C,NC,NA"</formula1>
    </dataValidation>
  </dataValidations>
  <hyperlinks>
    <hyperlink ref="B1" location="'Tabla de contenido'!A1" display="VOLVER A TABLA DE CONTENIDO" xr:uid="{00000000-0004-0000-1E00-000000000000}"/>
  </hyperlinks>
  <pageMargins left="0.7" right="0.7" top="0.75" bottom="0.75" header="0" footer="0"/>
  <pageSetup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38761D"/>
  </sheetPr>
  <dimension ref="A1:D249"/>
  <sheetViews>
    <sheetView showGridLines="0" workbookViewId="0">
      <selection sqref="A1:D1"/>
    </sheetView>
  </sheetViews>
  <sheetFormatPr baseColWidth="10" defaultColWidth="14.44140625" defaultRowHeight="15" customHeight="1" outlineLevelCol="1" x14ac:dyDescent="0.3"/>
  <cols>
    <col min="1" max="1" width="16.44140625" customWidth="1"/>
    <col min="2" max="2" width="70.6640625" customWidth="1"/>
    <col min="3" max="3" width="11.5546875" customWidth="1"/>
    <col min="4" max="4" width="38.33203125" customWidth="1" outlineLevel="1"/>
    <col min="5" max="5" width="2.33203125" customWidth="1"/>
    <col min="6" max="15" width="10.77734375" customWidth="1"/>
  </cols>
  <sheetData>
    <row r="1" spans="1:4" ht="14.4" x14ac:dyDescent="0.3">
      <c r="A1" s="269"/>
      <c r="B1" s="270" t="s">
        <v>0</v>
      </c>
      <c r="C1" s="269"/>
      <c r="D1" s="269"/>
    </row>
    <row r="2" spans="1:4" ht="14.4" x14ac:dyDescent="0.3">
      <c r="A2" s="74"/>
      <c r="B2" s="75" t="s">
        <v>2215</v>
      </c>
      <c r="C2" s="116"/>
      <c r="D2" s="77"/>
    </row>
    <row r="3" spans="1:4" ht="14.4" x14ac:dyDescent="0.3">
      <c r="A3" s="6"/>
      <c r="B3" s="18" t="s">
        <v>2308</v>
      </c>
      <c r="C3" s="182"/>
      <c r="D3" s="19"/>
    </row>
    <row r="4" spans="1:4" ht="14.4" x14ac:dyDescent="0.3">
      <c r="A4" s="6" t="s">
        <v>7</v>
      </c>
      <c r="B4" s="18" t="s">
        <v>9</v>
      </c>
      <c r="C4" s="224" t="s">
        <v>10</v>
      </c>
      <c r="D4" s="6" t="s">
        <v>11</v>
      </c>
    </row>
    <row r="5" spans="1:4" ht="14.4" x14ac:dyDescent="0.3">
      <c r="A5" s="202" t="s">
        <v>2311</v>
      </c>
      <c r="B5" s="212" t="s">
        <v>1081</v>
      </c>
      <c r="C5" s="204"/>
      <c r="D5" s="204"/>
    </row>
    <row r="6" spans="1:4" ht="14.4" x14ac:dyDescent="0.3">
      <c r="A6" s="202" t="s">
        <v>2311</v>
      </c>
      <c r="B6" s="212" t="s">
        <v>2313</v>
      </c>
      <c r="C6" s="204"/>
      <c r="D6" s="204"/>
    </row>
    <row r="7" spans="1:4" ht="14.4" x14ac:dyDescent="0.3">
      <c r="A7" s="202" t="s">
        <v>2311</v>
      </c>
      <c r="B7" s="212" t="s">
        <v>1068</v>
      </c>
      <c r="C7" s="204"/>
      <c r="D7" s="204"/>
    </row>
    <row r="8" spans="1:4" ht="27.6" x14ac:dyDescent="0.3">
      <c r="A8" s="24" t="s">
        <v>2311</v>
      </c>
      <c r="B8" s="37" t="s">
        <v>1290</v>
      </c>
      <c r="C8" s="225" t="s">
        <v>16</v>
      </c>
      <c r="D8" s="226"/>
    </row>
    <row r="9" spans="1:4" ht="14.4" x14ac:dyDescent="0.3">
      <c r="A9" s="24" t="s">
        <v>2311</v>
      </c>
      <c r="B9" s="37" t="s">
        <v>2321</v>
      </c>
      <c r="C9" s="225" t="s">
        <v>20</v>
      </c>
      <c r="D9" s="226"/>
    </row>
    <row r="10" spans="1:4" ht="14.4" x14ac:dyDescent="0.3">
      <c r="A10" s="24" t="s">
        <v>2311</v>
      </c>
      <c r="B10" s="37" t="s">
        <v>2323</v>
      </c>
      <c r="C10" s="225" t="s">
        <v>24</v>
      </c>
      <c r="D10" s="227"/>
    </row>
    <row r="11" spans="1:4" ht="55.2" x14ac:dyDescent="0.3">
      <c r="A11" s="24" t="s">
        <v>2311</v>
      </c>
      <c r="B11" s="37" t="s">
        <v>2325</v>
      </c>
      <c r="C11" s="225"/>
      <c r="D11" s="228"/>
    </row>
    <row r="12" spans="1:4" ht="14.4" x14ac:dyDescent="0.3">
      <c r="A12" s="202" t="s">
        <v>2311</v>
      </c>
      <c r="B12" s="212" t="s">
        <v>2328</v>
      </c>
      <c r="C12" s="204"/>
      <c r="D12" s="204"/>
    </row>
    <row r="13" spans="1:4" ht="41.4" x14ac:dyDescent="0.3">
      <c r="A13" s="24" t="s">
        <v>2311</v>
      </c>
      <c r="B13" s="37" t="s">
        <v>2330</v>
      </c>
      <c r="C13" s="225"/>
      <c r="D13" s="226"/>
    </row>
    <row r="14" spans="1:4" ht="14.4" x14ac:dyDescent="0.3">
      <c r="A14" s="24" t="s">
        <v>2311</v>
      </c>
      <c r="B14" s="37" t="s">
        <v>2332</v>
      </c>
      <c r="C14" s="225"/>
      <c r="D14" s="226"/>
    </row>
    <row r="15" spans="1:4" ht="14.4" x14ac:dyDescent="0.3">
      <c r="A15" s="24" t="s">
        <v>2311</v>
      </c>
      <c r="B15" s="37" t="s">
        <v>2334</v>
      </c>
      <c r="C15" s="225"/>
      <c r="D15" s="226"/>
    </row>
    <row r="16" spans="1:4" ht="14.4" x14ac:dyDescent="0.3">
      <c r="A16" s="24" t="s">
        <v>2311</v>
      </c>
      <c r="B16" s="37" t="s">
        <v>2336</v>
      </c>
      <c r="C16" s="225"/>
      <c r="D16" s="226"/>
    </row>
    <row r="17" spans="1:4" ht="14.4" x14ac:dyDescent="0.3">
      <c r="A17" s="202" t="s">
        <v>2311</v>
      </c>
      <c r="B17" s="212" t="s">
        <v>428</v>
      </c>
      <c r="C17" s="204"/>
      <c r="D17" s="204"/>
    </row>
    <row r="18" spans="1:4" ht="14.4" x14ac:dyDescent="0.3">
      <c r="A18" s="202" t="s">
        <v>2311</v>
      </c>
      <c r="B18" s="212" t="s">
        <v>2224</v>
      </c>
      <c r="C18" s="204"/>
      <c r="D18" s="204"/>
    </row>
    <row r="19" spans="1:4" ht="27.6" x14ac:dyDescent="0.3">
      <c r="A19" s="24" t="s">
        <v>2311</v>
      </c>
      <c r="B19" s="37" t="s">
        <v>1131</v>
      </c>
      <c r="C19" s="225"/>
      <c r="D19" s="226"/>
    </row>
    <row r="20" spans="1:4" ht="41.4" x14ac:dyDescent="0.3">
      <c r="A20" s="24" t="s">
        <v>2311</v>
      </c>
      <c r="B20" s="37" t="s">
        <v>2340</v>
      </c>
      <c r="C20" s="225"/>
      <c r="D20" s="226"/>
    </row>
    <row r="21" spans="1:4" ht="41.4" x14ac:dyDescent="0.3">
      <c r="A21" s="24" t="s">
        <v>2311</v>
      </c>
      <c r="B21" s="37" t="s">
        <v>2342</v>
      </c>
      <c r="C21" s="225"/>
      <c r="D21" s="227"/>
    </row>
    <row r="22" spans="1:4" ht="14.4" x14ac:dyDescent="0.3">
      <c r="A22" s="202" t="s">
        <v>2311</v>
      </c>
      <c r="B22" s="212" t="s">
        <v>969</v>
      </c>
      <c r="C22" s="204"/>
      <c r="D22" s="204"/>
    </row>
    <row r="23" spans="1:4" ht="55.2" x14ac:dyDescent="0.3">
      <c r="A23" s="24" t="s">
        <v>2311</v>
      </c>
      <c r="B23" s="37" t="s">
        <v>2345</v>
      </c>
      <c r="C23" s="225"/>
      <c r="D23" s="226"/>
    </row>
    <row r="24" spans="1:4" ht="55.2" x14ac:dyDescent="0.3">
      <c r="A24" s="24" t="s">
        <v>2311</v>
      </c>
      <c r="B24" s="37" t="s">
        <v>2347</v>
      </c>
      <c r="C24" s="225"/>
      <c r="D24" s="226"/>
    </row>
    <row r="25" spans="1:4" ht="41.4" x14ac:dyDescent="0.3">
      <c r="A25" s="24" t="s">
        <v>2311</v>
      </c>
      <c r="B25" s="37" t="s">
        <v>2348</v>
      </c>
      <c r="C25" s="225"/>
      <c r="D25" s="226"/>
    </row>
    <row r="26" spans="1:4" ht="27.6" x14ac:dyDescent="0.3">
      <c r="A26" s="202" t="s">
        <v>2311</v>
      </c>
      <c r="B26" s="212" t="s">
        <v>2230</v>
      </c>
      <c r="C26" s="204"/>
      <c r="D26" s="204"/>
    </row>
    <row r="27" spans="1:4" ht="14.4" x14ac:dyDescent="0.3">
      <c r="A27" s="24" t="s">
        <v>2311</v>
      </c>
      <c r="B27" s="37" t="s">
        <v>1097</v>
      </c>
      <c r="C27" s="225"/>
      <c r="D27" s="227"/>
    </row>
    <row r="28" spans="1:4" ht="41.4" x14ac:dyDescent="0.3">
      <c r="A28" s="24" t="s">
        <v>2311</v>
      </c>
      <c r="B28" s="37" t="s">
        <v>2353</v>
      </c>
      <c r="C28" s="225"/>
      <c r="D28" s="226"/>
    </row>
    <row r="29" spans="1:4" ht="14.4" x14ac:dyDescent="0.3">
      <c r="A29" s="202" t="s">
        <v>2311</v>
      </c>
      <c r="B29" s="212" t="s">
        <v>976</v>
      </c>
      <c r="C29" s="204"/>
      <c r="D29" s="204"/>
    </row>
    <row r="30" spans="1:4" ht="41.4" x14ac:dyDescent="0.3">
      <c r="A30" s="24" t="s">
        <v>2311</v>
      </c>
      <c r="B30" s="37" t="s">
        <v>2354</v>
      </c>
      <c r="C30" s="225"/>
      <c r="D30" s="226"/>
    </row>
    <row r="31" spans="1:4" ht="14.4" x14ac:dyDescent="0.3">
      <c r="A31" s="202" t="s">
        <v>2311</v>
      </c>
      <c r="B31" s="212" t="s">
        <v>922</v>
      </c>
      <c r="C31" s="204"/>
      <c r="D31" s="204"/>
    </row>
    <row r="32" spans="1:4" ht="14.4" x14ac:dyDescent="0.3">
      <c r="A32" s="202" t="s">
        <v>2311</v>
      </c>
      <c r="B32" s="212" t="s">
        <v>2313</v>
      </c>
      <c r="C32" s="204"/>
      <c r="D32" s="204"/>
    </row>
    <row r="33" spans="1:4" ht="14.4" x14ac:dyDescent="0.3">
      <c r="A33" s="202" t="s">
        <v>2311</v>
      </c>
      <c r="B33" s="212" t="s">
        <v>1068</v>
      </c>
      <c r="C33" s="204"/>
      <c r="D33" s="204"/>
    </row>
    <row r="34" spans="1:4" ht="41.4" x14ac:dyDescent="0.3">
      <c r="A34" s="24" t="s">
        <v>2311</v>
      </c>
      <c r="B34" s="37" t="s">
        <v>2358</v>
      </c>
      <c r="C34" s="225"/>
      <c r="D34" s="227"/>
    </row>
    <row r="35" spans="1:4" ht="41.4" x14ac:dyDescent="0.3">
      <c r="A35" s="24" t="s">
        <v>2311</v>
      </c>
      <c r="B35" s="37" t="s">
        <v>2361</v>
      </c>
      <c r="C35" s="225"/>
      <c r="D35" s="227"/>
    </row>
    <row r="36" spans="1:4" ht="14.4" x14ac:dyDescent="0.3">
      <c r="A36" s="202" t="s">
        <v>2311</v>
      </c>
      <c r="B36" s="212" t="s">
        <v>2363</v>
      </c>
      <c r="C36" s="204"/>
      <c r="D36" s="204"/>
    </row>
    <row r="37" spans="1:4" ht="41.4" x14ac:dyDescent="0.3">
      <c r="A37" s="24" t="s">
        <v>2311</v>
      </c>
      <c r="B37" s="37" t="s">
        <v>2365</v>
      </c>
      <c r="C37" s="225"/>
      <c r="D37" s="226"/>
    </row>
    <row r="38" spans="1:4" ht="14.4" x14ac:dyDescent="0.3">
      <c r="A38" s="24" t="s">
        <v>2311</v>
      </c>
      <c r="B38" s="37" t="s">
        <v>2367</v>
      </c>
      <c r="C38" s="225"/>
      <c r="D38" s="226"/>
    </row>
    <row r="39" spans="1:4" ht="14.4" x14ac:dyDescent="0.3">
      <c r="A39" s="202" t="s">
        <v>2311</v>
      </c>
      <c r="B39" s="212" t="s">
        <v>428</v>
      </c>
      <c r="C39" s="204"/>
      <c r="D39" s="204"/>
    </row>
    <row r="40" spans="1:4" ht="14.4" x14ac:dyDescent="0.3">
      <c r="A40" s="202" t="s">
        <v>2311</v>
      </c>
      <c r="B40" s="212" t="s">
        <v>2224</v>
      </c>
      <c r="C40" s="204"/>
      <c r="D40" s="204"/>
    </row>
    <row r="41" spans="1:4" ht="27.6" x14ac:dyDescent="0.3">
      <c r="A41" s="24" t="s">
        <v>2311</v>
      </c>
      <c r="B41" s="37" t="s">
        <v>2369</v>
      </c>
      <c r="C41" s="225"/>
      <c r="D41" s="226"/>
    </row>
    <row r="42" spans="1:4" ht="41.4" x14ac:dyDescent="0.3">
      <c r="A42" s="24" t="s">
        <v>2311</v>
      </c>
      <c r="B42" s="37" t="s">
        <v>2371</v>
      </c>
      <c r="C42" s="225"/>
      <c r="D42" s="226"/>
    </row>
    <row r="43" spans="1:4" ht="41.4" x14ac:dyDescent="0.3">
      <c r="A43" s="24" t="s">
        <v>2311</v>
      </c>
      <c r="B43" s="37" t="s">
        <v>2373</v>
      </c>
      <c r="C43" s="225"/>
      <c r="D43" s="226"/>
    </row>
    <row r="44" spans="1:4" ht="14.4" x14ac:dyDescent="0.3">
      <c r="A44" s="202" t="s">
        <v>2311</v>
      </c>
      <c r="B44" s="212" t="s">
        <v>969</v>
      </c>
      <c r="C44" s="204"/>
      <c r="D44" s="204"/>
    </row>
    <row r="45" spans="1:4" ht="55.2" x14ac:dyDescent="0.3">
      <c r="A45" s="24" t="s">
        <v>2311</v>
      </c>
      <c r="B45" s="37" t="s">
        <v>2374</v>
      </c>
      <c r="C45" s="225"/>
      <c r="D45" s="229"/>
    </row>
    <row r="46" spans="1:4" ht="69" x14ac:dyDescent="0.3">
      <c r="A46" s="24" t="s">
        <v>2311</v>
      </c>
      <c r="B46" s="37" t="s">
        <v>2377</v>
      </c>
      <c r="C46" s="225"/>
      <c r="D46" s="226"/>
    </row>
    <row r="47" spans="1:4" ht="41.4" x14ac:dyDescent="0.3">
      <c r="A47" s="24" t="s">
        <v>2311</v>
      </c>
      <c r="B47" s="37" t="s">
        <v>2379</v>
      </c>
      <c r="C47" s="225"/>
      <c r="D47" s="229"/>
    </row>
    <row r="48" spans="1:4" ht="27.6" x14ac:dyDescent="0.3">
      <c r="A48" s="202" t="s">
        <v>2311</v>
      </c>
      <c r="B48" s="212" t="s">
        <v>2230</v>
      </c>
      <c r="C48" s="204"/>
      <c r="D48" s="204"/>
    </row>
    <row r="49" spans="1:4" ht="14.4" x14ac:dyDescent="0.3">
      <c r="A49" s="24" t="s">
        <v>2311</v>
      </c>
      <c r="B49" s="37" t="s">
        <v>1193</v>
      </c>
      <c r="C49" s="225"/>
      <c r="D49" s="226"/>
    </row>
    <row r="50" spans="1:4" ht="41.4" x14ac:dyDescent="0.3">
      <c r="A50" s="24" t="s">
        <v>2311</v>
      </c>
      <c r="B50" s="37" t="s">
        <v>2382</v>
      </c>
      <c r="C50" s="225"/>
      <c r="D50" s="226"/>
    </row>
    <row r="51" spans="1:4" ht="14.4" x14ac:dyDescent="0.3">
      <c r="A51" s="202" t="s">
        <v>2311</v>
      </c>
      <c r="B51" s="212" t="s">
        <v>976</v>
      </c>
      <c r="C51" s="204"/>
      <c r="D51" s="204"/>
    </row>
    <row r="52" spans="1:4" ht="41.4" x14ac:dyDescent="0.3">
      <c r="A52" s="24" t="s">
        <v>2311</v>
      </c>
      <c r="B52" s="37" t="s">
        <v>2384</v>
      </c>
      <c r="C52" s="225"/>
      <c r="D52" s="226"/>
    </row>
    <row r="53" spans="1:4" ht="14.4" x14ac:dyDescent="0.3">
      <c r="A53" s="202" t="s">
        <v>2311</v>
      </c>
      <c r="B53" s="212" t="s">
        <v>922</v>
      </c>
      <c r="C53" s="204"/>
      <c r="D53" s="204"/>
    </row>
    <row r="54" spans="1:4" ht="14.4" x14ac:dyDescent="0.3">
      <c r="A54" s="202" t="s">
        <v>2311</v>
      </c>
      <c r="B54" s="212" t="s">
        <v>2386</v>
      </c>
      <c r="C54" s="204"/>
      <c r="D54" s="204"/>
    </row>
    <row r="55" spans="1:4" ht="14.4" x14ac:dyDescent="0.3">
      <c r="A55" s="202" t="s">
        <v>2311</v>
      </c>
      <c r="B55" s="212" t="s">
        <v>1068</v>
      </c>
      <c r="C55" s="204"/>
      <c r="D55" s="204"/>
    </row>
    <row r="56" spans="1:4" ht="27.6" x14ac:dyDescent="0.3">
      <c r="A56" s="24" t="s">
        <v>2311</v>
      </c>
      <c r="B56" s="37" t="s">
        <v>2262</v>
      </c>
      <c r="C56" s="225"/>
      <c r="D56" s="226"/>
    </row>
    <row r="57" spans="1:4" ht="14.4" x14ac:dyDescent="0.3">
      <c r="A57" s="24" t="s">
        <v>2311</v>
      </c>
      <c r="B57" s="37" t="s">
        <v>2390</v>
      </c>
      <c r="C57" s="225"/>
      <c r="D57" s="226"/>
    </row>
    <row r="58" spans="1:4" ht="14.4" x14ac:dyDescent="0.3">
      <c r="A58" s="24" t="s">
        <v>2311</v>
      </c>
      <c r="B58" s="37" t="s">
        <v>2393</v>
      </c>
      <c r="C58" s="225"/>
      <c r="D58" s="226"/>
    </row>
    <row r="59" spans="1:4" ht="41.4" x14ac:dyDescent="0.3">
      <c r="A59" s="24" t="s">
        <v>2311</v>
      </c>
      <c r="B59" s="37" t="s">
        <v>2395</v>
      </c>
      <c r="C59" s="225"/>
      <c r="D59" s="226"/>
    </row>
    <row r="60" spans="1:4" ht="14.4" x14ac:dyDescent="0.3">
      <c r="A60" s="202" t="s">
        <v>2311</v>
      </c>
      <c r="B60" s="212" t="s">
        <v>2398</v>
      </c>
      <c r="C60" s="204"/>
      <c r="D60" s="204"/>
    </row>
    <row r="61" spans="1:4" ht="41.4" x14ac:dyDescent="0.3">
      <c r="A61" s="24" t="s">
        <v>2311</v>
      </c>
      <c r="B61" s="37" t="s">
        <v>2400</v>
      </c>
      <c r="C61" s="225"/>
      <c r="D61" s="226"/>
    </row>
    <row r="62" spans="1:4" ht="41.4" x14ac:dyDescent="0.3">
      <c r="A62" s="24" t="s">
        <v>2311</v>
      </c>
      <c r="B62" s="37" t="s">
        <v>2402</v>
      </c>
      <c r="C62" s="225"/>
      <c r="D62" s="226"/>
    </row>
    <row r="63" spans="1:4" ht="14.4" x14ac:dyDescent="0.3">
      <c r="A63" s="24" t="s">
        <v>2311</v>
      </c>
      <c r="B63" s="37" t="s">
        <v>2404</v>
      </c>
      <c r="C63" s="225"/>
      <c r="D63" s="226"/>
    </row>
    <row r="64" spans="1:4" ht="14.4" x14ac:dyDescent="0.3">
      <c r="A64" s="24" t="s">
        <v>2311</v>
      </c>
      <c r="B64" s="37" t="s">
        <v>2406</v>
      </c>
      <c r="C64" s="225"/>
      <c r="D64" s="226"/>
    </row>
    <row r="65" spans="1:4" ht="14.4" x14ac:dyDescent="0.3">
      <c r="A65" s="24" t="s">
        <v>2311</v>
      </c>
      <c r="B65" s="37" t="s">
        <v>2409</v>
      </c>
      <c r="C65" s="225"/>
      <c r="D65" s="226"/>
    </row>
    <row r="66" spans="1:4" ht="27.6" x14ac:dyDescent="0.3">
      <c r="A66" s="24" t="s">
        <v>2311</v>
      </c>
      <c r="B66" s="37" t="s">
        <v>2412</v>
      </c>
      <c r="C66" s="225"/>
      <c r="D66" s="226"/>
    </row>
    <row r="67" spans="1:4" ht="41.4" x14ac:dyDescent="0.3">
      <c r="A67" s="24" t="s">
        <v>2311</v>
      </c>
      <c r="B67" s="37" t="s">
        <v>2413</v>
      </c>
      <c r="C67" s="225"/>
      <c r="D67" s="226"/>
    </row>
    <row r="68" spans="1:4" ht="14.4" x14ac:dyDescent="0.3">
      <c r="A68" s="202" t="s">
        <v>2311</v>
      </c>
      <c r="B68" s="212" t="s">
        <v>428</v>
      </c>
      <c r="C68" s="204"/>
      <c r="D68" s="204"/>
    </row>
    <row r="69" spans="1:4" ht="14.4" x14ac:dyDescent="0.3">
      <c r="A69" s="202" t="s">
        <v>2311</v>
      </c>
      <c r="B69" s="212" t="s">
        <v>2224</v>
      </c>
      <c r="C69" s="204"/>
      <c r="D69" s="204"/>
    </row>
    <row r="70" spans="1:4" ht="27.6" x14ac:dyDescent="0.3">
      <c r="A70" s="24" t="s">
        <v>2311</v>
      </c>
      <c r="B70" s="37" t="s">
        <v>2418</v>
      </c>
      <c r="C70" s="225"/>
      <c r="D70" s="226"/>
    </row>
    <row r="71" spans="1:4" ht="41.4" x14ac:dyDescent="0.3">
      <c r="A71" s="24" t="s">
        <v>2311</v>
      </c>
      <c r="B71" s="37" t="s">
        <v>2420</v>
      </c>
      <c r="C71" s="225"/>
      <c r="D71" s="226"/>
    </row>
    <row r="72" spans="1:4" ht="41.4" x14ac:dyDescent="0.3">
      <c r="A72" s="24" t="s">
        <v>2311</v>
      </c>
      <c r="B72" s="37" t="s">
        <v>2422</v>
      </c>
      <c r="C72" s="225"/>
      <c r="D72" s="226"/>
    </row>
    <row r="73" spans="1:4" ht="14.4" x14ac:dyDescent="0.3">
      <c r="A73" s="202" t="s">
        <v>2311</v>
      </c>
      <c r="B73" s="212" t="s">
        <v>969</v>
      </c>
      <c r="C73" s="204"/>
      <c r="D73" s="204"/>
    </row>
    <row r="74" spans="1:4" ht="55.2" x14ac:dyDescent="0.3">
      <c r="A74" s="24" t="s">
        <v>2311</v>
      </c>
      <c r="B74" s="37" t="s">
        <v>2425</v>
      </c>
      <c r="C74" s="225"/>
      <c r="D74" s="226"/>
    </row>
    <row r="75" spans="1:4" ht="69" x14ac:dyDescent="0.3">
      <c r="A75" s="24" t="s">
        <v>2311</v>
      </c>
      <c r="B75" s="37" t="s">
        <v>2427</v>
      </c>
      <c r="C75" s="225"/>
      <c r="D75" s="226"/>
    </row>
    <row r="76" spans="1:4" ht="41.4" x14ac:dyDescent="0.3">
      <c r="A76" s="24" t="s">
        <v>2311</v>
      </c>
      <c r="B76" s="37" t="s">
        <v>2429</v>
      </c>
      <c r="C76" s="225"/>
      <c r="D76" s="226"/>
    </row>
    <row r="77" spans="1:4" ht="27.6" x14ac:dyDescent="0.3">
      <c r="A77" s="202" t="s">
        <v>2311</v>
      </c>
      <c r="B77" s="212" t="s">
        <v>2230</v>
      </c>
      <c r="C77" s="204"/>
      <c r="D77" s="204"/>
    </row>
    <row r="78" spans="1:4" ht="14.4" x14ac:dyDescent="0.3">
      <c r="A78" s="24" t="s">
        <v>2311</v>
      </c>
      <c r="B78" s="37" t="s">
        <v>2432</v>
      </c>
      <c r="C78" s="225"/>
      <c r="D78" s="226"/>
    </row>
    <row r="79" spans="1:4" ht="41.4" x14ac:dyDescent="0.3">
      <c r="A79" s="24" t="s">
        <v>2311</v>
      </c>
      <c r="B79" s="37" t="s">
        <v>2433</v>
      </c>
      <c r="C79" s="225"/>
      <c r="D79" s="226"/>
    </row>
    <row r="80" spans="1:4" ht="14.4" x14ac:dyDescent="0.3">
      <c r="A80" s="202" t="s">
        <v>2311</v>
      </c>
      <c r="B80" s="212" t="s">
        <v>976</v>
      </c>
      <c r="C80" s="204"/>
      <c r="D80" s="204"/>
    </row>
    <row r="81" spans="1:4" ht="41.4" x14ac:dyDescent="0.3">
      <c r="A81" s="24" t="s">
        <v>2311</v>
      </c>
      <c r="B81" s="37" t="s">
        <v>2434</v>
      </c>
      <c r="C81" s="225"/>
      <c r="D81" s="226"/>
    </row>
    <row r="82" spans="1:4" ht="14.4" x14ac:dyDescent="0.3">
      <c r="A82" s="202" t="s">
        <v>2436</v>
      </c>
      <c r="B82" s="212" t="s">
        <v>1227</v>
      </c>
      <c r="C82" s="204"/>
      <c r="D82" s="204"/>
    </row>
    <row r="83" spans="1:4" ht="14.4" x14ac:dyDescent="0.3">
      <c r="A83" s="202" t="s">
        <v>2436</v>
      </c>
      <c r="B83" s="212" t="s">
        <v>2437</v>
      </c>
      <c r="C83" s="204"/>
      <c r="D83" s="204"/>
    </row>
    <row r="84" spans="1:4" ht="27.6" x14ac:dyDescent="0.3">
      <c r="A84" s="202" t="s">
        <v>2436</v>
      </c>
      <c r="B84" s="212" t="s">
        <v>2261</v>
      </c>
      <c r="C84" s="204"/>
      <c r="D84" s="204"/>
    </row>
    <row r="85" spans="1:4" ht="27.6" x14ac:dyDescent="0.3">
      <c r="A85" s="24" t="s">
        <v>2436</v>
      </c>
      <c r="B85" s="37" t="s">
        <v>2439</v>
      </c>
      <c r="C85" s="225"/>
      <c r="D85" s="226"/>
    </row>
    <row r="86" spans="1:4" ht="27.6" x14ac:dyDescent="0.3">
      <c r="A86" s="24" t="s">
        <v>2436</v>
      </c>
      <c r="B86" s="37" t="s">
        <v>2441</v>
      </c>
      <c r="C86" s="225"/>
      <c r="D86" s="226"/>
    </row>
    <row r="87" spans="1:4" ht="14.4" x14ac:dyDescent="0.3">
      <c r="A87" s="24" t="s">
        <v>2436</v>
      </c>
      <c r="B87" s="37" t="s">
        <v>2443</v>
      </c>
      <c r="C87" s="225"/>
      <c r="D87" s="226"/>
    </row>
    <row r="88" spans="1:4" ht="14.4" x14ac:dyDescent="0.3">
      <c r="A88" s="24" t="s">
        <v>2436</v>
      </c>
      <c r="B88" s="37" t="s">
        <v>2445</v>
      </c>
      <c r="C88" s="225"/>
      <c r="D88" s="226"/>
    </row>
    <row r="89" spans="1:4" ht="27.6" x14ac:dyDescent="0.3">
      <c r="A89" s="24" t="s">
        <v>2436</v>
      </c>
      <c r="B89" s="37" t="s">
        <v>2447</v>
      </c>
      <c r="C89" s="225"/>
      <c r="D89" s="226"/>
    </row>
    <row r="90" spans="1:4" ht="27.6" x14ac:dyDescent="0.3">
      <c r="A90" s="24" t="s">
        <v>2436</v>
      </c>
      <c r="B90" s="37" t="s">
        <v>2449</v>
      </c>
      <c r="C90" s="230"/>
      <c r="D90" s="226"/>
    </row>
    <row r="91" spans="1:4" ht="27.6" x14ac:dyDescent="0.3">
      <c r="A91" s="24" t="s">
        <v>2436</v>
      </c>
      <c r="B91" s="37" t="s">
        <v>2452</v>
      </c>
      <c r="C91" s="225"/>
      <c r="D91" s="226"/>
    </row>
    <row r="92" spans="1:4" ht="41.4" x14ac:dyDescent="0.3">
      <c r="A92" s="24" t="s">
        <v>2436</v>
      </c>
      <c r="B92" s="37" t="s">
        <v>2454</v>
      </c>
      <c r="C92" s="225"/>
      <c r="D92" s="226"/>
    </row>
    <row r="93" spans="1:4" ht="41.4" x14ac:dyDescent="0.3">
      <c r="A93" s="24" t="s">
        <v>2436</v>
      </c>
      <c r="B93" s="37" t="s">
        <v>2455</v>
      </c>
      <c r="C93" s="225"/>
      <c r="D93" s="226"/>
    </row>
    <row r="94" spans="1:4" ht="55.2" x14ac:dyDescent="0.3">
      <c r="A94" s="24" t="s">
        <v>2436</v>
      </c>
      <c r="B94" s="37" t="s">
        <v>2459</v>
      </c>
      <c r="C94" s="225"/>
      <c r="D94" s="226"/>
    </row>
    <row r="95" spans="1:4" ht="27.6" x14ac:dyDescent="0.3">
      <c r="A95" s="24" t="s">
        <v>2436</v>
      </c>
      <c r="B95" s="37" t="s">
        <v>2461</v>
      </c>
      <c r="C95" s="225"/>
      <c r="D95" s="226"/>
    </row>
    <row r="96" spans="1:4" ht="55.2" x14ac:dyDescent="0.3">
      <c r="A96" s="24" t="s">
        <v>2436</v>
      </c>
      <c r="B96" s="37" t="s">
        <v>2462</v>
      </c>
      <c r="C96" s="225"/>
      <c r="D96" s="226"/>
    </row>
    <row r="97" spans="1:4" ht="27.6" x14ac:dyDescent="0.3">
      <c r="A97" s="24" t="s">
        <v>2436</v>
      </c>
      <c r="B97" s="37" t="s">
        <v>2465</v>
      </c>
      <c r="C97" s="225"/>
      <c r="D97" s="226"/>
    </row>
    <row r="98" spans="1:4" ht="41.4" x14ac:dyDescent="0.3">
      <c r="A98" s="24" t="s">
        <v>2436</v>
      </c>
      <c r="B98" s="37" t="s">
        <v>2467</v>
      </c>
      <c r="C98" s="230"/>
      <c r="D98" s="226"/>
    </row>
    <row r="99" spans="1:4" ht="14.4" x14ac:dyDescent="0.3">
      <c r="A99" s="24" t="s">
        <v>2436</v>
      </c>
      <c r="B99" s="37" t="s">
        <v>2469</v>
      </c>
      <c r="C99" s="225"/>
      <c r="D99" s="226"/>
    </row>
    <row r="100" spans="1:4" ht="27.6" x14ac:dyDescent="0.3">
      <c r="A100" s="24" t="s">
        <v>2436</v>
      </c>
      <c r="B100" s="37" t="s">
        <v>2470</v>
      </c>
      <c r="C100" s="225"/>
      <c r="D100" s="226"/>
    </row>
    <row r="101" spans="1:4" ht="14.4" x14ac:dyDescent="0.3">
      <c r="A101" s="24" t="s">
        <v>2436</v>
      </c>
      <c r="B101" s="37" t="s">
        <v>2471</v>
      </c>
      <c r="C101" s="225"/>
      <c r="D101" s="226"/>
    </row>
    <row r="102" spans="1:4" ht="14.4" x14ac:dyDescent="0.3">
      <c r="A102" s="24" t="s">
        <v>2436</v>
      </c>
      <c r="B102" s="37" t="s">
        <v>2474</v>
      </c>
      <c r="C102" s="230"/>
      <c r="D102" s="226"/>
    </row>
    <row r="103" spans="1:4" ht="14.4" x14ac:dyDescent="0.3">
      <c r="A103" s="202" t="s">
        <v>2436</v>
      </c>
      <c r="B103" s="212" t="s">
        <v>2346</v>
      </c>
      <c r="C103" s="204"/>
      <c r="D103" s="204"/>
    </row>
    <row r="104" spans="1:4" ht="14.4" x14ac:dyDescent="0.3">
      <c r="A104" s="24" t="s">
        <v>2436</v>
      </c>
      <c r="B104" s="37" t="s">
        <v>2476</v>
      </c>
      <c r="C104" s="225"/>
      <c r="D104" s="226"/>
    </row>
    <row r="105" spans="1:4" ht="14.4" x14ac:dyDescent="0.3">
      <c r="A105" s="24" t="s">
        <v>2436</v>
      </c>
      <c r="B105" s="37" t="s">
        <v>2478</v>
      </c>
      <c r="C105" s="225"/>
      <c r="D105" s="226"/>
    </row>
    <row r="106" spans="1:4" ht="14.4" x14ac:dyDescent="0.3">
      <c r="A106" s="24" t="s">
        <v>2436</v>
      </c>
      <c r="B106" s="37" t="s">
        <v>2481</v>
      </c>
      <c r="C106" s="225"/>
      <c r="D106" s="226"/>
    </row>
    <row r="107" spans="1:4" ht="27.6" x14ac:dyDescent="0.3">
      <c r="A107" s="24" t="s">
        <v>2436</v>
      </c>
      <c r="B107" s="37" t="s">
        <v>2482</v>
      </c>
      <c r="C107" s="230"/>
      <c r="D107" s="226"/>
    </row>
    <row r="108" spans="1:4" ht="14.4" x14ac:dyDescent="0.3">
      <c r="A108" s="202" t="s">
        <v>2436</v>
      </c>
      <c r="B108" s="212" t="s">
        <v>2286</v>
      </c>
      <c r="C108" s="204"/>
      <c r="D108" s="204"/>
    </row>
    <row r="109" spans="1:4" ht="14.4" x14ac:dyDescent="0.3">
      <c r="A109" s="202" t="s">
        <v>2436</v>
      </c>
      <c r="B109" s="212" t="s">
        <v>2287</v>
      </c>
      <c r="C109" s="204"/>
      <c r="D109" s="204"/>
    </row>
    <row r="110" spans="1:4" ht="14.4" x14ac:dyDescent="0.3">
      <c r="A110" s="202" t="s">
        <v>2436</v>
      </c>
      <c r="B110" s="212" t="s">
        <v>2288</v>
      </c>
      <c r="C110" s="204"/>
      <c r="D110" s="204"/>
    </row>
    <row r="111" spans="1:4" ht="14.4" x14ac:dyDescent="0.3">
      <c r="A111" s="24" t="s">
        <v>2436</v>
      </c>
      <c r="B111" s="37" t="s">
        <v>2355</v>
      </c>
      <c r="C111" s="225"/>
      <c r="D111" s="226"/>
    </row>
    <row r="112" spans="1:4" ht="14.4" x14ac:dyDescent="0.3">
      <c r="A112" s="202" t="s">
        <v>2491</v>
      </c>
      <c r="B112" s="212" t="s">
        <v>1227</v>
      </c>
      <c r="C112" s="204"/>
      <c r="D112" s="204"/>
    </row>
    <row r="113" spans="1:4" ht="14.4" x14ac:dyDescent="0.3">
      <c r="A113" s="202" t="s">
        <v>2491</v>
      </c>
      <c r="B113" s="212" t="s">
        <v>2313</v>
      </c>
      <c r="C113" s="204"/>
      <c r="D113" s="204"/>
    </row>
    <row r="114" spans="1:4" ht="27.6" x14ac:dyDescent="0.3">
      <c r="A114" s="202" t="s">
        <v>2491</v>
      </c>
      <c r="B114" s="212" t="s">
        <v>2290</v>
      </c>
      <c r="C114" s="204"/>
      <c r="D114" s="204"/>
    </row>
    <row r="115" spans="1:4" ht="27.6" x14ac:dyDescent="0.3">
      <c r="A115" s="24" t="s">
        <v>2491</v>
      </c>
      <c r="B115" s="37" t="s">
        <v>2494</v>
      </c>
      <c r="C115" s="225"/>
      <c r="D115" s="226"/>
    </row>
    <row r="116" spans="1:4" ht="14.4" x14ac:dyDescent="0.3">
      <c r="A116" s="24" t="s">
        <v>2491</v>
      </c>
      <c r="B116" s="37" t="s">
        <v>2496</v>
      </c>
      <c r="C116" s="225"/>
      <c r="D116" s="226"/>
    </row>
    <row r="117" spans="1:4" ht="55.2" x14ac:dyDescent="0.3">
      <c r="A117" s="24" t="s">
        <v>2491</v>
      </c>
      <c r="B117" s="37" t="s">
        <v>2499</v>
      </c>
      <c r="C117" s="225"/>
      <c r="D117" s="226"/>
    </row>
    <row r="118" spans="1:4" ht="55.2" x14ac:dyDescent="0.3">
      <c r="A118" s="24" t="s">
        <v>2491</v>
      </c>
      <c r="B118" s="37" t="s">
        <v>2501</v>
      </c>
      <c r="C118" s="225"/>
      <c r="D118" s="226"/>
    </row>
    <row r="119" spans="1:4" ht="14.4" x14ac:dyDescent="0.3">
      <c r="A119" s="202" t="s">
        <v>2491</v>
      </c>
      <c r="B119" s="212" t="s">
        <v>2503</v>
      </c>
      <c r="C119" s="204"/>
      <c r="D119" s="204"/>
    </row>
    <row r="120" spans="1:4" ht="14.4" x14ac:dyDescent="0.3">
      <c r="A120" s="24" t="s">
        <v>2491</v>
      </c>
      <c r="B120" s="37" t="s">
        <v>2505</v>
      </c>
      <c r="C120" s="225"/>
      <c r="D120" s="226"/>
    </row>
    <row r="121" spans="1:4" ht="14.4" x14ac:dyDescent="0.3">
      <c r="A121" s="24" t="s">
        <v>2491</v>
      </c>
      <c r="B121" s="37" t="s">
        <v>2507</v>
      </c>
      <c r="C121" s="225"/>
      <c r="D121" s="226"/>
    </row>
    <row r="122" spans="1:4" ht="14.4" x14ac:dyDescent="0.3">
      <c r="A122" s="24" t="s">
        <v>2491</v>
      </c>
      <c r="B122" s="37" t="s">
        <v>2509</v>
      </c>
      <c r="C122" s="225"/>
      <c r="D122" s="226"/>
    </row>
    <row r="123" spans="1:4" ht="27.6" x14ac:dyDescent="0.3">
      <c r="A123" s="24" t="s">
        <v>2491</v>
      </c>
      <c r="B123" s="37" t="s">
        <v>2511</v>
      </c>
      <c r="C123" s="225"/>
      <c r="D123" s="226"/>
    </row>
    <row r="124" spans="1:4" ht="27.6" x14ac:dyDescent="0.3">
      <c r="A124" s="24" t="s">
        <v>2491</v>
      </c>
      <c r="B124" s="37" t="s">
        <v>2513</v>
      </c>
      <c r="C124" s="225"/>
      <c r="D124" s="226"/>
    </row>
    <row r="125" spans="1:4" ht="14.4" x14ac:dyDescent="0.3">
      <c r="A125" s="24" t="s">
        <v>2491</v>
      </c>
      <c r="B125" s="37" t="s">
        <v>2514</v>
      </c>
      <c r="C125" s="225"/>
      <c r="D125" s="226"/>
    </row>
    <row r="126" spans="1:4" ht="14.4" x14ac:dyDescent="0.3">
      <c r="A126" s="24" t="s">
        <v>2491</v>
      </c>
      <c r="B126" s="37" t="s">
        <v>2515</v>
      </c>
      <c r="C126" s="230"/>
      <c r="D126" s="226"/>
    </row>
    <row r="127" spans="1:4" ht="27.6" x14ac:dyDescent="0.3">
      <c r="A127" s="24" t="s">
        <v>2491</v>
      </c>
      <c r="B127" s="37" t="s">
        <v>2517</v>
      </c>
      <c r="C127" s="225"/>
      <c r="D127" s="226"/>
    </row>
    <row r="128" spans="1:4" ht="27.6" x14ac:dyDescent="0.3">
      <c r="A128" s="202" t="s">
        <v>2491</v>
      </c>
      <c r="B128" s="212" t="s">
        <v>2306</v>
      </c>
      <c r="C128" s="204"/>
      <c r="D128" s="204"/>
    </row>
    <row r="129" spans="1:4" ht="27.6" x14ac:dyDescent="0.3">
      <c r="A129" s="24" t="s">
        <v>2491</v>
      </c>
      <c r="B129" s="37" t="s">
        <v>2518</v>
      </c>
      <c r="C129" s="225"/>
      <c r="D129" s="226"/>
    </row>
    <row r="130" spans="1:4" ht="41.4" x14ac:dyDescent="0.3">
      <c r="A130" s="24" t="s">
        <v>2491</v>
      </c>
      <c r="B130" s="37" t="s">
        <v>2519</v>
      </c>
      <c r="C130" s="225"/>
      <c r="D130" s="226"/>
    </row>
    <row r="131" spans="1:4" ht="41.4" x14ac:dyDescent="0.3">
      <c r="A131" s="24" t="s">
        <v>2491</v>
      </c>
      <c r="B131" s="37" t="s">
        <v>2520</v>
      </c>
      <c r="C131" s="225"/>
      <c r="D131" s="226"/>
    </row>
    <row r="132" spans="1:4" ht="14.4" x14ac:dyDescent="0.3">
      <c r="A132" s="24" t="s">
        <v>2491</v>
      </c>
      <c r="B132" s="37" t="s">
        <v>2521</v>
      </c>
      <c r="C132" s="230"/>
      <c r="D132" s="226"/>
    </row>
    <row r="133" spans="1:4" ht="14.4" x14ac:dyDescent="0.3">
      <c r="A133" s="24" t="s">
        <v>2491</v>
      </c>
      <c r="B133" s="37" t="s">
        <v>2522</v>
      </c>
      <c r="C133" s="225"/>
      <c r="D133" s="226"/>
    </row>
    <row r="134" spans="1:4" ht="14.4" x14ac:dyDescent="0.3">
      <c r="A134" s="24" t="s">
        <v>2491</v>
      </c>
      <c r="B134" s="37" t="s">
        <v>2523</v>
      </c>
      <c r="C134" s="225"/>
      <c r="D134" s="226"/>
    </row>
    <row r="135" spans="1:4" ht="14.4" x14ac:dyDescent="0.3">
      <c r="A135" s="24" t="s">
        <v>2491</v>
      </c>
      <c r="B135" s="37" t="s">
        <v>2524</v>
      </c>
      <c r="C135" s="225"/>
      <c r="D135" s="226"/>
    </row>
    <row r="136" spans="1:4" ht="14.4" x14ac:dyDescent="0.3">
      <c r="A136" s="24" t="s">
        <v>2491</v>
      </c>
      <c r="B136" s="37" t="s">
        <v>2525</v>
      </c>
      <c r="C136" s="225"/>
      <c r="D136" s="226"/>
    </row>
    <row r="137" spans="1:4" ht="14.4" x14ac:dyDescent="0.3">
      <c r="A137" s="24" t="s">
        <v>2491</v>
      </c>
      <c r="B137" s="37" t="s">
        <v>2526</v>
      </c>
      <c r="C137" s="230"/>
      <c r="D137" s="226"/>
    </row>
    <row r="138" spans="1:4" ht="14.4" x14ac:dyDescent="0.3">
      <c r="A138" s="24" t="s">
        <v>2491</v>
      </c>
      <c r="B138" s="37" t="s">
        <v>2527</v>
      </c>
      <c r="C138" s="225"/>
      <c r="D138" s="226"/>
    </row>
    <row r="139" spans="1:4" ht="14.4" x14ac:dyDescent="0.3">
      <c r="A139" s="24" t="s">
        <v>2491</v>
      </c>
      <c r="B139" s="37" t="s">
        <v>2528</v>
      </c>
      <c r="C139" s="225"/>
      <c r="D139" s="226"/>
    </row>
    <row r="140" spans="1:4" ht="14.4" x14ac:dyDescent="0.3">
      <c r="A140" s="24" t="s">
        <v>2491</v>
      </c>
      <c r="B140" s="37" t="s">
        <v>2529</v>
      </c>
      <c r="C140" s="225"/>
      <c r="D140" s="226"/>
    </row>
    <row r="141" spans="1:4" ht="14.4" x14ac:dyDescent="0.3">
      <c r="A141" s="24" t="s">
        <v>2491</v>
      </c>
      <c r="B141" s="37" t="s">
        <v>2530</v>
      </c>
      <c r="C141" s="225"/>
      <c r="D141" s="226"/>
    </row>
    <row r="142" spans="1:4" ht="14.4" x14ac:dyDescent="0.3">
      <c r="A142" s="24" t="s">
        <v>2491</v>
      </c>
      <c r="B142" s="37" t="s">
        <v>2531</v>
      </c>
      <c r="C142" s="225"/>
      <c r="D142" s="226"/>
    </row>
    <row r="143" spans="1:4" ht="14.4" x14ac:dyDescent="0.3">
      <c r="A143" s="202" t="s">
        <v>2491</v>
      </c>
      <c r="B143" s="212" t="s">
        <v>428</v>
      </c>
      <c r="C143" s="204"/>
      <c r="D143" s="204"/>
    </row>
    <row r="144" spans="1:4" ht="14.4" x14ac:dyDescent="0.3">
      <c r="A144" s="202" t="s">
        <v>2491</v>
      </c>
      <c r="B144" s="212" t="s">
        <v>2292</v>
      </c>
      <c r="C144" s="204"/>
      <c r="D144" s="204"/>
    </row>
    <row r="145" spans="1:4" ht="14.4" x14ac:dyDescent="0.3">
      <c r="A145" s="202" t="s">
        <v>2491</v>
      </c>
      <c r="B145" s="212" t="s">
        <v>2326</v>
      </c>
      <c r="C145" s="204"/>
      <c r="D145" s="204"/>
    </row>
    <row r="146" spans="1:4" ht="14.4" x14ac:dyDescent="0.3">
      <c r="A146" s="24" t="s">
        <v>2491</v>
      </c>
      <c r="B146" s="37" t="s">
        <v>1285</v>
      </c>
      <c r="C146" s="230"/>
      <c r="D146" s="226"/>
    </row>
    <row r="147" spans="1:4" ht="14.4" x14ac:dyDescent="0.3">
      <c r="A147" s="202" t="s">
        <v>2491</v>
      </c>
      <c r="B147" s="212" t="s">
        <v>922</v>
      </c>
      <c r="C147" s="204"/>
      <c r="D147" s="204"/>
    </row>
    <row r="148" spans="1:4" ht="14.4" x14ac:dyDescent="0.3">
      <c r="A148" s="202" t="s">
        <v>2491</v>
      </c>
      <c r="B148" s="212" t="s">
        <v>2386</v>
      </c>
      <c r="C148" s="204"/>
      <c r="D148" s="204"/>
    </row>
    <row r="149" spans="1:4" ht="27.6" x14ac:dyDescent="0.3">
      <c r="A149" s="202" t="s">
        <v>2491</v>
      </c>
      <c r="B149" s="212" t="s">
        <v>2290</v>
      </c>
      <c r="C149" s="204"/>
      <c r="D149" s="204"/>
    </row>
    <row r="150" spans="1:4" ht="27.6" x14ac:dyDescent="0.3">
      <c r="A150" s="24" t="s">
        <v>2491</v>
      </c>
      <c r="B150" s="37" t="s">
        <v>2532</v>
      </c>
      <c r="C150" s="225"/>
      <c r="D150" s="226"/>
    </row>
    <row r="151" spans="1:4" ht="14.4" x14ac:dyDescent="0.3">
      <c r="A151" s="24" t="s">
        <v>2491</v>
      </c>
      <c r="B151" s="37" t="s">
        <v>2533</v>
      </c>
      <c r="C151" s="225"/>
      <c r="D151" s="226"/>
    </row>
    <row r="152" spans="1:4" ht="14.4" x14ac:dyDescent="0.3">
      <c r="A152" s="24" t="s">
        <v>2491</v>
      </c>
      <c r="B152" s="37" t="s">
        <v>2534</v>
      </c>
      <c r="C152" s="225"/>
      <c r="D152" s="226"/>
    </row>
    <row r="153" spans="1:4" ht="27.6" x14ac:dyDescent="0.3">
      <c r="A153" s="24" t="s">
        <v>2491</v>
      </c>
      <c r="B153" s="37" t="s">
        <v>2535</v>
      </c>
      <c r="C153" s="225"/>
      <c r="D153" s="226"/>
    </row>
    <row r="154" spans="1:4" ht="27.6" x14ac:dyDescent="0.3">
      <c r="A154" s="202" t="s">
        <v>2491</v>
      </c>
      <c r="B154" s="212" t="s">
        <v>2306</v>
      </c>
      <c r="C154" s="204"/>
      <c r="D154" s="204"/>
    </row>
    <row r="155" spans="1:4" ht="41.4" x14ac:dyDescent="0.3">
      <c r="A155" s="24" t="s">
        <v>2491</v>
      </c>
      <c r="B155" s="37" t="s">
        <v>2536</v>
      </c>
      <c r="C155" s="230"/>
      <c r="D155" s="226"/>
    </row>
    <row r="156" spans="1:4" ht="14.4" x14ac:dyDescent="0.3">
      <c r="A156" s="24" t="s">
        <v>2491</v>
      </c>
      <c r="B156" s="37" t="s">
        <v>2537</v>
      </c>
      <c r="C156" s="225"/>
      <c r="D156" s="226"/>
    </row>
    <row r="157" spans="1:4" ht="14.4" x14ac:dyDescent="0.3">
      <c r="A157" s="24" t="s">
        <v>2491</v>
      </c>
      <c r="B157" s="37" t="s">
        <v>2538</v>
      </c>
      <c r="C157" s="225"/>
      <c r="D157" s="226"/>
    </row>
    <row r="158" spans="1:4" ht="14.4" x14ac:dyDescent="0.3">
      <c r="A158" s="24" t="s">
        <v>2491</v>
      </c>
      <c r="B158" s="37" t="s">
        <v>2539</v>
      </c>
      <c r="C158" s="225"/>
      <c r="D158" s="226"/>
    </row>
    <row r="159" spans="1:4" ht="27.6" x14ac:dyDescent="0.3">
      <c r="A159" s="24" t="s">
        <v>2491</v>
      </c>
      <c r="B159" s="37" t="s">
        <v>2540</v>
      </c>
      <c r="C159" s="225"/>
      <c r="D159" s="226"/>
    </row>
    <row r="160" spans="1:4" ht="14.4" x14ac:dyDescent="0.3">
      <c r="A160" s="202" t="s">
        <v>2541</v>
      </c>
      <c r="B160" s="212" t="s">
        <v>1227</v>
      </c>
      <c r="C160" s="204"/>
      <c r="D160" s="204"/>
    </row>
    <row r="161" spans="1:4" ht="14.4" x14ac:dyDescent="0.3">
      <c r="A161" s="202" t="s">
        <v>2541</v>
      </c>
      <c r="B161" s="212" t="s">
        <v>2437</v>
      </c>
      <c r="C161" s="204"/>
      <c r="D161" s="204"/>
    </row>
    <row r="162" spans="1:4" ht="27.6" x14ac:dyDescent="0.3">
      <c r="A162" s="202" t="s">
        <v>2541</v>
      </c>
      <c r="B162" s="212" t="s">
        <v>2357</v>
      </c>
      <c r="C162" s="204"/>
      <c r="D162" s="204"/>
    </row>
    <row r="163" spans="1:4" ht="27.6" x14ac:dyDescent="0.3">
      <c r="A163" s="24" t="s">
        <v>2541</v>
      </c>
      <c r="B163" s="37" t="s">
        <v>2542</v>
      </c>
      <c r="C163" s="225"/>
      <c r="D163" s="226"/>
    </row>
    <row r="164" spans="1:4" ht="14.4" x14ac:dyDescent="0.3">
      <c r="A164" s="24" t="s">
        <v>2541</v>
      </c>
      <c r="B164" s="37" t="s">
        <v>2543</v>
      </c>
      <c r="C164" s="225"/>
      <c r="D164" s="226"/>
    </row>
    <row r="165" spans="1:4" ht="14.4" x14ac:dyDescent="0.3">
      <c r="A165" s="24" t="s">
        <v>2541</v>
      </c>
      <c r="B165" s="231" t="s">
        <v>2544</v>
      </c>
      <c r="C165" s="232"/>
      <c r="D165" s="228"/>
    </row>
    <row r="166" spans="1:4" ht="27.6" x14ac:dyDescent="0.3">
      <c r="A166" s="24" t="s">
        <v>2541</v>
      </c>
      <c r="B166" s="37" t="s">
        <v>2545</v>
      </c>
      <c r="C166" s="225"/>
      <c r="D166" s="226"/>
    </row>
    <row r="167" spans="1:4" ht="14.4" x14ac:dyDescent="0.3">
      <c r="A167" s="202" t="s">
        <v>2541</v>
      </c>
      <c r="B167" s="212" t="s">
        <v>428</v>
      </c>
      <c r="C167" s="204"/>
      <c r="D167" s="204"/>
    </row>
    <row r="168" spans="1:4" ht="14.4" x14ac:dyDescent="0.3">
      <c r="A168" s="202" t="s">
        <v>2541</v>
      </c>
      <c r="B168" s="212" t="s">
        <v>2292</v>
      </c>
      <c r="C168" s="204"/>
      <c r="D168" s="204"/>
    </row>
    <row r="169" spans="1:4" ht="14.4" x14ac:dyDescent="0.3">
      <c r="A169" s="202" t="s">
        <v>2541</v>
      </c>
      <c r="B169" s="212" t="s">
        <v>2368</v>
      </c>
      <c r="C169" s="204"/>
      <c r="D169" s="204"/>
    </row>
    <row r="170" spans="1:4" ht="14.4" x14ac:dyDescent="0.3">
      <c r="A170" s="24" t="s">
        <v>2541</v>
      </c>
      <c r="B170" s="37" t="s">
        <v>2546</v>
      </c>
      <c r="C170" s="232"/>
      <c r="D170" s="226"/>
    </row>
    <row r="171" spans="1:4" ht="14.4" x14ac:dyDescent="0.3">
      <c r="A171" s="202" t="s">
        <v>2547</v>
      </c>
      <c r="B171" s="212" t="s">
        <v>1227</v>
      </c>
      <c r="C171" s="204"/>
      <c r="D171" s="204"/>
    </row>
    <row r="172" spans="1:4" ht="14.4" x14ac:dyDescent="0.3">
      <c r="A172" s="202" t="s">
        <v>2547</v>
      </c>
      <c r="B172" s="212" t="s">
        <v>2437</v>
      </c>
      <c r="C172" s="204"/>
      <c r="D172" s="204"/>
    </row>
    <row r="173" spans="1:4" ht="27.6" x14ac:dyDescent="0.3">
      <c r="A173" s="202" t="s">
        <v>2547</v>
      </c>
      <c r="B173" s="212" t="s">
        <v>2357</v>
      </c>
      <c r="C173" s="204"/>
      <c r="D173" s="204"/>
    </row>
    <row r="174" spans="1:4" ht="27.6" x14ac:dyDescent="0.3">
      <c r="A174" s="24" t="s">
        <v>2547</v>
      </c>
      <c r="B174" s="37" t="s">
        <v>2548</v>
      </c>
      <c r="C174" s="225"/>
      <c r="D174" s="226"/>
    </row>
    <row r="175" spans="1:4" ht="27.6" x14ac:dyDescent="0.3">
      <c r="A175" s="24" t="s">
        <v>2547</v>
      </c>
      <c r="B175" s="37" t="s">
        <v>2549</v>
      </c>
      <c r="C175" s="225"/>
      <c r="D175" s="226"/>
    </row>
    <row r="176" spans="1:4" ht="14.4" x14ac:dyDescent="0.3">
      <c r="A176" s="24" t="s">
        <v>2547</v>
      </c>
      <c r="B176" s="37" t="s">
        <v>2550</v>
      </c>
      <c r="C176" s="225"/>
      <c r="D176" s="226"/>
    </row>
    <row r="177" spans="1:4" ht="27.6" x14ac:dyDescent="0.3">
      <c r="A177" s="24" t="s">
        <v>2547</v>
      </c>
      <c r="B177" s="37" t="s">
        <v>2551</v>
      </c>
      <c r="C177" s="225"/>
      <c r="D177" s="226"/>
    </row>
    <row r="178" spans="1:4" ht="14.4" x14ac:dyDescent="0.3">
      <c r="A178" s="24" t="s">
        <v>2547</v>
      </c>
      <c r="B178" s="37" t="s">
        <v>2552</v>
      </c>
      <c r="C178" s="225"/>
      <c r="D178" s="226"/>
    </row>
    <row r="179" spans="1:4" ht="14.4" x14ac:dyDescent="0.3">
      <c r="A179" s="24" t="s">
        <v>2547</v>
      </c>
      <c r="B179" s="37" t="s">
        <v>2553</v>
      </c>
      <c r="C179" s="225"/>
      <c r="D179" s="226"/>
    </row>
    <row r="180" spans="1:4" ht="14.4" x14ac:dyDescent="0.3">
      <c r="A180" s="24" t="s">
        <v>2547</v>
      </c>
      <c r="B180" s="37" t="s">
        <v>2554</v>
      </c>
      <c r="C180" s="225"/>
      <c r="D180" s="226"/>
    </row>
    <row r="181" spans="1:4" ht="14.4" x14ac:dyDescent="0.3">
      <c r="A181" s="24" t="s">
        <v>2547</v>
      </c>
      <c r="B181" s="37" t="s">
        <v>2555</v>
      </c>
      <c r="C181" s="225"/>
      <c r="D181" s="226"/>
    </row>
    <row r="182" spans="1:4" ht="14.4" x14ac:dyDescent="0.3">
      <c r="A182" s="24" t="s">
        <v>2547</v>
      </c>
      <c r="B182" s="37" t="s">
        <v>2556</v>
      </c>
      <c r="C182" s="225"/>
      <c r="D182" s="226"/>
    </row>
    <row r="183" spans="1:4" ht="14.4" x14ac:dyDescent="0.3">
      <c r="A183" s="24" t="s">
        <v>2547</v>
      </c>
      <c r="B183" s="37" t="s">
        <v>2557</v>
      </c>
      <c r="C183" s="225"/>
      <c r="D183" s="226"/>
    </row>
    <row r="184" spans="1:4" ht="14.4" x14ac:dyDescent="0.3">
      <c r="A184" s="24" t="s">
        <v>2547</v>
      </c>
      <c r="B184" s="37" t="s">
        <v>2558</v>
      </c>
      <c r="C184" s="225"/>
      <c r="D184" s="226"/>
    </row>
    <row r="185" spans="1:4" ht="14.4" x14ac:dyDescent="0.3">
      <c r="A185" s="24" t="s">
        <v>2547</v>
      </c>
      <c r="B185" s="37" t="s">
        <v>2559</v>
      </c>
      <c r="C185" s="225"/>
      <c r="D185" s="226"/>
    </row>
    <row r="186" spans="1:4" ht="14.4" x14ac:dyDescent="0.3">
      <c r="A186" s="24" t="s">
        <v>2547</v>
      </c>
      <c r="B186" s="37" t="s">
        <v>2560</v>
      </c>
      <c r="C186" s="225"/>
      <c r="D186" s="226"/>
    </row>
    <row r="187" spans="1:4" ht="14.4" x14ac:dyDescent="0.3">
      <c r="A187" s="24" t="s">
        <v>2547</v>
      </c>
      <c r="B187" s="37" t="s">
        <v>2561</v>
      </c>
      <c r="C187" s="225"/>
      <c r="D187" s="226"/>
    </row>
    <row r="188" spans="1:4" ht="14.4" x14ac:dyDescent="0.3">
      <c r="A188" s="24" t="s">
        <v>2547</v>
      </c>
      <c r="B188" s="37" t="s">
        <v>2562</v>
      </c>
      <c r="C188" s="225"/>
      <c r="D188" s="226"/>
    </row>
    <row r="189" spans="1:4" ht="14.4" x14ac:dyDescent="0.3">
      <c r="A189" s="24" t="s">
        <v>2547</v>
      </c>
      <c r="B189" s="37" t="s">
        <v>2563</v>
      </c>
      <c r="C189" s="225"/>
      <c r="D189" s="226"/>
    </row>
    <row r="190" spans="1:4" ht="27.6" x14ac:dyDescent="0.3">
      <c r="A190" s="24" t="s">
        <v>2547</v>
      </c>
      <c r="B190" s="37" t="s">
        <v>2564</v>
      </c>
      <c r="C190" s="225"/>
      <c r="D190" s="226"/>
    </row>
    <row r="191" spans="1:4" ht="14.4" x14ac:dyDescent="0.3">
      <c r="A191" s="24" t="s">
        <v>2547</v>
      </c>
      <c r="B191" s="37" t="s">
        <v>2565</v>
      </c>
      <c r="C191" s="225"/>
      <c r="D191" s="226"/>
    </row>
    <row r="192" spans="1:4" ht="27.6" x14ac:dyDescent="0.3">
      <c r="A192" s="24" t="s">
        <v>2547</v>
      </c>
      <c r="B192" s="37" t="s">
        <v>2566</v>
      </c>
      <c r="C192" s="225"/>
      <c r="D192" s="226"/>
    </row>
    <row r="193" spans="1:4" ht="27.6" x14ac:dyDescent="0.3">
      <c r="A193" s="24" t="s">
        <v>2547</v>
      </c>
      <c r="B193" s="37" t="s">
        <v>2567</v>
      </c>
      <c r="C193" s="225"/>
      <c r="D193" s="226"/>
    </row>
    <row r="194" spans="1:4" ht="14.4" x14ac:dyDescent="0.3">
      <c r="A194" s="24" t="s">
        <v>2547</v>
      </c>
      <c r="B194" s="37" t="s">
        <v>2568</v>
      </c>
      <c r="C194" s="225"/>
      <c r="D194" s="226"/>
    </row>
    <row r="195" spans="1:4" ht="55.2" x14ac:dyDescent="0.3">
      <c r="A195" s="202" t="s">
        <v>2547</v>
      </c>
      <c r="B195" s="212" t="s">
        <v>2569</v>
      </c>
      <c r="C195" s="204"/>
      <c r="D195" s="204"/>
    </row>
    <row r="196" spans="1:4" ht="27.6" x14ac:dyDescent="0.3">
      <c r="A196" s="24" t="s">
        <v>2547</v>
      </c>
      <c r="B196" s="37" t="s">
        <v>2570</v>
      </c>
      <c r="C196" s="225"/>
      <c r="D196" s="226"/>
    </row>
    <row r="197" spans="1:4" ht="14.4" x14ac:dyDescent="0.3">
      <c r="A197" s="24" t="s">
        <v>2547</v>
      </c>
      <c r="B197" s="37" t="s">
        <v>2571</v>
      </c>
      <c r="C197" s="225"/>
      <c r="D197" s="226"/>
    </row>
    <row r="198" spans="1:4" ht="27.6" x14ac:dyDescent="0.3">
      <c r="A198" s="24" t="s">
        <v>2547</v>
      </c>
      <c r="B198" s="37" t="s">
        <v>2572</v>
      </c>
      <c r="C198" s="225"/>
      <c r="D198" s="226"/>
    </row>
    <row r="199" spans="1:4" ht="14.4" x14ac:dyDescent="0.3">
      <c r="A199" s="24" t="s">
        <v>2547</v>
      </c>
      <c r="B199" s="37" t="s">
        <v>2573</v>
      </c>
      <c r="C199" s="225"/>
      <c r="D199" s="226"/>
    </row>
    <row r="200" spans="1:4" ht="14.4" x14ac:dyDescent="0.3">
      <c r="A200" s="24" t="s">
        <v>2547</v>
      </c>
      <c r="B200" s="37" t="s">
        <v>2574</v>
      </c>
      <c r="C200" s="225"/>
      <c r="D200" s="226"/>
    </row>
    <row r="201" spans="1:4" ht="14.4" x14ac:dyDescent="0.3">
      <c r="A201" s="24" t="s">
        <v>2547</v>
      </c>
      <c r="B201" s="37" t="s">
        <v>2575</v>
      </c>
      <c r="C201" s="225"/>
      <c r="D201" s="226"/>
    </row>
    <row r="202" spans="1:4" ht="27.6" x14ac:dyDescent="0.3">
      <c r="A202" s="24" t="s">
        <v>2547</v>
      </c>
      <c r="B202" s="37" t="s">
        <v>2576</v>
      </c>
      <c r="C202" s="225"/>
      <c r="D202" s="226"/>
    </row>
    <row r="203" spans="1:4" ht="14.4" x14ac:dyDescent="0.3">
      <c r="A203" s="24" t="s">
        <v>2547</v>
      </c>
      <c r="B203" s="37" t="s">
        <v>2577</v>
      </c>
      <c r="C203" s="225"/>
      <c r="D203" s="226"/>
    </row>
    <row r="204" spans="1:4" ht="14.4" x14ac:dyDescent="0.3">
      <c r="A204" s="24" t="s">
        <v>2547</v>
      </c>
      <c r="B204" s="37" t="s">
        <v>2578</v>
      </c>
      <c r="C204" s="225"/>
      <c r="D204" s="226"/>
    </row>
    <row r="205" spans="1:4" ht="14.4" x14ac:dyDescent="0.3">
      <c r="A205" s="24" t="s">
        <v>2547</v>
      </c>
      <c r="B205" s="37" t="s">
        <v>2579</v>
      </c>
      <c r="C205" s="225"/>
      <c r="D205" s="226"/>
    </row>
    <row r="206" spans="1:4" ht="27.6" x14ac:dyDescent="0.3">
      <c r="A206" s="24" t="s">
        <v>2547</v>
      </c>
      <c r="B206" s="37" t="s">
        <v>2580</v>
      </c>
      <c r="C206" s="225"/>
      <c r="D206" s="226"/>
    </row>
    <row r="207" spans="1:4" ht="14.4" x14ac:dyDescent="0.3">
      <c r="A207" s="202" t="s">
        <v>2547</v>
      </c>
      <c r="B207" s="212" t="s">
        <v>428</v>
      </c>
      <c r="C207" s="204"/>
      <c r="D207" s="204"/>
    </row>
    <row r="208" spans="1:4" ht="14.4" x14ac:dyDescent="0.3">
      <c r="A208" s="202" t="s">
        <v>2547</v>
      </c>
      <c r="B208" s="212" t="s">
        <v>2292</v>
      </c>
      <c r="C208" s="204"/>
      <c r="D208" s="204"/>
    </row>
    <row r="209" spans="1:4" ht="14.4" x14ac:dyDescent="0.3">
      <c r="A209" s="202" t="s">
        <v>2547</v>
      </c>
      <c r="B209" s="212" t="s">
        <v>2368</v>
      </c>
      <c r="C209" s="204"/>
      <c r="D209" s="204"/>
    </row>
    <row r="210" spans="1:4" ht="14.4" x14ac:dyDescent="0.3">
      <c r="A210" s="24" t="s">
        <v>2547</v>
      </c>
      <c r="B210" s="37" t="s">
        <v>2463</v>
      </c>
      <c r="C210" s="225"/>
      <c r="D210" s="226"/>
    </row>
    <row r="211" spans="1:4" ht="14.4" x14ac:dyDescent="0.3">
      <c r="A211" s="202" t="s">
        <v>2581</v>
      </c>
      <c r="B211" s="212" t="s">
        <v>1227</v>
      </c>
      <c r="C211" s="204"/>
      <c r="D211" s="204"/>
    </row>
    <row r="212" spans="1:4" ht="14.4" x14ac:dyDescent="0.3">
      <c r="A212" s="202" t="s">
        <v>2581</v>
      </c>
      <c r="B212" s="212" t="s">
        <v>2582</v>
      </c>
      <c r="C212" s="204"/>
      <c r="D212" s="204"/>
    </row>
    <row r="213" spans="1:4" ht="27.6" x14ac:dyDescent="0.3">
      <c r="A213" s="202" t="s">
        <v>2581</v>
      </c>
      <c r="B213" s="212" t="s">
        <v>2583</v>
      </c>
      <c r="C213" s="204"/>
      <c r="D213" s="204"/>
    </row>
    <row r="214" spans="1:4" ht="14.4" x14ac:dyDescent="0.3">
      <c r="A214" s="24" t="s">
        <v>2581</v>
      </c>
      <c r="B214" s="37" t="s">
        <v>2584</v>
      </c>
      <c r="C214" s="225"/>
      <c r="D214" s="226"/>
    </row>
    <row r="215" spans="1:4" ht="27.6" x14ac:dyDescent="0.3">
      <c r="A215" s="202" t="s">
        <v>2581</v>
      </c>
      <c r="B215" s="212" t="s">
        <v>2585</v>
      </c>
      <c r="C215" s="204"/>
      <c r="D215" s="204"/>
    </row>
    <row r="216" spans="1:4" ht="27.6" x14ac:dyDescent="0.3">
      <c r="A216" s="24" t="s">
        <v>2581</v>
      </c>
      <c r="B216" s="37" t="s">
        <v>2586</v>
      </c>
      <c r="C216" s="225"/>
      <c r="D216" s="226"/>
    </row>
    <row r="217" spans="1:4" ht="14.4" x14ac:dyDescent="0.3">
      <c r="A217" s="24" t="s">
        <v>2581</v>
      </c>
      <c r="B217" s="37" t="s">
        <v>2587</v>
      </c>
      <c r="C217" s="225"/>
      <c r="D217" s="226"/>
    </row>
    <row r="218" spans="1:4" ht="14.4" x14ac:dyDescent="0.3">
      <c r="A218" s="24" t="s">
        <v>2581</v>
      </c>
      <c r="B218" s="37" t="s">
        <v>2588</v>
      </c>
      <c r="C218" s="225"/>
      <c r="D218" s="226"/>
    </row>
    <row r="219" spans="1:4" ht="14.4" x14ac:dyDescent="0.3">
      <c r="A219" s="24" t="s">
        <v>2581</v>
      </c>
      <c r="B219" s="37" t="s">
        <v>2589</v>
      </c>
      <c r="C219" s="225"/>
      <c r="D219" s="226"/>
    </row>
    <row r="220" spans="1:4" ht="14.4" x14ac:dyDescent="0.3">
      <c r="A220" s="24" t="s">
        <v>2581</v>
      </c>
      <c r="B220" s="37" t="s">
        <v>2590</v>
      </c>
      <c r="C220" s="225"/>
      <c r="D220" s="226"/>
    </row>
    <row r="221" spans="1:4" ht="14.4" x14ac:dyDescent="0.3">
      <c r="A221" s="202" t="s">
        <v>2581</v>
      </c>
      <c r="B221" s="212" t="s">
        <v>428</v>
      </c>
      <c r="C221" s="204"/>
      <c r="D221" s="204"/>
    </row>
    <row r="222" spans="1:4" ht="14.4" x14ac:dyDescent="0.3">
      <c r="A222" s="202" t="s">
        <v>2581</v>
      </c>
      <c r="B222" s="212" t="s">
        <v>2292</v>
      </c>
      <c r="C222" s="204"/>
      <c r="D222" s="204"/>
    </row>
    <row r="223" spans="1:4" ht="14.4" x14ac:dyDescent="0.3">
      <c r="A223" s="202" t="s">
        <v>2581</v>
      </c>
      <c r="B223" s="212" t="s">
        <v>2368</v>
      </c>
      <c r="C223" s="204"/>
      <c r="D223" s="204"/>
    </row>
    <row r="224" spans="1:4" ht="14.4" x14ac:dyDescent="0.3">
      <c r="A224" s="24" t="s">
        <v>2581</v>
      </c>
      <c r="B224" s="37" t="s">
        <v>2591</v>
      </c>
      <c r="C224" s="225"/>
      <c r="D224" s="226"/>
    </row>
    <row r="225" spans="1:4" ht="14.4" x14ac:dyDescent="0.3">
      <c r="A225" s="202" t="s">
        <v>2592</v>
      </c>
      <c r="B225" s="212" t="s">
        <v>1227</v>
      </c>
      <c r="C225" s="204"/>
      <c r="D225" s="204"/>
    </row>
    <row r="226" spans="1:4" ht="14.4" x14ac:dyDescent="0.3">
      <c r="A226" s="202" t="s">
        <v>2592</v>
      </c>
      <c r="B226" s="212" t="s">
        <v>2582</v>
      </c>
      <c r="C226" s="204"/>
      <c r="D226" s="204"/>
    </row>
    <row r="227" spans="1:4" ht="14.4" x14ac:dyDescent="0.3">
      <c r="A227" s="202" t="s">
        <v>2592</v>
      </c>
      <c r="B227" s="212" t="s">
        <v>720</v>
      </c>
      <c r="C227" s="204"/>
      <c r="D227" s="204"/>
    </row>
    <row r="228" spans="1:4" ht="27.6" x14ac:dyDescent="0.3">
      <c r="A228" s="24" t="s">
        <v>2592</v>
      </c>
      <c r="B228" s="37" t="s">
        <v>2593</v>
      </c>
      <c r="C228" s="225"/>
      <c r="D228" s="226"/>
    </row>
    <row r="229" spans="1:4" ht="14.4" x14ac:dyDescent="0.3">
      <c r="A229" s="24" t="s">
        <v>2592</v>
      </c>
      <c r="B229" s="37" t="s">
        <v>2594</v>
      </c>
      <c r="C229" s="225"/>
      <c r="D229" s="226"/>
    </row>
    <row r="230" spans="1:4" ht="14.4" x14ac:dyDescent="0.3">
      <c r="A230" s="24" t="s">
        <v>2592</v>
      </c>
      <c r="B230" s="37" t="s">
        <v>2488</v>
      </c>
      <c r="C230" s="225"/>
      <c r="D230" s="226"/>
    </row>
    <row r="231" spans="1:4" ht="14.4" x14ac:dyDescent="0.3">
      <c r="A231" s="24" t="s">
        <v>2592</v>
      </c>
      <c r="B231" s="37" t="s">
        <v>2489</v>
      </c>
      <c r="C231" s="225"/>
      <c r="D231" s="226"/>
    </row>
    <row r="232" spans="1:4" ht="14.4" x14ac:dyDescent="0.3">
      <c r="A232" s="24" t="s">
        <v>2592</v>
      </c>
      <c r="B232" s="37" t="s">
        <v>2490</v>
      </c>
      <c r="C232" s="225"/>
      <c r="D232" s="226"/>
    </row>
    <row r="233" spans="1:4" ht="14.4" x14ac:dyDescent="0.3">
      <c r="A233" s="24" t="s">
        <v>2592</v>
      </c>
      <c r="B233" s="37" t="s">
        <v>2595</v>
      </c>
      <c r="C233" s="225"/>
      <c r="D233" s="226"/>
    </row>
    <row r="234" spans="1:4" ht="14.4" x14ac:dyDescent="0.3">
      <c r="A234" s="202" t="s">
        <v>2592</v>
      </c>
      <c r="B234" s="212" t="s">
        <v>2485</v>
      </c>
      <c r="C234" s="204"/>
      <c r="D234" s="204"/>
    </row>
    <row r="235" spans="1:4" ht="27.6" x14ac:dyDescent="0.3">
      <c r="A235" s="24" t="s">
        <v>2592</v>
      </c>
      <c r="B235" s="37" t="s">
        <v>2596</v>
      </c>
      <c r="C235" s="225"/>
      <c r="D235" s="226"/>
    </row>
    <row r="236" spans="1:4" ht="14.4" x14ac:dyDescent="0.3">
      <c r="A236" s="24" t="s">
        <v>2592</v>
      </c>
      <c r="B236" s="37" t="s">
        <v>2597</v>
      </c>
      <c r="C236" s="225"/>
      <c r="D236" s="226"/>
    </row>
    <row r="237" spans="1:4" ht="14.4" x14ac:dyDescent="0.3">
      <c r="A237" s="24" t="s">
        <v>2592</v>
      </c>
      <c r="B237" s="37" t="s">
        <v>2598</v>
      </c>
      <c r="C237" s="225"/>
      <c r="D237" s="226"/>
    </row>
    <row r="238" spans="1:4" ht="14.4" x14ac:dyDescent="0.3">
      <c r="A238" s="24" t="s">
        <v>2592</v>
      </c>
      <c r="B238" s="37" t="s">
        <v>2599</v>
      </c>
      <c r="C238" s="225"/>
      <c r="D238" s="226"/>
    </row>
    <row r="239" spans="1:4" ht="14.4" x14ac:dyDescent="0.3">
      <c r="A239" s="24" t="s">
        <v>2592</v>
      </c>
      <c r="B239" s="37" t="s">
        <v>2600</v>
      </c>
      <c r="C239" s="225"/>
      <c r="D239" s="226"/>
    </row>
    <row r="240" spans="1:4" ht="14.4" x14ac:dyDescent="0.3">
      <c r="A240" s="24" t="s">
        <v>2592</v>
      </c>
      <c r="B240" s="37" t="s">
        <v>2601</v>
      </c>
      <c r="C240" s="225"/>
      <c r="D240" s="226"/>
    </row>
    <row r="241" spans="1:4" ht="14.4" x14ac:dyDescent="0.3">
      <c r="A241" s="202" t="s">
        <v>2592</v>
      </c>
      <c r="B241" s="212" t="s">
        <v>428</v>
      </c>
      <c r="C241" s="204"/>
      <c r="D241" s="204"/>
    </row>
    <row r="242" spans="1:4" ht="14.4" x14ac:dyDescent="0.3">
      <c r="A242" s="202" t="s">
        <v>2592</v>
      </c>
      <c r="B242" s="212" t="s">
        <v>2287</v>
      </c>
      <c r="C242" s="204"/>
      <c r="D242" s="204"/>
    </row>
    <row r="243" spans="1:4" ht="14.4" x14ac:dyDescent="0.3">
      <c r="A243" s="233" t="s">
        <v>2592</v>
      </c>
      <c r="B243" s="212" t="s">
        <v>2288</v>
      </c>
      <c r="C243" s="204"/>
      <c r="D243" s="204"/>
    </row>
    <row r="244" spans="1:4" ht="14.4" x14ac:dyDescent="0.3">
      <c r="A244" s="109" t="s">
        <v>2592</v>
      </c>
      <c r="B244" s="110" t="s">
        <v>2602</v>
      </c>
      <c r="C244" s="225"/>
      <c r="D244" s="226"/>
    </row>
    <row r="245" spans="1:4" ht="14.4" x14ac:dyDescent="0.3">
      <c r="A245" s="17"/>
      <c r="B245" s="14"/>
      <c r="C245" s="17"/>
      <c r="D245" s="17"/>
    </row>
    <row r="246" spans="1:4" ht="14.4" x14ac:dyDescent="0.3">
      <c r="A246" s="17"/>
      <c r="B246" s="14"/>
      <c r="C246" s="17"/>
      <c r="D246" s="17"/>
    </row>
    <row r="247" spans="1:4" ht="14.4" x14ac:dyDescent="0.3">
      <c r="A247" s="17"/>
      <c r="B247" s="15" t="s">
        <v>75</v>
      </c>
      <c r="C247" s="2">
        <f>COUNTIF($C$4:$C$244,"C")</f>
        <v>1</v>
      </c>
      <c r="D247" s="17"/>
    </row>
    <row r="248" spans="1:4" ht="14.4" x14ac:dyDescent="0.3">
      <c r="A248" s="17"/>
      <c r="B248" s="15" t="s">
        <v>81</v>
      </c>
      <c r="C248" s="2">
        <f>COUNTIF($C$4:$C$244,"NC")</f>
        <v>1</v>
      </c>
      <c r="D248" s="17"/>
    </row>
    <row r="249" spans="1:4" ht="14.4" x14ac:dyDescent="0.3">
      <c r="A249" s="17"/>
      <c r="B249" s="15" t="s">
        <v>84</v>
      </c>
      <c r="C249" s="2">
        <f>COUNTIF($C$4:$C$244,"NA")</f>
        <v>1</v>
      </c>
      <c r="D249" s="17"/>
    </row>
  </sheetData>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dxfId="47" priority="1" operator="beginsWith" text="C">
      <formula>LEFT((C8),LEN("C"))=("C")</formula>
    </cfRule>
    <cfRule type="beginsWith" dxfId="46" priority="2" operator="beginsWith" text="NC">
      <formula>LEFT((C8),LEN("NC"))=("NC")</formula>
    </cfRule>
    <cfRule type="beginsWith" dxfId="45" priority="3" operator="beginsWith" text="NA">
      <formula>LEFT((C8),LEN("NA"))=("NA")</formula>
    </cfRule>
  </conditionalFormatting>
  <dataValidations count="1">
    <dataValidation type="list" allowBlank="1" sqref="C8:C11 C13:C16 C19:C21 C23:C25 C27:C28 C30 C34:C35 C37:C38 C41:C43 C45:C47 C49:C50 C52 C56:C59 C61:C67 C70:C72 C74:C76 C78:C79 C81 C85:C102 C104:C107 C111 C115:C118 C120:C127 C129:C142 C146 C150:C153 C155:C159 C163:C166 C170 C174:C194 C196:C206 C210 C214 C216:C220 C224 C228:C233 C235:C240 C244" xr:uid="{00000000-0002-0000-1F00-000000000000}">
      <formula1>"C,NC,NA"</formula1>
    </dataValidation>
  </dataValidations>
  <hyperlinks>
    <hyperlink ref="B1" location="'Tabla de contenido'!A1" display="VOLVER A TABLA DE CONTENIDO" xr:uid="{00000000-0004-0000-1F00-000000000000}"/>
  </hyperlinks>
  <pageMargins left="0.7" right="0.7" top="0.75" bottom="0.75" header="0" footer="0"/>
  <pageSetup orientation="portrait"/>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38761D"/>
  </sheetPr>
  <dimension ref="A1:D93"/>
  <sheetViews>
    <sheetView showGridLines="0" workbookViewId="0">
      <selection sqref="A1:D1"/>
    </sheetView>
  </sheetViews>
  <sheetFormatPr baseColWidth="10" defaultColWidth="14.44140625" defaultRowHeight="15" customHeight="1" outlineLevelCol="1" x14ac:dyDescent="0.3"/>
  <cols>
    <col min="1" max="1" width="14.109375" customWidth="1"/>
    <col min="2" max="2" width="71.6640625" customWidth="1"/>
    <col min="3" max="3" width="11.5546875" customWidth="1"/>
    <col min="4" max="4" width="27.33203125" customWidth="1" outlineLevel="1"/>
    <col min="5" max="5" width="2.33203125" customWidth="1"/>
    <col min="6" max="24" width="10.77734375" customWidth="1"/>
  </cols>
  <sheetData>
    <row r="1" spans="1:4" ht="14.4" x14ac:dyDescent="0.3">
      <c r="A1" s="269"/>
      <c r="B1" s="270" t="s">
        <v>0</v>
      </c>
      <c r="C1" s="269"/>
      <c r="D1" s="269"/>
    </row>
    <row r="2" spans="1:4" ht="14.4" x14ac:dyDescent="0.3">
      <c r="A2" s="59"/>
      <c r="B2" s="195" t="s">
        <v>2215</v>
      </c>
      <c r="C2" s="196"/>
      <c r="D2" s="62"/>
    </row>
    <row r="3" spans="1:4" ht="14.4" x14ac:dyDescent="0.3">
      <c r="A3" s="59"/>
      <c r="B3" s="195" t="s">
        <v>2603</v>
      </c>
      <c r="C3" s="61"/>
      <c r="D3" s="62"/>
    </row>
    <row r="4" spans="1:4" ht="14.4" x14ac:dyDescent="0.3">
      <c r="A4" s="59"/>
      <c r="B4" s="195" t="s">
        <v>2604</v>
      </c>
      <c r="C4" s="59"/>
      <c r="D4" s="59"/>
    </row>
    <row r="5" spans="1:4" ht="41.4" x14ac:dyDescent="0.3">
      <c r="A5" s="59"/>
      <c r="B5" s="195" t="s">
        <v>2605</v>
      </c>
      <c r="C5" s="59"/>
      <c r="D5" s="59"/>
    </row>
    <row r="6" spans="1:4" ht="14.4" x14ac:dyDescent="0.3">
      <c r="A6" s="59" t="s">
        <v>7</v>
      </c>
      <c r="B6" s="195" t="s">
        <v>9</v>
      </c>
      <c r="C6" s="59" t="s">
        <v>10</v>
      </c>
      <c r="D6" s="59" t="s">
        <v>11</v>
      </c>
    </row>
    <row r="7" spans="1:4" ht="14.4" x14ac:dyDescent="0.3">
      <c r="A7" s="202" t="s">
        <v>2606</v>
      </c>
      <c r="B7" s="203" t="s">
        <v>2607</v>
      </c>
      <c r="C7" s="204"/>
      <c r="D7" s="204"/>
    </row>
    <row r="8" spans="1:4" ht="27.6" x14ac:dyDescent="0.3">
      <c r="A8" s="208" t="s">
        <v>2606</v>
      </c>
      <c r="B8" s="92" t="s">
        <v>2608</v>
      </c>
      <c r="C8" s="88" t="s">
        <v>16</v>
      </c>
      <c r="D8" s="190"/>
    </row>
    <row r="9" spans="1:4" ht="14.4" x14ac:dyDescent="0.3">
      <c r="A9" s="208" t="s">
        <v>2606</v>
      </c>
      <c r="B9" s="92" t="s">
        <v>2609</v>
      </c>
      <c r="C9" s="88" t="s">
        <v>20</v>
      </c>
      <c r="D9" s="190"/>
    </row>
    <row r="10" spans="1:4" ht="14.4" x14ac:dyDescent="0.3">
      <c r="A10" s="202" t="s">
        <v>2606</v>
      </c>
      <c r="B10" s="203" t="s">
        <v>1335</v>
      </c>
      <c r="C10" s="203"/>
      <c r="D10" s="204"/>
    </row>
    <row r="11" spans="1:4" ht="27.6" x14ac:dyDescent="0.3">
      <c r="A11" s="208" t="s">
        <v>2606</v>
      </c>
      <c r="B11" s="92" t="s">
        <v>2610</v>
      </c>
      <c r="C11" s="88" t="s">
        <v>24</v>
      </c>
      <c r="D11" s="190"/>
    </row>
    <row r="12" spans="1:4" ht="27.6" x14ac:dyDescent="0.3">
      <c r="A12" s="208" t="s">
        <v>2606</v>
      </c>
      <c r="B12" s="92" t="s">
        <v>2611</v>
      </c>
      <c r="C12" s="88"/>
      <c r="D12" s="190"/>
    </row>
    <row r="13" spans="1:4" ht="14.4" x14ac:dyDescent="0.3">
      <c r="A13" s="202" t="s">
        <v>2606</v>
      </c>
      <c r="B13" s="203" t="s">
        <v>1145</v>
      </c>
      <c r="C13" s="204"/>
      <c r="D13" s="204"/>
    </row>
    <row r="14" spans="1:4" ht="14.4" x14ac:dyDescent="0.3">
      <c r="A14" s="208" t="s">
        <v>2606</v>
      </c>
      <c r="B14" s="92" t="s">
        <v>1338</v>
      </c>
      <c r="C14" s="88"/>
      <c r="D14" s="208"/>
    </row>
    <row r="15" spans="1:4" ht="41.4" x14ac:dyDescent="0.3">
      <c r="A15" s="208" t="s">
        <v>2606</v>
      </c>
      <c r="B15" s="92" t="s">
        <v>2612</v>
      </c>
      <c r="C15" s="88"/>
      <c r="D15" s="208"/>
    </row>
    <row r="16" spans="1:4" ht="14.4" x14ac:dyDescent="0.3">
      <c r="A16" s="202" t="s">
        <v>2613</v>
      </c>
      <c r="B16" s="203" t="s">
        <v>1136</v>
      </c>
      <c r="C16" s="204"/>
      <c r="D16" s="204"/>
    </row>
    <row r="17" spans="1:4" ht="27.6" x14ac:dyDescent="0.3">
      <c r="A17" s="208" t="s">
        <v>2613</v>
      </c>
      <c r="B17" s="92" t="s">
        <v>1175</v>
      </c>
      <c r="C17" s="88"/>
      <c r="D17" s="190"/>
    </row>
    <row r="18" spans="1:4" ht="27.6" x14ac:dyDescent="0.3">
      <c r="A18" s="208" t="s">
        <v>2613</v>
      </c>
      <c r="B18" s="92" t="s">
        <v>2614</v>
      </c>
      <c r="C18" s="88"/>
      <c r="D18" s="190"/>
    </row>
    <row r="19" spans="1:4" ht="14.4" x14ac:dyDescent="0.3">
      <c r="A19" s="208" t="s">
        <v>2613</v>
      </c>
      <c r="B19" s="92" t="s">
        <v>2615</v>
      </c>
      <c r="C19" s="88"/>
      <c r="D19" s="190"/>
    </row>
    <row r="20" spans="1:4" ht="14.4" x14ac:dyDescent="0.3">
      <c r="A20" s="208" t="s">
        <v>2613</v>
      </c>
      <c r="B20" s="92" t="s">
        <v>2616</v>
      </c>
      <c r="C20" s="88"/>
      <c r="D20" s="190"/>
    </row>
    <row r="21" spans="1:4" ht="27.6" x14ac:dyDescent="0.3">
      <c r="A21" s="208" t="s">
        <v>2613</v>
      </c>
      <c r="B21" s="92" t="s">
        <v>2617</v>
      </c>
      <c r="C21" s="88"/>
      <c r="D21" s="190"/>
    </row>
    <row r="22" spans="1:4" ht="14.4" x14ac:dyDescent="0.3">
      <c r="A22" s="208" t="s">
        <v>2613</v>
      </c>
      <c r="B22" s="92" t="s">
        <v>2618</v>
      </c>
      <c r="C22" s="88"/>
      <c r="D22" s="190"/>
    </row>
    <row r="23" spans="1:4" ht="27.6" x14ac:dyDescent="0.3">
      <c r="A23" s="202" t="s">
        <v>2613</v>
      </c>
      <c r="B23" s="203" t="s">
        <v>2619</v>
      </c>
      <c r="C23" s="204"/>
      <c r="D23" s="204"/>
    </row>
    <row r="24" spans="1:4" ht="27.6" x14ac:dyDescent="0.3">
      <c r="A24" s="208" t="s">
        <v>2613</v>
      </c>
      <c r="B24" s="92" t="s">
        <v>2620</v>
      </c>
      <c r="C24" s="88"/>
      <c r="D24" s="190"/>
    </row>
    <row r="25" spans="1:4" ht="27.6" x14ac:dyDescent="0.3">
      <c r="A25" s="208" t="s">
        <v>2613</v>
      </c>
      <c r="B25" s="92" t="s">
        <v>2621</v>
      </c>
      <c r="C25" s="88"/>
      <c r="D25" s="190"/>
    </row>
    <row r="26" spans="1:4" ht="14.4" x14ac:dyDescent="0.3">
      <c r="A26" s="202" t="s">
        <v>2613</v>
      </c>
      <c r="B26" s="203" t="s">
        <v>2622</v>
      </c>
      <c r="C26" s="204"/>
      <c r="D26" s="204"/>
    </row>
    <row r="27" spans="1:4" ht="14.4" x14ac:dyDescent="0.3">
      <c r="A27" s="208" t="s">
        <v>2613</v>
      </c>
      <c r="B27" s="92" t="s">
        <v>1103</v>
      </c>
      <c r="C27" s="88"/>
      <c r="D27" s="190"/>
    </row>
    <row r="28" spans="1:4" ht="14.4" x14ac:dyDescent="0.3">
      <c r="A28" s="202" t="s">
        <v>2623</v>
      </c>
      <c r="B28" s="203" t="s">
        <v>2045</v>
      </c>
      <c r="C28" s="204"/>
      <c r="D28" s="204"/>
    </row>
    <row r="29" spans="1:4" ht="27.6" x14ac:dyDescent="0.3">
      <c r="A29" s="208" t="s">
        <v>2623</v>
      </c>
      <c r="B29" s="92" t="s">
        <v>2624</v>
      </c>
      <c r="C29" s="88"/>
      <c r="D29" s="190"/>
    </row>
    <row r="30" spans="1:4" ht="14.4" x14ac:dyDescent="0.3">
      <c r="A30" s="208" t="s">
        <v>2623</v>
      </c>
      <c r="B30" s="92" t="s">
        <v>2625</v>
      </c>
      <c r="C30" s="88"/>
      <c r="D30" s="208"/>
    </row>
    <row r="31" spans="1:4" ht="14.4" x14ac:dyDescent="0.3">
      <c r="A31" s="208" t="s">
        <v>2623</v>
      </c>
      <c r="B31" s="92" t="s">
        <v>2626</v>
      </c>
      <c r="C31" s="88"/>
      <c r="D31" s="190"/>
    </row>
    <row r="32" spans="1:4" ht="14.4" x14ac:dyDescent="0.3">
      <c r="A32" s="93" t="s">
        <v>2623</v>
      </c>
      <c r="B32" s="97" t="s">
        <v>2627</v>
      </c>
      <c r="C32" s="206"/>
      <c r="D32" s="206"/>
    </row>
    <row r="33" spans="1:4" ht="14.4" x14ac:dyDescent="0.3">
      <c r="A33" s="208" t="s">
        <v>2623</v>
      </c>
      <c r="B33" s="92" t="s">
        <v>2628</v>
      </c>
      <c r="C33" s="88"/>
      <c r="D33" s="190"/>
    </row>
    <row r="34" spans="1:4" ht="27.6" x14ac:dyDescent="0.3">
      <c r="A34" s="208" t="s">
        <v>2623</v>
      </c>
      <c r="B34" s="92" t="s">
        <v>2629</v>
      </c>
      <c r="C34" s="88"/>
      <c r="D34" s="208"/>
    </row>
    <row r="35" spans="1:4" ht="41.4" x14ac:dyDescent="0.3">
      <c r="A35" s="208" t="s">
        <v>2623</v>
      </c>
      <c r="B35" s="92" t="s">
        <v>2630</v>
      </c>
      <c r="C35" s="88"/>
      <c r="D35" s="208"/>
    </row>
    <row r="36" spans="1:4" ht="27.6" x14ac:dyDescent="0.3">
      <c r="A36" s="208" t="s">
        <v>2623</v>
      </c>
      <c r="B36" s="92" t="s">
        <v>2631</v>
      </c>
      <c r="C36" s="88"/>
      <c r="D36" s="190"/>
    </row>
    <row r="37" spans="1:4" ht="14.4" x14ac:dyDescent="0.3">
      <c r="A37" s="208" t="s">
        <v>2623</v>
      </c>
      <c r="B37" s="92" t="s">
        <v>2632</v>
      </c>
      <c r="C37" s="88"/>
      <c r="D37" s="208"/>
    </row>
    <row r="38" spans="1:4" ht="14.4" x14ac:dyDescent="0.3">
      <c r="A38" s="208" t="s">
        <v>2623</v>
      </c>
      <c r="B38" s="92" t="s">
        <v>2633</v>
      </c>
      <c r="C38" s="88"/>
      <c r="D38" s="190"/>
    </row>
    <row r="39" spans="1:4" ht="14.4" x14ac:dyDescent="0.3">
      <c r="A39" s="208" t="s">
        <v>2623</v>
      </c>
      <c r="B39" s="92" t="s">
        <v>2634</v>
      </c>
      <c r="C39" s="88"/>
      <c r="D39" s="190"/>
    </row>
    <row r="40" spans="1:4" ht="14.4" x14ac:dyDescent="0.3">
      <c r="A40" s="208" t="s">
        <v>2623</v>
      </c>
      <c r="B40" s="92" t="s">
        <v>2635</v>
      </c>
      <c r="C40" s="88"/>
      <c r="D40" s="190"/>
    </row>
    <row r="41" spans="1:4" ht="14.4" x14ac:dyDescent="0.3">
      <c r="A41" s="208" t="s">
        <v>2623</v>
      </c>
      <c r="B41" s="92" t="s">
        <v>2636</v>
      </c>
      <c r="C41" s="88"/>
      <c r="D41" s="190"/>
    </row>
    <row r="42" spans="1:4" ht="14.4" x14ac:dyDescent="0.3">
      <c r="A42" s="208" t="s">
        <v>2623</v>
      </c>
      <c r="B42" s="92" t="s">
        <v>2637</v>
      </c>
      <c r="C42" s="88"/>
      <c r="D42" s="190"/>
    </row>
    <row r="43" spans="1:4" ht="14.4" x14ac:dyDescent="0.3">
      <c r="A43" s="208" t="s">
        <v>2623</v>
      </c>
      <c r="B43" s="92" t="s">
        <v>2638</v>
      </c>
      <c r="C43" s="88"/>
      <c r="D43" s="190"/>
    </row>
    <row r="44" spans="1:4" ht="14.4" x14ac:dyDescent="0.3">
      <c r="A44" s="208" t="s">
        <v>2623</v>
      </c>
      <c r="B44" s="92" t="s">
        <v>2639</v>
      </c>
      <c r="C44" s="88"/>
      <c r="D44" s="190"/>
    </row>
    <row r="45" spans="1:4" ht="14.4" x14ac:dyDescent="0.3">
      <c r="A45" s="208" t="s">
        <v>2623</v>
      </c>
      <c r="B45" s="92" t="s">
        <v>2640</v>
      </c>
      <c r="C45" s="88"/>
      <c r="D45" s="190"/>
    </row>
    <row r="46" spans="1:4" ht="14.4" x14ac:dyDescent="0.3">
      <c r="A46" s="208" t="s">
        <v>2623</v>
      </c>
      <c r="B46" s="92" t="s">
        <v>2641</v>
      </c>
      <c r="C46" s="88"/>
      <c r="D46" s="217"/>
    </row>
    <row r="47" spans="1:4" ht="14.4" x14ac:dyDescent="0.3">
      <c r="A47" s="208" t="s">
        <v>2623</v>
      </c>
      <c r="B47" s="92" t="s">
        <v>2642</v>
      </c>
      <c r="C47" s="88"/>
      <c r="D47" s="190"/>
    </row>
    <row r="48" spans="1:4" ht="14.4" x14ac:dyDescent="0.3">
      <c r="A48" s="208" t="s">
        <v>2623</v>
      </c>
      <c r="B48" s="92" t="s">
        <v>2643</v>
      </c>
      <c r="C48" s="88"/>
      <c r="D48" s="217"/>
    </row>
    <row r="49" spans="1:4" ht="27.6" x14ac:dyDescent="0.3">
      <c r="A49" s="208" t="s">
        <v>2623</v>
      </c>
      <c r="B49" s="92" t="s">
        <v>2644</v>
      </c>
      <c r="C49" s="88"/>
      <c r="D49" s="190"/>
    </row>
    <row r="50" spans="1:4" ht="14.4" x14ac:dyDescent="0.3">
      <c r="A50" s="208" t="s">
        <v>2623</v>
      </c>
      <c r="B50" s="92" t="s">
        <v>2645</v>
      </c>
      <c r="C50" s="88"/>
      <c r="D50" s="190"/>
    </row>
    <row r="51" spans="1:4" ht="41.4" x14ac:dyDescent="0.3">
      <c r="A51" s="208" t="s">
        <v>2623</v>
      </c>
      <c r="B51" s="92" t="s">
        <v>2646</v>
      </c>
      <c r="C51" s="88"/>
      <c r="D51" s="190"/>
    </row>
    <row r="52" spans="1:4" ht="27.6" x14ac:dyDescent="0.3">
      <c r="A52" s="208" t="s">
        <v>2623</v>
      </c>
      <c r="B52" s="92" t="s">
        <v>2647</v>
      </c>
      <c r="C52" s="88"/>
      <c r="D52" s="190"/>
    </row>
    <row r="53" spans="1:4" ht="14.4" x14ac:dyDescent="0.3">
      <c r="A53" s="202" t="s">
        <v>2623</v>
      </c>
      <c r="B53" s="203" t="s">
        <v>2622</v>
      </c>
      <c r="C53" s="204"/>
      <c r="D53" s="204"/>
    </row>
    <row r="54" spans="1:4" ht="14.4" x14ac:dyDescent="0.3">
      <c r="A54" s="208" t="s">
        <v>2623</v>
      </c>
      <c r="B54" s="92" t="s">
        <v>1041</v>
      </c>
      <c r="C54" s="88"/>
      <c r="D54" s="190"/>
    </row>
    <row r="55" spans="1:4" ht="27.6" x14ac:dyDescent="0.3">
      <c r="A55" s="234" t="s">
        <v>2648</v>
      </c>
      <c r="B55" s="203" t="s">
        <v>2649</v>
      </c>
      <c r="C55" s="204"/>
      <c r="D55" s="204"/>
    </row>
    <row r="56" spans="1:4" ht="27.6" x14ac:dyDescent="0.3">
      <c r="A56" s="235" t="s">
        <v>2648</v>
      </c>
      <c r="B56" s="92" t="s">
        <v>2650</v>
      </c>
      <c r="C56" s="88"/>
      <c r="D56" s="190"/>
    </row>
    <row r="57" spans="1:4" ht="14.4" x14ac:dyDescent="0.3">
      <c r="A57" s="235" t="s">
        <v>2648</v>
      </c>
      <c r="B57" s="92" t="s">
        <v>2651</v>
      </c>
      <c r="C57" s="88"/>
      <c r="D57" s="190"/>
    </row>
    <row r="58" spans="1:4" ht="27.6" x14ac:dyDescent="0.3">
      <c r="A58" s="202" t="s">
        <v>2652</v>
      </c>
      <c r="B58" s="203" t="s">
        <v>2649</v>
      </c>
      <c r="C58" s="204"/>
      <c r="D58" s="204"/>
    </row>
    <row r="59" spans="1:4" ht="27.6" x14ac:dyDescent="0.3">
      <c r="A59" s="208" t="s">
        <v>2652</v>
      </c>
      <c r="B59" s="92" t="s">
        <v>2653</v>
      </c>
      <c r="C59" s="88"/>
      <c r="D59" s="190"/>
    </row>
    <row r="60" spans="1:4" ht="14.4" x14ac:dyDescent="0.3">
      <c r="A60" s="208" t="s">
        <v>2652</v>
      </c>
      <c r="B60" s="92" t="s">
        <v>2654</v>
      </c>
      <c r="C60" s="88"/>
      <c r="D60" s="190"/>
    </row>
    <row r="61" spans="1:4" ht="14.4" x14ac:dyDescent="0.3">
      <c r="A61" s="208" t="s">
        <v>2652</v>
      </c>
      <c r="B61" s="92" t="s">
        <v>2655</v>
      </c>
      <c r="C61" s="88"/>
      <c r="D61" s="190"/>
    </row>
    <row r="62" spans="1:4" ht="14.4" x14ac:dyDescent="0.3">
      <c r="A62" s="208" t="s">
        <v>2652</v>
      </c>
      <c r="B62" s="92" t="s">
        <v>2656</v>
      </c>
      <c r="C62" s="88"/>
      <c r="D62" s="190"/>
    </row>
    <row r="63" spans="1:4" ht="14.4" x14ac:dyDescent="0.3">
      <c r="A63" s="208" t="s">
        <v>2652</v>
      </c>
      <c r="B63" s="92" t="s">
        <v>2657</v>
      </c>
      <c r="C63" s="88"/>
      <c r="D63" s="190"/>
    </row>
    <row r="64" spans="1:4" ht="14.4" x14ac:dyDescent="0.3">
      <c r="A64" s="208" t="s">
        <v>2652</v>
      </c>
      <c r="B64" s="92" t="s">
        <v>2658</v>
      </c>
      <c r="C64" s="88"/>
      <c r="D64" s="190"/>
    </row>
    <row r="65" spans="1:4" ht="14.4" x14ac:dyDescent="0.3">
      <c r="A65" s="208" t="s">
        <v>2652</v>
      </c>
      <c r="B65" s="92" t="s">
        <v>2659</v>
      </c>
      <c r="C65" s="88"/>
      <c r="D65" s="190"/>
    </row>
    <row r="66" spans="1:4" ht="14.4" x14ac:dyDescent="0.3">
      <c r="A66" s="208" t="s">
        <v>2652</v>
      </c>
      <c r="B66" s="92" t="s">
        <v>2660</v>
      </c>
      <c r="C66" s="88"/>
      <c r="D66" s="190"/>
    </row>
    <row r="67" spans="1:4" ht="14.4" x14ac:dyDescent="0.3">
      <c r="A67" s="208" t="s">
        <v>2652</v>
      </c>
      <c r="B67" s="92" t="s">
        <v>2661</v>
      </c>
      <c r="C67" s="88"/>
      <c r="D67" s="190"/>
    </row>
    <row r="68" spans="1:4" ht="14.4" x14ac:dyDescent="0.3">
      <c r="A68" s="208" t="s">
        <v>2652</v>
      </c>
      <c r="B68" s="92" t="s">
        <v>2662</v>
      </c>
      <c r="C68" s="88"/>
      <c r="D68" s="190"/>
    </row>
    <row r="69" spans="1:4" ht="14.4" x14ac:dyDescent="0.3">
      <c r="A69" s="208" t="s">
        <v>2652</v>
      </c>
      <c r="B69" s="92" t="s">
        <v>2663</v>
      </c>
      <c r="C69" s="88"/>
      <c r="D69" s="190"/>
    </row>
    <row r="70" spans="1:4" ht="14.4" x14ac:dyDescent="0.3">
      <c r="A70" s="208" t="s">
        <v>2652</v>
      </c>
      <c r="B70" s="92" t="s">
        <v>2664</v>
      </c>
      <c r="C70" s="88"/>
      <c r="D70" s="208"/>
    </row>
    <row r="71" spans="1:4" ht="14.4" x14ac:dyDescent="0.3">
      <c r="A71" s="208" t="s">
        <v>2652</v>
      </c>
      <c r="B71" s="92" t="s">
        <v>2665</v>
      </c>
      <c r="C71" s="88"/>
      <c r="D71" s="190"/>
    </row>
    <row r="72" spans="1:4" ht="14.4" x14ac:dyDescent="0.3">
      <c r="A72" s="208" t="s">
        <v>2652</v>
      </c>
      <c r="B72" s="92" t="s">
        <v>2666</v>
      </c>
      <c r="C72" s="88"/>
      <c r="D72" s="190"/>
    </row>
    <row r="73" spans="1:4" ht="14.4" x14ac:dyDescent="0.3">
      <c r="A73" s="208" t="s">
        <v>2652</v>
      </c>
      <c r="B73" s="92" t="s">
        <v>2667</v>
      </c>
      <c r="C73" s="88"/>
      <c r="D73" s="190"/>
    </row>
    <row r="74" spans="1:4" ht="14.4" x14ac:dyDescent="0.3">
      <c r="A74" s="208" t="s">
        <v>2652</v>
      </c>
      <c r="B74" s="92" t="s">
        <v>2668</v>
      </c>
      <c r="C74" s="88"/>
      <c r="D74" s="190"/>
    </row>
    <row r="75" spans="1:4" ht="14.4" x14ac:dyDescent="0.3">
      <c r="A75" s="202" t="s">
        <v>2652</v>
      </c>
      <c r="B75" s="203" t="s">
        <v>2622</v>
      </c>
      <c r="C75" s="204"/>
      <c r="D75" s="204"/>
    </row>
    <row r="76" spans="1:4" ht="14.4" x14ac:dyDescent="0.3">
      <c r="A76" s="208" t="s">
        <v>2652</v>
      </c>
      <c r="B76" s="92" t="s">
        <v>1048</v>
      </c>
      <c r="C76" s="88"/>
      <c r="D76" s="190"/>
    </row>
    <row r="77" spans="1:4" ht="27.6" x14ac:dyDescent="0.3">
      <c r="A77" s="202" t="s">
        <v>2671</v>
      </c>
      <c r="B77" s="203" t="s">
        <v>1962</v>
      </c>
      <c r="C77" s="204"/>
      <c r="D77" s="204"/>
    </row>
    <row r="78" spans="1:4" ht="14.4" x14ac:dyDescent="0.3">
      <c r="A78" s="208" t="s">
        <v>2671</v>
      </c>
      <c r="B78" s="92" t="s">
        <v>1880</v>
      </c>
      <c r="C78" s="88"/>
      <c r="D78" s="190"/>
    </row>
    <row r="79" spans="1:4" ht="14.4" x14ac:dyDescent="0.3">
      <c r="A79" s="202" t="s">
        <v>2675</v>
      </c>
      <c r="B79" s="203" t="s">
        <v>2676</v>
      </c>
      <c r="C79" s="204"/>
      <c r="D79" s="204"/>
    </row>
    <row r="80" spans="1:4" ht="27.6" x14ac:dyDescent="0.3">
      <c r="A80" s="208" t="s">
        <v>2675</v>
      </c>
      <c r="B80" s="92" t="s">
        <v>2677</v>
      </c>
      <c r="C80" s="88"/>
      <c r="D80" s="190"/>
    </row>
    <row r="81" spans="1:4" ht="14.4" x14ac:dyDescent="0.3">
      <c r="A81" s="208" t="s">
        <v>2675</v>
      </c>
      <c r="B81" s="92" t="s">
        <v>2679</v>
      </c>
      <c r="C81" s="88"/>
      <c r="D81" s="190"/>
    </row>
    <row r="82" spans="1:4" ht="14.4" x14ac:dyDescent="0.3">
      <c r="A82" s="208" t="s">
        <v>2675</v>
      </c>
      <c r="B82" s="92" t="s">
        <v>2681</v>
      </c>
      <c r="C82" s="88"/>
      <c r="D82" s="190"/>
    </row>
    <row r="83" spans="1:4" ht="14.4" x14ac:dyDescent="0.3">
      <c r="A83" s="208" t="s">
        <v>2675</v>
      </c>
      <c r="B83" s="92" t="s">
        <v>2683</v>
      </c>
      <c r="C83" s="88"/>
      <c r="D83" s="190"/>
    </row>
    <row r="84" spans="1:4" ht="14.4" x14ac:dyDescent="0.3">
      <c r="A84" s="208" t="s">
        <v>2675</v>
      </c>
      <c r="B84" s="92" t="s">
        <v>2684</v>
      </c>
      <c r="C84" s="88"/>
      <c r="D84" s="190"/>
    </row>
    <row r="85" spans="1:4" ht="14.4" x14ac:dyDescent="0.3">
      <c r="A85" s="208" t="s">
        <v>2675</v>
      </c>
      <c r="B85" s="92" t="s">
        <v>2685</v>
      </c>
      <c r="C85" s="88"/>
      <c r="D85" s="190"/>
    </row>
    <row r="86" spans="1:4" ht="14.4" x14ac:dyDescent="0.3">
      <c r="A86" s="208" t="s">
        <v>2675</v>
      </c>
      <c r="B86" s="92" t="s">
        <v>2687</v>
      </c>
      <c r="C86" s="88"/>
      <c r="D86" s="190"/>
    </row>
    <row r="87" spans="1:4" ht="14.4" x14ac:dyDescent="0.3">
      <c r="A87" s="202" t="s">
        <v>2675</v>
      </c>
      <c r="B87" s="203" t="s">
        <v>2689</v>
      </c>
      <c r="C87" s="204"/>
      <c r="D87" s="204"/>
    </row>
    <row r="88" spans="1:4" ht="14.4" x14ac:dyDescent="0.3">
      <c r="A88" s="208" t="s">
        <v>2675</v>
      </c>
      <c r="B88" s="92" t="s">
        <v>2691</v>
      </c>
      <c r="C88" s="88"/>
      <c r="D88" s="190"/>
    </row>
    <row r="89" spans="1:4" ht="14.4" x14ac:dyDescent="0.3">
      <c r="A89" s="17"/>
      <c r="B89" s="46"/>
      <c r="C89" s="17"/>
      <c r="D89" s="17"/>
    </row>
    <row r="90" spans="1:4" ht="14.4" x14ac:dyDescent="0.3">
      <c r="A90" s="17"/>
      <c r="B90" s="46"/>
      <c r="C90" s="17"/>
      <c r="D90" s="17"/>
    </row>
    <row r="91" spans="1:4" ht="14.4" x14ac:dyDescent="0.3">
      <c r="A91" s="17"/>
      <c r="B91" s="15" t="s">
        <v>75</v>
      </c>
      <c r="C91" s="2">
        <f>COUNTIF($C$4:$C$88,"C")</f>
        <v>1</v>
      </c>
      <c r="D91" s="17"/>
    </row>
    <row r="92" spans="1:4" ht="14.4" x14ac:dyDescent="0.3">
      <c r="A92" s="17"/>
      <c r="B92" s="15" t="s">
        <v>81</v>
      </c>
      <c r="C92" s="2">
        <f>COUNTIF($C$4:$C$88,"NC")</f>
        <v>1</v>
      </c>
      <c r="D92" s="17"/>
    </row>
    <row r="93" spans="1:4" ht="14.4" x14ac:dyDescent="0.3">
      <c r="A93" s="17"/>
      <c r="B93" s="15" t="s">
        <v>84</v>
      </c>
      <c r="C93" s="2">
        <f>COUNTIF($C$4:$C$88,"NA")</f>
        <v>1</v>
      </c>
      <c r="D93" s="17"/>
    </row>
  </sheetData>
  <conditionalFormatting sqref="C8:C9 C11:C12 C14:C15 C17:C22 C24:C25 C27 C29:C31 C33:C52 C54 C56:C57 C59:C74 C76 C78 C80:C86 C88">
    <cfRule type="beginsWith" dxfId="44" priority="1" operator="beginsWith" text="C">
      <formula>LEFT((C8),LEN("C"))=("C")</formula>
    </cfRule>
    <cfRule type="beginsWith" dxfId="43" priority="2" operator="beginsWith" text="NC">
      <formula>LEFT((C8),LEN("NC"))=("NC")</formula>
    </cfRule>
    <cfRule type="beginsWith" dxfId="42" priority="3" operator="beginsWith" text="NA">
      <formula>LEFT((C8),LEN("NA"))=("NA")</formula>
    </cfRule>
  </conditionalFormatting>
  <dataValidations count="1">
    <dataValidation type="list" allowBlank="1" sqref="C8:C9 C11:C12 C14:C15 C17:C22 C24:C25 C27 C29:C31 C33:C52 C54 C56:C57 C59:C74 C76 C78 C80:C86 C88" xr:uid="{00000000-0002-0000-2000-000000000000}">
      <formula1>"C,NC,NA"</formula1>
    </dataValidation>
  </dataValidations>
  <hyperlinks>
    <hyperlink ref="B1" location="'Tabla de contenido'!A1" display="VOLVER A TABLA DE CONTENIDO" xr:uid="{00000000-0004-0000-2000-000000000000}"/>
  </hyperlinks>
  <pageMargins left="0.7" right="0.7" top="0.75" bottom="0.75" header="0" footer="0"/>
  <pageSetup orientation="portrai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38761D"/>
  </sheetPr>
  <dimension ref="A1:D115"/>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 customWidth="1"/>
    <col min="3" max="3" width="11.5546875" customWidth="1"/>
    <col min="4" max="4" width="29.5546875" customWidth="1" outlineLevel="1"/>
    <col min="5" max="5" width="3.77734375" customWidth="1"/>
    <col min="6" max="24" width="10.77734375" customWidth="1"/>
  </cols>
  <sheetData>
    <row r="1" spans="1:4" ht="14.4" x14ac:dyDescent="0.3">
      <c r="A1" s="269"/>
      <c r="B1" s="270" t="s">
        <v>0</v>
      </c>
      <c r="C1" s="269"/>
      <c r="D1" s="269"/>
    </row>
    <row r="2" spans="1:4" ht="14.4" x14ac:dyDescent="0.3">
      <c r="A2" s="59"/>
      <c r="B2" s="195" t="s">
        <v>2215</v>
      </c>
      <c r="C2" s="196"/>
      <c r="D2" s="62"/>
    </row>
    <row r="3" spans="1:4" ht="14.4" x14ac:dyDescent="0.3">
      <c r="A3" s="59"/>
      <c r="B3" s="195" t="s">
        <v>2669</v>
      </c>
      <c r="C3" s="61"/>
      <c r="D3" s="62"/>
    </row>
    <row r="4" spans="1:4" ht="14.4" x14ac:dyDescent="0.3">
      <c r="A4" s="59"/>
      <c r="B4" s="195" t="s">
        <v>2670</v>
      </c>
      <c r="C4" s="236"/>
      <c r="D4" s="59"/>
    </row>
    <row r="5" spans="1:4" ht="55.2" x14ac:dyDescent="0.3">
      <c r="A5" s="59"/>
      <c r="B5" s="195" t="s">
        <v>2672</v>
      </c>
      <c r="C5" s="236"/>
      <c r="D5" s="59"/>
    </row>
    <row r="6" spans="1:4" ht="14.4" x14ac:dyDescent="0.3">
      <c r="A6" s="59" t="s">
        <v>7</v>
      </c>
      <c r="B6" s="195" t="s">
        <v>9</v>
      </c>
      <c r="C6" s="236" t="s">
        <v>10</v>
      </c>
      <c r="D6" s="59" t="s">
        <v>11</v>
      </c>
    </row>
    <row r="7" spans="1:4" ht="14.4" x14ac:dyDescent="0.3">
      <c r="A7" s="202" t="s">
        <v>2673</v>
      </c>
      <c r="B7" s="203" t="s">
        <v>2674</v>
      </c>
      <c r="C7" s="204"/>
      <c r="D7" s="202"/>
    </row>
    <row r="8" spans="1:4" ht="28.2" x14ac:dyDescent="0.3">
      <c r="A8" s="208" t="s">
        <v>2673</v>
      </c>
      <c r="B8" s="92" t="s">
        <v>1600</v>
      </c>
      <c r="C8" s="88" t="s">
        <v>16</v>
      </c>
      <c r="D8" s="208"/>
    </row>
    <row r="9" spans="1:4" ht="14.4" x14ac:dyDescent="0.3">
      <c r="A9" s="208" t="s">
        <v>2673</v>
      </c>
      <c r="B9" s="92" t="s">
        <v>2678</v>
      </c>
      <c r="C9" s="88" t="s">
        <v>20</v>
      </c>
      <c r="D9" s="190"/>
    </row>
    <row r="10" spans="1:4" ht="14.4" x14ac:dyDescent="0.3">
      <c r="A10" s="208" t="s">
        <v>2673</v>
      </c>
      <c r="B10" s="92" t="s">
        <v>2680</v>
      </c>
      <c r="C10" s="88" t="s">
        <v>24</v>
      </c>
      <c r="D10" s="190"/>
    </row>
    <row r="11" spans="1:4" ht="14.4" x14ac:dyDescent="0.3">
      <c r="A11" s="208" t="s">
        <v>2673</v>
      </c>
      <c r="B11" s="92" t="s">
        <v>2682</v>
      </c>
      <c r="C11" s="88"/>
      <c r="D11" s="190"/>
    </row>
    <row r="12" spans="1:4" ht="14.4" x14ac:dyDescent="0.3">
      <c r="A12" s="202" t="s">
        <v>2673</v>
      </c>
      <c r="B12" s="203" t="s">
        <v>1335</v>
      </c>
      <c r="C12" s="203"/>
      <c r="D12" s="204"/>
    </row>
    <row r="13" spans="1:4" ht="14.4" x14ac:dyDescent="0.3">
      <c r="A13" s="208" t="s">
        <v>2673</v>
      </c>
      <c r="B13" s="92" t="s">
        <v>2686</v>
      </c>
      <c r="C13" s="88"/>
      <c r="D13" s="190"/>
    </row>
    <row r="14" spans="1:4" ht="14.4" x14ac:dyDescent="0.3">
      <c r="A14" s="208" t="s">
        <v>2673</v>
      </c>
      <c r="B14" s="92" t="s">
        <v>2688</v>
      </c>
      <c r="C14" s="88"/>
      <c r="D14" s="190"/>
    </row>
    <row r="15" spans="1:4" ht="14.4" x14ac:dyDescent="0.3">
      <c r="A15" s="208" t="s">
        <v>2673</v>
      </c>
      <c r="B15" s="92" t="s">
        <v>2690</v>
      </c>
      <c r="C15" s="88"/>
      <c r="D15" s="208"/>
    </row>
    <row r="16" spans="1:4" ht="41.4" x14ac:dyDescent="0.3">
      <c r="A16" s="208" t="s">
        <v>2673</v>
      </c>
      <c r="B16" s="92" t="s">
        <v>2692</v>
      </c>
      <c r="C16" s="88"/>
      <c r="D16" s="190"/>
    </row>
    <row r="17" spans="1:4" ht="14.4" x14ac:dyDescent="0.3">
      <c r="A17" s="202" t="s">
        <v>2673</v>
      </c>
      <c r="B17" s="203" t="s">
        <v>2693</v>
      </c>
      <c r="C17" s="204"/>
      <c r="D17" s="204"/>
    </row>
    <row r="18" spans="1:4" ht="27.6" x14ac:dyDescent="0.3">
      <c r="A18" s="208" t="s">
        <v>2673</v>
      </c>
      <c r="B18" s="92" t="s">
        <v>2023</v>
      </c>
      <c r="C18" s="88"/>
      <c r="D18" s="190"/>
    </row>
    <row r="19" spans="1:4" ht="69" x14ac:dyDescent="0.3">
      <c r="A19" s="208" t="s">
        <v>2673</v>
      </c>
      <c r="B19" s="92" t="s">
        <v>2694</v>
      </c>
      <c r="C19" s="88"/>
      <c r="D19" s="190"/>
    </row>
    <row r="20" spans="1:4" ht="69" x14ac:dyDescent="0.3">
      <c r="A20" s="208" t="s">
        <v>2673</v>
      </c>
      <c r="B20" s="92" t="s">
        <v>2695</v>
      </c>
      <c r="C20" s="88"/>
      <c r="D20" s="190"/>
    </row>
    <row r="21" spans="1:4" ht="14.4" x14ac:dyDescent="0.3">
      <c r="A21" s="202" t="s">
        <v>2696</v>
      </c>
      <c r="B21" s="203" t="s">
        <v>2045</v>
      </c>
      <c r="C21" s="204"/>
      <c r="D21" s="204"/>
    </row>
    <row r="22" spans="1:4" ht="27.6" x14ac:dyDescent="0.3">
      <c r="A22" s="208" t="s">
        <v>2696</v>
      </c>
      <c r="B22" s="92" t="s">
        <v>1803</v>
      </c>
      <c r="C22" s="88"/>
      <c r="D22" s="190"/>
    </row>
    <row r="23" spans="1:4" ht="41.4" x14ac:dyDescent="0.3">
      <c r="A23" s="208" t="s">
        <v>2696</v>
      </c>
      <c r="B23" s="92" t="s">
        <v>2697</v>
      </c>
      <c r="C23" s="88"/>
      <c r="D23" s="190"/>
    </row>
    <row r="24" spans="1:4" ht="14.4" x14ac:dyDescent="0.3">
      <c r="A24" s="208" t="s">
        <v>2696</v>
      </c>
      <c r="B24" s="92" t="s">
        <v>2698</v>
      </c>
      <c r="C24" s="88"/>
      <c r="D24" s="190"/>
    </row>
    <row r="25" spans="1:4" ht="14.4" x14ac:dyDescent="0.3">
      <c r="A25" s="208" t="s">
        <v>2696</v>
      </c>
      <c r="B25" s="92" t="s">
        <v>2699</v>
      </c>
      <c r="C25" s="88"/>
      <c r="D25" s="190"/>
    </row>
    <row r="26" spans="1:4" ht="41.4" x14ac:dyDescent="0.3">
      <c r="A26" s="208" t="s">
        <v>2696</v>
      </c>
      <c r="B26" s="92" t="s">
        <v>2700</v>
      </c>
      <c r="C26" s="88"/>
      <c r="D26" s="190"/>
    </row>
    <row r="27" spans="1:4" ht="14.4" x14ac:dyDescent="0.3">
      <c r="A27" s="208" t="s">
        <v>2696</v>
      </c>
      <c r="B27" s="92" t="s">
        <v>2701</v>
      </c>
      <c r="C27" s="88"/>
      <c r="D27" s="190"/>
    </row>
    <row r="28" spans="1:4" ht="14.4" x14ac:dyDescent="0.3">
      <c r="A28" s="208" t="s">
        <v>2696</v>
      </c>
      <c r="B28" s="92" t="s">
        <v>2702</v>
      </c>
      <c r="C28" s="88"/>
      <c r="D28" s="190"/>
    </row>
    <row r="29" spans="1:4" ht="14.4" x14ac:dyDescent="0.3">
      <c r="A29" s="208" t="s">
        <v>2696</v>
      </c>
      <c r="B29" s="92" t="s">
        <v>2703</v>
      </c>
      <c r="C29" s="88"/>
      <c r="D29" s="190"/>
    </row>
    <row r="30" spans="1:4" ht="41.4" x14ac:dyDescent="0.3">
      <c r="A30" s="93" t="s">
        <v>2696</v>
      </c>
      <c r="B30" s="97" t="s">
        <v>2704</v>
      </c>
      <c r="C30" s="206"/>
      <c r="D30" s="206"/>
    </row>
    <row r="31" spans="1:4" ht="27.6" x14ac:dyDescent="0.3">
      <c r="A31" s="208" t="s">
        <v>2696</v>
      </c>
      <c r="B31" s="92" t="s">
        <v>2705</v>
      </c>
      <c r="C31" s="88"/>
      <c r="D31" s="190"/>
    </row>
    <row r="32" spans="1:4" ht="27.6" x14ac:dyDescent="0.3">
      <c r="A32" s="208" t="s">
        <v>2696</v>
      </c>
      <c r="B32" s="92" t="s">
        <v>2706</v>
      </c>
      <c r="C32" s="88"/>
      <c r="D32" s="190"/>
    </row>
    <row r="33" spans="1:4" ht="14.4" x14ac:dyDescent="0.3">
      <c r="A33" s="202" t="s">
        <v>2696</v>
      </c>
      <c r="B33" s="203" t="s">
        <v>1145</v>
      </c>
      <c r="C33" s="204"/>
      <c r="D33" s="204"/>
    </row>
    <row r="34" spans="1:4" ht="27.6" x14ac:dyDescent="0.3">
      <c r="A34" s="208" t="s">
        <v>2696</v>
      </c>
      <c r="B34" s="92" t="s">
        <v>1034</v>
      </c>
      <c r="C34" s="88"/>
      <c r="D34" s="190"/>
    </row>
    <row r="35" spans="1:4" ht="14.4" x14ac:dyDescent="0.3">
      <c r="A35" s="202" t="s">
        <v>2707</v>
      </c>
      <c r="B35" s="203" t="s">
        <v>2045</v>
      </c>
      <c r="C35" s="204"/>
      <c r="D35" s="204"/>
    </row>
    <row r="36" spans="1:4" ht="41.4" x14ac:dyDescent="0.3">
      <c r="A36" s="208" t="s">
        <v>2707</v>
      </c>
      <c r="B36" s="92" t="s">
        <v>2708</v>
      </c>
      <c r="C36" s="88"/>
      <c r="D36" s="190"/>
    </row>
    <row r="37" spans="1:4" ht="14.4" x14ac:dyDescent="0.3">
      <c r="A37" s="208" t="s">
        <v>2707</v>
      </c>
      <c r="B37" s="92" t="s">
        <v>2709</v>
      </c>
      <c r="C37" s="88"/>
      <c r="D37" s="190"/>
    </row>
    <row r="38" spans="1:4" ht="41.4" x14ac:dyDescent="0.3">
      <c r="A38" s="208" t="s">
        <v>2707</v>
      </c>
      <c r="B38" s="92" t="s">
        <v>2710</v>
      </c>
      <c r="C38" s="88"/>
      <c r="D38" s="190"/>
    </row>
    <row r="39" spans="1:4" ht="14.4" x14ac:dyDescent="0.3">
      <c r="A39" s="208" t="s">
        <v>2707</v>
      </c>
      <c r="B39" s="92" t="s">
        <v>2711</v>
      </c>
      <c r="C39" s="88"/>
      <c r="D39" s="190"/>
    </row>
    <row r="40" spans="1:4" ht="14.4" x14ac:dyDescent="0.3">
      <c r="A40" s="208" t="s">
        <v>2707</v>
      </c>
      <c r="B40" s="92" t="s">
        <v>2712</v>
      </c>
      <c r="C40" s="88"/>
      <c r="D40" s="208"/>
    </row>
    <row r="41" spans="1:4" ht="14.4" x14ac:dyDescent="0.3">
      <c r="A41" s="208" t="s">
        <v>2707</v>
      </c>
      <c r="B41" s="92" t="s">
        <v>2713</v>
      </c>
      <c r="C41" s="88"/>
      <c r="D41" s="190"/>
    </row>
    <row r="42" spans="1:4" ht="14.4" x14ac:dyDescent="0.3">
      <c r="A42" s="208" t="s">
        <v>2707</v>
      </c>
      <c r="B42" s="92" t="s">
        <v>2714</v>
      </c>
      <c r="C42" s="88"/>
      <c r="D42" s="190"/>
    </row>
    <row r="43" spans="1:4" ht="14.4" x14ac:dyDescent="0.3">
      <c r="A43" s="208" t="s">
        <v>2707</v>
      </c>
      <c r="B43" s="92" t="s">
        <v>2715</v>
      </c>
      <c r="C43" s="88"/>
      <c r="D43" s="190"/>
    </row>
    <row r="44" spans="1:4" ht="14.4" x14ac:dyDescent="0.3">
      <c r="A44" s="202" t="s">
        <v>2707</v>
      </c>
      <c r="B44" s="203" t="s">
        <v>2716</v>
      </c>
      <c r="C44" s="204"/>
      <c r="D44" s="202"/>
    </row>
    <row r="45" spans="1:4" ht="14.4" x14ac:dyDescent="0.3">
      <c r="A45" s="208" t="s">
        <v>2707</v>
      </c>
      <c r="B45" s="92" t="s">
        <v>2717</v>
      </c>
      <c r="C45" s="88"/>
      <c r="D45" s="208"/>
    </row>
    <row r="46" spans="1:4" ht="14.4" x14ac:dyDescent="0.3">
      <c r="A46" s="208" t="s">
        <v>2707</v>
      </c>
      <c r="B46" s="92" t="s">
        <v>2718</v>
      </c>
      <c r="C46" s="88"/>
      <c r="D46" s="190"/>
    </row>
    <row r="47" spans="1:4" ht="14.4" x14ac:dyDescent="0.3">
      <c r="A47" s="208" t="s">
        <v>2707</v>
      </c>
      <c r="B47" s="92" t="s">
        <v>2719</v>
      </c>
      <c r="C47" s="88"/>
      <c r="D47" s="208"/>
    </row>
    <row r="48" spans="1:4" ht="14.4" x14ac:dyDescent="0.3">
      <c r="A48" s="208" t="s">
        <v>2707</v>
      </c>
      <c r="B48" s="92" t="s">
        <v>2720</v>
      </c>
      <c r="C48" s="88"/>
      <c r="D48" s="190"/>
    </row>
    <row r="49" spans="1:4" ht="14.4" x14ac:dyDescent="0.3">
      <c r="A49" s="208" t="s">
        <v>2707</v>
      </c>
      <c r="B49" s="92" t="s">
        <v>2721</v>
      </c>
      <c r="C49" s="88"/>
      <c r="D49" s="190"/>
    </row>
    <row r="50" spans="1:4" ht="14.4" x14ac:dyDescent="0.3">
      <c r="A50" s="208" t="s">
        <v>2707</v>
      </c>
      <c r="B50" s="92" t="s">
        <v>2722</v>
      </c>
      <c r="C50" s="88"/>
      <c r="D50" s="190"/>
    </row>
    <row r="51" spans="1:4" ht="14.4" x14ac:dyDescent="0.3">
      <c r="A51" s="208" t="s">
        <v>2707</v>
      </c>
      <c r="B51" s="92" t="s">
        <v>2723</v>
      </c>
      <c r="C51" s="88"/>
      <c r="D51" s="190"/>
    </row>
    <row r="52" spans="1:4" ht="14.4" x14ac:dyDescent="0.3">
      <c r="A52" s="208" t="s">
        <v>2707</v>
      </c>
      <c r="B52" s="92" t="s">
        <v>2724</v>
      </c>
      <c r="C52" s="88"/>
      <c r="D52" s="190"/>
    </row>
    <row r="53" spans="1:4" ht="14.4" x14ac:dyDescent="0.3">
      <c r="A53" s="208" t="s">
        <v>2707</v>
      </c>
      <c r="B53" s="92" t="s">
        <v>2725</v>
      </c>
      <c r="C53" s="88"/>
      <c r="D53" s="190"/>
    </row>
    <row r="54" spans="1:4" ht="14.4" x14ac:dyDescent="0.3">
      <c r="A54" s="208" t="s">
        <v>2707</v>
      </c>
      <c r="B54" s="92" t="s">
        <v>2726</v>
      </c>
      <c r="C54" s="88"/>
      <c r="D54" s="190"/>
    </row>
    <row r="55" spans="1:4" ht="14.4" x14ac:dyDescent="0.3">
      <c r="A55" s="208" t="s">
        <v>2707</v>
      </c>
      <c r="B55" s="92" t="s">
        <v>2727</v>
      </c>
      <c r="C55" s="88"/>
      <c r="D55" s="190"/>
    </row>
    <row r="56" spans="1:4" ht="14.4" x14ac:dyDescent="0.3">
      <c r="A56" s="208" t="s">
        <v>2707</v>
      </c>
      <c r="B56" s="92" t="s">
        <v>2728</v>
      </c>
      <c r="C56" s="88"/>
      <c r="D56" s="190"/>
    </row>
    <row r="57" spans="1:4" ht="14.4" x14ac:dyDescent="0.3">
      <c r="A57" s="208" t="s">
        <v>2707</v>
      </c>
      <c r="B57" s="92" t="s">
        <v>2729</v>
      </c>
      <c r="C57" s="88"/>
      <c r="D57" s="217"/>
    </row>
    <row r="58" spans="1:4" ht="14.4" x14ac:dyDescent="0.3">
      <c r="A58" s="208" t="s">
        <v>2707</v>
      </c>
      <c r="B58" s="92" t="s">
        <v>2730</v>
      </c>
      <c r="C58" s="88"/>
      <c r="D58" s="190"/>
    </row>
    <row r="59" spans="1:4" ht="14.4" x14ac:dyDescent="0.3">
      <c r="A59" s="208" t="s">
        <v>2707</v>
      </c>
      <c r="B59" s="92" t="s">
        <v>2731</v>
      </c>
      <c r="C59" s="88"/>
      <c r="D59" s="217"/>
    </row>
    <row r="60" spans="1:4" ht="14.4" x14ac:dyDescent="0.3">
      <c r="A60" s="208" t="s">
        <v>2707</v>
      </c>
      <c r="B60" s="92" t="s">
        <v>2732</v>
      </c>
      <c r="C60" s="88"/>
      <c r="D60" s="190"/>
    </row>
    <row r="61" spans="1:4" ht="14.4" x14ac:dyDescent="0.3">
      <c r="A61" s="208" t="s">
        <v>2707</v>
      </c>
      <c r="B61" s="92" t="s">
        <v>2733</v>
      </c>
      <c r="C61" s="88"/>
      <c r="D61" s="190"/>
    </row>
    <row r="62" spans="1:4" ht="41.4" x14ac:dyDescent="0.3">
      <c r="A62" s="208" t="s">
        <v>2707</v>
      </c>
      <c r="B62" s="92" t="s">
        <v>2734</v>
      </c>
      <c r="C62" s="88"/>
      <c r="D62" s="190"/>
    </row>
    <row r="63" spans="1:4" ht="14.4" x14ac:dyDescent="0.3">
      <c r="A63" s="208" t="s">
        <v>2707</v>
      </c>
      <c r="B63" s="92" t="s">
        <v>2735</v>
      </c>
      <c r="C63" s="88"/>
      <c r="D63" s="190"/>
    </row>
    <row r="64" spans="1:4" ht="14.4" x14ac:dyDescent="0.3">
      <c r="A64" s="208" t="s">
        <v>2707</v>
      </c>
      <c r="B64" s="92" t="s">
        <v>2736</v>
      </c>
      <c r="C64" s="88"/>
      <c r="D64" s="190"/>
    </row>
    <row r="65" spans="1:4" ht="14.4" x14ac:dyDescent="0.3">
      <c r="A65" s="208" t="s">
        <v>2707</v>
      </c>
      <c r="B65" s="92" t="s">
        <v>2737</v>
      </c>
      <c r="C65" s="88"/>
      <c r="D65" s="190"/>
    </row>
    <row r="66" spans="1:4" ht="14.4" x14ac:dyDescent="0.3">
      <c r="A66" s="202" t="s">
        <v>2707</v>
      </c>
      <c r="B66" s="203" t="s">
        <v>2693</v>
      </c>
      <c r="C66" s="202"/>
      <c r="D66" s="202"/>
    </row>
    <row r="67" spans="1:4" ht="27.6" x14ac:dyDescent="0.3">
      <c r="A67" s="208" t="s">
        <v>2707</v>
      </c>
      <c r="B67" s="92" t="s">
        <v>1043</v>
      </c>
      <c r="C67" s="88"/>
      <c r="D67" s="190"/>
    </row>
    <row r="68" spans="1:4" ht="27.6" x14ac:dyDescent="0.3">
      <c r="A68" s="202" t="s">
        <v>2738</v>
      </c>
      <c r="B68" s="203" t="s">
        <v>2649</v>
      </c>
      <c r="C68" s="202"/>
      <c r="D68" s="202"/>
    </row>
    <row r="69" spans="1:4" ht="14.4" x14ac:dyDescent="0.3">
      <c r="A69" s="208" t="s">
        <v>2738</v>
      </c>
      <c r="B69" s="92" t="s">
        <v>2739</v>
      </c>
      <c r="C69" s="88"/>
      <c r="D69" s="190"/>
    </row>
    <row r="70" spans="1:4" ht="14.4" x14ac:dyDescent="0.3">
      <c r="A70" s="208" t="s">
        <v>2738</v>
      </c>
      <c r="B70" s="92" t="s">
        <v>2740</v>
      </c>
      <c r="C70" s="88"/>
      <c r="D70" s="190"/>
    </row>
    <row r="71" spans="1:4" ht="27.6" x14ac:dyDescent="0.3">
      <c r="A71" s="202" t="s">
        <v>2741</v>
      </c>
      <c r="B71" s="203" t="s">
        <v>2649</v>
      </c>
      <c r="C71" s="202"/>
      <c r="D71" s="202"/>
    </row>
    <row r="72" spans="1:4" ht="41.4" x14ac:dyDescent="0.3">
      <c r="A72" s="208" t="s">
        <v>2741</v>
      </c>
      <c r="B72" s="92" t="s">
        <v>2742</v>
      </c>
      <c r="C72" s="88"/>
      <c r="D72" s="190"/>
    </row>
    <row r="73" spans="1:4" ht="14.4" x14ac:dyDescent="0.3">
      <c r="A73" s="208" t="s">
        <v>2741</v>
      </c>
      <c r="B73" s="92" t="s">
        <v>2743</v>
      </c>
      <c r="C73" s="88"/>
      <c r="D73" s="190"/>
    </row>
    <row r="74" spans="1:4" ht="14.4" x14ac:dyDescent="0.3">
      <c r="A74" s="208" t="s">
        <v>2741</v>
      </c>
      <c r="B74" s="92" t="s">
        <v>2744</v>
      </c>
      <c r="C74" s="88"/>
      <c r="D74" s="190"/>
    </row>
    <row r="75" spans="1:4" ht="14.4" x14ac:dyDescent="0.3">
      <c r="A75" s="208" t="s">
        <v>2741</v>
      </c>
      <c r="B75" s="92" t="s">
        <v>2745</v>
      </c>
      <c r="C75" s="88"/>
      <c r="D75" s="190"/>
    </row>
    <row r="76" spans="1:4" ht="14.4" x14ac:dyDescent="0.3">
      <c r="A76" s="208" t="s">
        <v>2741</v>
      </c>
      <c r="B76" s="92" t="s">
        <v>2746</v>
      </c>
      <c r="C76" s="88"/>
      <c r="D76" s="190"/>
    </row>
    <row r="77" spans="1:4" ht="14.4" x14ac:dyDescent="0.3">
      <c r="A77" s="208" t="s">
        <v>2741</v>
      </c>
      <c r="B77" s="92" t="s">
        <v>2747</v>
      </c>
      <c r="C77" s="88"/>
      <c r="D77" s="190"/>
    </row>
    <row r="78" spans="1:4" ht="14.4" x14ac:dyDescent="0.3">
      <c r="A78" s="208" t="s">
        <v>2741</v>
      </c>
      <c r="B78" s="92" t="s">
        <v>2748</v>
      </c>
      <c r="C78" s="88"/>
      <c r="D78" s="190"/>
    </row>
    <row r="79" spans="1:4" ht="14.4" x14ac:dyDescent="0.3">
      <c r="A79" s="208" t="s">
        <v>2741</v>
      </c>
      <c r="B79" s="92" t="s">
        <v>2749</v>
      </c>
      <c r="C79" s="88"/>
      <c r="D79" s="190"/>
    </row>
    <row r="80" spans="1:4" ht="14.4" x14ac:dyDescent="0.3">
      <c r="A80" s="208" t="s">
        <v>2741</v>
      </c>
      <c r="B80" s="92" t="s">
        <v>2750</v>
      </c>
      <c r="C80" s="88"/>
      <c r="D80" s="190"/>
    </row>
    <row r="81" spans="1:4" ht="14.4" x14ac:dyDescent="0.3">
      <c r="A81" s="208" t="s">
        <v>2741</v>
      </c>
      <c r="B81" s="92" t="s">
        <v>2751</v>
      </c>
      <c r="C81" s="88"/>
      <c r="D81" s="190"/>
    </row>
    <row r="82" spans="1:4" ht="14.4" x14ac:dyDescent="0.3">
      <c r="A82" s="208" t="s">
        <v>2741</v>
      </c>
      <c r="B82" s="92" t="s">
        <v>2752</v>
      </c>
      <c r="C82" s="88"/>
      <c r="D82" s="190"/>
    </row>
    <row r="83" spans="1:4" ht="14.4" x14ac:dyDescent="0.3">
      <c r="A83" s="208" t="s">
        <v>2741</v>
      </c>
      <c r="B83" s="92" t="s">
        <v>2753</v>
      </c>
      <c r="C83" s="88"/>
      <c r="D83" s="190"/>
    </row>
    <row r="84" spans="1:4" ht="14.4" x14ac:dyDescent="0.3">
      <c r="A84" s="208" t="s">
        <v>2741</v>
      </c>
      <c r="B84" s="92" t="s">
        <v>2754</v>
      </c>
      <c r="C84" s="88"/>
      <c r="D84" s="190"/>
    </row>
    <row r="85" spans="1:4" ht="14.4" x14ac:dyDescent="0.3">
      <c r="A85" s="208" t="s">
        <v>2741</v>
      </c>
      <c r="B85" s="92" t="s">
        <v>2755</v>
      </c>
      <c r="C85" s="88"/>
      <c r="D85" s="190"/>
    </row>
    <row r="86" spans="1:4" ht="14.4" x14ac:dyDescent="0.3">
      <c r="A86" s="208" t="s">
        <v>2741</v>
      </c>
      <c r="B86" s="92" t="s">
        <v>2756</v>
      </c>
      <c r="C86" s="88"/>
      <c r="D86" s="190"/>
    </row>
    <row r="87" spans="1:4" ht="14.4" x14ac:dyDescent="0.3">
      <c r="A87" s="208" t="s">
        <v>2741</v>
      </c>
      <c r="B87" s="92" t="s">
        <v>2757</v>
      </c>
      <c r="C87" s="88"/>
      <c r="D87" s="190"/>
    </row>
    <row r="88" spans="1:4" ht="14.4" x14ac:dyDescent="0.3">
      <c r="A88" s="208" t="s">
        <v>2741</v>
      </c>
      <c r="B88" s="92" t="s">
        <v>2758</v>
      </c>
      <c r="C88" s="88"/>
      <c r="D88" s="190"/>
    </row>
    <row r="89" spans="1:4" ht="14.4" x14ac:dyDescent="0.3">
      <c r="A89" s="208" t="s">
        <v>2741</v>
      </c>
      <c r="B89" s="92" t="s">
        <v>2759</v>
      </c>
      <c r="C89" s="88"/>
      <c r="D89" s="190"/>
    </row>
    <row r="90" spans="1:4" ht="14.4" x14ac:dyDescent="0.3">
      <c r="A90" s="208" t="s">
        <v>2741</v>
      </c>
      <c r="B90" s="92" t="s">
        <v>2760</v>
      </c>
      <c r="C90" s="88"/>
      <c r="D90" s="190"/>
    </row>
    <row r="91" spans="1:4" ht="14.4" x14ac:dyDescent="0.3">
      <c r="A91" s="208" t="s">
        <v>2741</v>
      </c>
      <c r="B91" s="92" t="s">
        <v>2761</v>
      </c>
      <c r="C91" s="88"/>
      <c r="D91" s="190"/>
    </row>
    <row r="92" spans="1:4" ht="41.4" x14ac:dyDescent="0.3">
      <c r="A92" s="208" t="s">
        <v>2741</v>
      </c>
      <c r="B92" s="92" t="s">
        <v>2762</v>
      </c>
      <c r="C92" s="88"/>
      <c r="D92" s="190"/>
    </row>
    <row r="93" spans="1:4" ht="14.4" x14ac:dyDescent="0.3">
      <c r="A93" s="208" t="s">
        <v>2741</v>
      </c>
      <c r="B93" s="92" t="s">
        <v>2763</v>
      </c>
      <c r="C93" s="88"/>
      <c r="D93" s="190"/>
    </row>
    <row r="94" spans="1:4" ht="14.4" x14ac:dyDescent="0.3">
      <c r="A94" s="202" t="s">
        <v>2741</v>
      </c>
      <c r="B94" s="203" t="s">
        <v>2693</v>
      </c>
      <c r="C94" s="204"/>
      <c r="D94" s="204"/>
    </row>
    <row r="95" spans="1:4" ht="27.6" x14ac:dyDescent="0.3">
      <c r="A95" s="208" t="s">
        <v>2741</v>
      </c>
      <c r="B95" s="92" t="s">
        <v>1193</v>
      </c>
      <c r="C95" s="88"/>
      <c r="D95" s="190"/>
    </row>
    <row r="96" spans="1:4" ht="27.6" x14ac:dyDescent="0.3">
      <c r="A96" s="234" t="s">
        <v>2764</v>
      </c>
      <c r="B96" s="203" t="s">
        <v>2765</v>
      </c>
      <c r="C96" s="204"/>
      <c r="D96" s="202"/>
    </row>
    <row r="97" spans="1:4" ht="14.4" x14ac:dyDescent="0.3">
      <c r="A97" s="235" t="s">
        <v>2764</v>
      </c>
      <c r="B97" s="92" t="s">
        <v>2766</v>
      </c>
      <c r="C97" s="88"/>
      <c r="D97" s="208"/>
    </row>
    <row r="98" spans="1:4" ht="14.4" x14ac:dyDescent="0.3">
      <c r="A98" s="202" t="s">
        <v>2767</v>
      </c>
      <c r="B98" s="203" t="s">
        <v>749</v>
      </c>
      <c r="C98" s="204"/>
      <c r="D98" s="204"/>
    </row>
    <row r="99" spans="1:4" ht="27.6" x14ac:dyDescent="0.3">
      <c r="A99" s="208" t="s">
        <v>2767</v>
      </c>
      <c r="B99" s="92" t="s">
        <v>1727</v>
      </c>
      <c r="C99" s="88"/>
      <c r="D99" s="190"/>
    </row>
    <row r="100" spans="1:4" ht="14.4" x14ac:dyDescent="0.3">
      <c r="A100" s="208" t="s">
        <v>2767</v>
      </c>
      <c r="B100" s="92" t="s">
        <v>2768</v>
      </c>
      <c r="C100" s="88"/>
      <c r="D100" s="190"/>
    </row>
    <row r="101" spans="1:4" ht="14.4" x14ac:dyDescent="0.3">
      <c r="A101" s="208" t="s">
        <v>2767</v>
      </c>
      <c r="B101" s="92" t="s">
        <v>2769</v>
      </c>
      <c r="C101" s="88"/>
      <c r="D101" s="190"/>
    </row>
    <row r="102" spans="1:4" ht="14.4" x14ac:dyDescent="0.3">
      <c r="A102" s="208" t="s">
        <v>2767</v>
      </c>
      <c r="B102" s="92" t="s">
        <v>2770</v>
      </c>
      <c r="C102" s="88"/>
      <c r="D102" s="190"/>
    </row>
    <row r="103" spans="1:4" ht="14.4" x14ac:dyDescent="0.3">
      <c r="A103" s="208" t="s">
        <v>2767</v>
      </c>
      <c r="B103" s="92" t="s">
        <v>2771</v>
      </c>
      <c r="C103" s="88"/>
      <c r="D103" s="190"/>
    </row>
    <row r="104" spans="1:4" ht="14.4" x14ac:dyDescent="0.3">
      <c r="A104" s="208" t="s">
        <v>2767</v>
      </c>
      <c r="B104" s="92" t="s">
        <v>2772</v>
      </c>
      <c r="C104" s="88"/>
      <c r="D104" s="190"/>
    </row>
    <row r="105" spans="1:4" ht="14.4" x14ac:dyDescent="0.3">
      <c r="A105" s="202" t="s">
        <v>2767</v>
      </c>
      <c r="B105" s="203" t="s">
        <v>2773</v>
      </c>
      <c r="C105" s="203"/>
      <c r="D105" s="204"/>
    </row>
    <row r="106" spans="1:4" ht="14.4" x14ac:dyDescent="0.3">
      <c r="A106" s="208" t="s">
        <v>2767</v>
      </c>
      <c r="B106" s="92" t="s">
        <v>2774</v>
      </c>
      <c r="C106" s="88"/>
      <c r="D106" s="190"/>
    </row>
    <row r="107" spans="1:4" ht="14.4" x14ac:dyDescent="0.3">
      <c r="A107" s="208" t="s">
        <v>2767</v>
      </c>
      <c r="B107" s="92" t="s">
        <v>2775</v>
      </c>
      <c r="C107" s="88"/>
      <c r="D107" s="190"/>
    </row>
    <row r="108" spans="1:4" ht="14.4" x14ac:dyDescent="0.3">
      <c r="A108" s="208" t="s">
        <v>2767</v>
      </c>
      <c r="B108" s="92" t="s">
        <v>2776</v>
      </c>
      <c r="C108" s="88"/>
      <c r="D108" s="190"/>
    </row>
    <row r="109" spans="1:4" ht="14.4" x14ac:dyDescent="0.3">
      <c r="A109" s="202" t="s">
        <v>2767</v>
      </c>
      <c r="B109" s="203" t="s">
        <v>2689</v>
      </c>
      <c r="C109" s="204"/>
      <c r="D109" s="204"/>
    </row>
    <row r="110" spans="1:4" ht="14.4" x14ac:dyDescent="0.3">
      <c r="A110" s="208" t="s">
        <v>2767</v>
      </c>
      <c r="B110" s="92" t="s">
        <v>1121</v>
      </c>
      <c r="C110" s="88"/>
      <c r="D110" s="190"/>
    </row>
    <row r="113" spans="2:3" ht="14.4" x14ac:dyDescent="0.3">
      <c r="B113" s="15" t="s">
        <v>75</v>
      </c>
      <c r="C113" s="2">
        <f>COUNTIF($C$4:$C$110,"C")</f>
        <v>1</v>
      </c>
    </row>
    <row r="114" spans="2:3" ht="14.4" x14ac:dyDescent="0.3">
      <c r="B114" s="15" t="s">
        <v>81</v>
      </c>
      <c r="C114" s="2">
        <f>COUNTIF($C$4:$C$110,"NC")</f>
        <v>1</v>
      </c>
    </row>
    <row r="115" spans="2:3" ht="14.4" x14ac:dyDescent="0.3">
      <c r="B115" s="15" t="s">
        <v>84</v>
      </c>
      <c r="C115" s="2">
        <f>COUNTIF($C$4:$C$110,"NA")</f>
        <v>1</v>
      </c>
    </row>
  </sheetData>
  <conditionalFormatting sqref="C8:C11 C13:C16 C18:C20 C22:C29 C31:C32 C34 C36:C43 C45:C65 C67 C69:C70 C72:C93 C95 C97 C99:C104 C106:C108 C110">
    <cfRule type="beginsWith" dxfId="41" priority="1" operator="beginsWith" text="C">
      <formula>LEFT((C8),LEN("C"))=("C")</formula>
    </cfRule>
    <cfRule type="beginsWith" dxfId="40" priority="2" operator="beginsWith" text="NC">
      <formula>LEFT((C8),LEN("NC"))=("NC")</formula>
    </cfRule>
    <cfRule type="beginsWith" dxfId="39" priority="3" operator="beginsWith" text="NA">
      <formula>LEFT((C8),LEN("NA"))=("NA")</formula>
    </cfRule>
  </conditionalFormatting>
  <dataValidations count="1">
    <dataValidation type="list" allowBlank="1" sqref="C8:C11 C13:C16 C18:C20 C22:C29 C31:C32 C34 C36:C43 C45:C65 C67 C69:C70 C72:C93 C95 C97 C99:C104 C106:C108 C110" xr:uid="{00000000-0002-0000-2100-000000000000}">
      <formula1>"C,NC,NA"</formula1>
    </dataValidation>
  </dataValidations>
  <hyperlinks>
    <hyperlink ref="B1" location="'Tabla de contenido'!A1" display="VOLVER A TABLA DE CONTENIDO" xr:uid="{00000000-0004-0000-2100-000000000000}"/>
  </hyperlinks>
  <pageMargins left="0.7" right="0.7" top="0.75" bottom="0.75" header="0" footer="0"/>
  <pageSetup orientation="portrait"/>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38761D"/>
  </sheetPr>
  <dimension ref="A1:D146"/>
  <sheetViews>
    <sheetView showGridLines="0" workbookViewId="0">
      <selection sqref="A1:D1"/>
    </sheetView>
  </sheetViews>
  <sheetFormatPr baseColWidth="10" defaultColWidth="14.44140625" defaultRowHeight="15" customHeight="1" outlineLevelCol="1" x14ac:dyDescent="0.3"/>
  <cols>
    <col min="1" max="1" width="12.5546875" customWidth="1"/>
    <col min="2" max="2" width="73.5546875" customWidth="1"/>
    <col min="3" max="3" width="11.5546875" customWidth="1"/>
    <col min="4" max="4" width="27.21875" customWidth="1" outlineLevel="1"/>
    <col min="5" max="5" width="2" customWidth="1"/>
    <col min="6" max="24" width="10.77734375" customWidth="1"/>
  </cols>
  <sheetData>
    <row r="1" spans="1:4" ht="14.4" x14ac:dyDescent="0.3">
      <c r="A1" s="269"/>
      <c r="B1" s="270" t="s">
        <v>0</v>
      </c>
      <c r="C1" s="269"/>
      <c r="D1" s="269"/>
    </row>
    <row r="2" spans="1:4" ht="14.4" x14ac:dyDescent="0.3">
      <c r="A2" s="59"/>
      <c r="B2" s="195" t="s">
        <v>2215</v>
      </c>
      <c r="C2" s="196"/>
      <c r="D2" s="62"/>
    </row>
    <row r="3" spans="1:4" ht="14.4" x14ac:dyDescent="0.3">
      <c r="A3" s="59"/>
      <c r="B3" s="195" t="s">
        <v>2777</v>
      </c>
      <c r="C3" s="61"/>
      <c r="D3" s="62"/>
    </row>
    <row r="4" spans="1:4" ht="14.4" x14ac:dyDescent="0.3">
      <c r="A4" s="59"/>
      <c r="B4" s="195" t="s">
        <v>2778</v>
      </c>
      <c r="C4" s="59"/>
      <c r="D4" s="59"/>
    </row>
    <row r="5" spans="1:4" ht="55.2" x14ac:dyDescent="0.3">
      <c r="A5" s="59"/>
      <c r="B5" s="195" t="s">
        <v>2779</v>
      </c>
      <c r="C5" s="59"/>
      <c r="D5" s="59"/>
    </row>
    <row r="6" spans="1:4" ht="14.4" x14ac:dyDescent="0.3">
      <c r="A6" s="59" t="s">
        <v>7</v>
      </c>
      <c r="B6" s="195" t="s">
        <v>9</v>
      </c>
      <c r="C6" s="59" t="s">
        <v>10</v>
      </c>
      <c r="D6" s="59" t="s">
        <v>11</v>
      </c>
    </row>
    <row r="7" spans="1:4" ht="14.4" x14ac:dyDescent="0.3">
      <c r="A7" s="202" t="s">
        <v>2781</v>
      </c>
      <c r="B7" s="203" t="s">
        <v>2782</v>
      </c>
      <c r="C7" s="204"/>
      <c r="D7" s="202"/>
    </row>
    <row r="8" spans="1:4" ht="27.6" x14ac:dyDescent="0.3">
      <c r="A8" s="208" t="s">
        <v>2781</v>
      </c>
      <c r="B8" s="92" t="s">
        <v>1290</v>
      </c>
      <c r="C8" s="88" t="s">
        <v>16</v>
      </c>
      <c r="D8" s="208"/>
    </row>
    <row r="9" spans="1:4" ht="14.4" x14ac:dyDescent="0.3">
      <c r="A9" s="208" t="s">
        <v>2781</v>
      </c>
      <c r="B9" s="92" t="s">
        <v>2783</v>
      </c>
      <c r="C9" s="88" t="s">
        <v>20</v>
      </c>
      <c r="D9" s="190"/>
    </row>
    <row r="10" spans="1:4" ht="42" x14ac:dyDescent="0.3">
      <c r="A10" s="208" t="s">
        <v>2781</v>
      </c>
      <c r="B10" s="238" t="s">
        <v>2784</v>
      </c>
      <c r="C10" s="88" t="s">
        <v>24</v>
      </c>
      <c r="D10" s="190"/>
    </row>
    <row r="11" spans="1:4" ht="14.4" x14ac:dyDescent="0.3">
      <c r="A11" s="208" t="s">
        <v>2781</v>
      </c>
      <c r="B11" s="92" t="s">
        <v>2786</v>
      </c>
      <c r="C11" s="88"/>
      <c r="D11" s="190"/>
    </row>
    <row r="12" spans="1:4" ht="14.4" x14ac:dyDescent="0.3">
      <c r="A12" s="208" t="s">
        <v>2781</v>
      </c>
      <c r="B12" s="92" t="s">
        <v>2788</v>
      </c>
      <c r="C12" s="88"/>
      <c r="D12" s="190"/>
    </row>
    <row r="13" spans="1:4" ht="14.4" x14ac:dyDescent="0.3">
      <c r="A13" s="202" t="s">
        <v>2781</v>
      </c>
      <c r="B13" s="203" t="s">
        <v>1335</v>
      </c>
      <c r="C13" s="203"/>
      <c r="D13" s="204"/>
    </row>
    <row r="14" spans="1:4" ht="27.6" x14ac:dyDescent="0.3">
      <c r="A14" s="208" t="s">
        <v>2781</v>
      </c>
      <c r="B14" s="87" t="s">
        <v>2789</v>
      </c>
      <c r="C14" s="88"/>
      <c r="D14" s="190"/>
    </row>
    <row r="15" spans="1:4" ht="14.4" x14ac:dyDescent="0.3">
      <c r="A15" s="208" t="s">
        <v>2781</v>
      </c>
      <c r="B15" s="92" t="s">
        <v>2790</v>
      </c>
      <c r="C15" s="88"/>
      <c r="D15" s="190"/>
    </row>
    <row r="16" spans="1:4" ht="14.4" x14ac:dyDescent="0.3">
      <c r="A16" s="208" t="s">
        <v>2781</v>
      </c>
      <c r="B16" s="92" t="s">
        <v>2792</v>
      </c>
      <c r="C16" s="88"/>
      <c r="D16" s="208"/>
    </row>
    <row r="17" spans="1:4" ht="14.4" x14ac:dyDescent="0.3">
      <c r="A17" s="208" t="s">
        <v>2781</v>
      </c>
      <c r="B17" s="92" t="s">
        <v>2793</v>
      </c>
      <c r="C17" s="88"/>
      <c r="D17" s="190"/>
    </row>
    <row r="18" spans="1:4" ht="14.4" x14ac:dyDescent="0.3">
      <c r="A18" s="208" t="s">
        <v>2781</v>
      </c>
      <c r="B18" s="92" t="s">
        <v>2794</v>
      </c>
      <c r="C18" s="88"/>
      <c r="D18" s="190"/>
    </row>
    <row r="19" spans="1:4" ht="43.2" x14ac:dyDescent="0.3">
      <c r="A19" s="208" t="s">
        <v>2781</v>
      </c>
      <c r="B19" s="92" t="s">
        <v>2795</v>
      </c>
      <c r="C19" s="88"/>
      <c r="D19" s="190"/>
    </row>
    <row r="20" spans="1:4" ht="14.4" x14ac:dyDescent="0.3">
      <c r="A20" s="202" t="s">
        <v>2781</v>
      </c>
      <c r="B20" s="203" t="s">
        <v>1145</v>
      </c>
      <c r="C20" s="204"/>
      <c r="D20" s="204"/>
    </row>
    <row r="21" spans="1:4" ht="14.4" x14ac:dyDescent="0.3">
      <c r="A21" s="208" t="s">
        <v>2781</v>
      </c>
      <c r="B21" s="92" t="s">
        <v>2023</v>
      </c>
      <c r="C21" s="88"/>
      <c r="D21" s="190"/>
    </row>
    <row r="22" spans="1:4" ht="41.4" x14ac:dyDescent="0.3">
      <c r="A22" s="208" t="s">
        <v>2781</v>
      </c>
      <c r="B22" s="92" t="s">
        <v>2798</v>
      </c>
      <c r="C22" s="88"/>
      <c r="D22" s="190"/>
    </row>
    <row r="23" spans="1:4" ht="69" x14ac:dyDescent="0.3">
      <c r="A23" s="208" t="s">
        <v>2781</v>
      </c>
      <c r="B23" s="92" t="s">
        <v>2799</v>
      </c>
      <c r="C23" s="88"/>
      <c r="D23" s="190"/>
    </row>
    <row r="24" spans="1:4" ht="55.2" x14ac:dyDescent="0.3">
      <c r="A24" s="208" t="s">
        <v>2781</v>
      </c>
      <c r="B24" s="92" t="s">
        <v>2800</v>
      </c>
      <c r="C24" s="88"/>
      <c r="D24" s="190"/>
    </row>
    <row r="25" spans="1:4" ht="14.4" x14ac:dyDescent="0.3">
      <c r="A25" s="202" t="s">
        <v>2802</v>
      </c>
      <c r="B25" s="203" t="s">
        <v>1136</v>
      </c>
      <c r="C25" s="204"/>
      <c r="D25" s="204"/>
    </row>
    <row r="26" spans="1:4" ht="27.6" x14ac:dyDescent="0.3">
      <c r="A26" s="208" t="s">
        <v>2802</v>
      </c>
      <c r="B26" s="92" t="s">
        <v>1190</v>
      </c>
      <c r="C26" s="88"/>
      <c r="D26" s="190"/>
    </row>
    <row r="27" spans="1:4" ht="27.6" x14ac:dyDescent="0.3">
      <c r="A27" s="208" t="s">
        <v>2802</v>
      </c>
      <c r="B27" s="92" t="s">
        <v>2803</v>
      </c>
      <c r="C27" s="88"/>
      <c r="D27" s="190"/>
    </row>
    <row r="28" spans="1:4" ht="14.4" x14ac:dyDescent="0.3">
      <c r="A28" s="208" t="s">
        <v>2802</v>
      </c>
      <c r="B28" s="92" t="s">
        <v>2804</v>
      </c>
      <c r="C28" s="88"/>
      <c r="D28" s="190"/>
    </row>
    <row r="29" spans="1:4" ht="14.4" x14ac:dyDescent="0.3">
      <c r="A29" s="208" t="s">
        <v>2802</v>
      </c>
      <c r="B29" s="92" t="s">
        <v>2805</v>
      </c>
      <c r="C29" s="88"/>
      <c r="D29" s="190"/>
    </row>
    <row r="30" spans="1:4" ht="27.6" x14ac:dyDescent="0.3">
      <c r="A30" s="208" t="s">
        <v>2802</v>
      </c>
      <c r="B30" s="92" t="s">
        <v>2807</v>
      </c>
      <c r="C30" s="88"/>
      <c r="D30" s="190"/>
    </row>
    <row r="31" spans="1:4" ht="14.4" x14ac:dyDescent="0.3">
      <c r="A31" s="208" t="s">
        <v>2802</v>
      </c>
      <c r="B31" s="92" t="s">
        <v>2809</v>
      </c>
      <c r="C31" s="88"/>
      <c r="D31" s="190"/>
    </row>
    <row r="32" spans="1:4" ht="14.4" x14ac:dyDescent="0.3">
      <c r="A32" s="208" t="s">
        <v>2802</v>
      </c>
      <c r="B32" s="92" t="s">
        <v>2810</v>
      </c>
      <c r="C32" s="88"/>
      <c r="D32" s="190"/>
    </row>
    <row r="33" spans="1:4" ht="14.4" x14ac:dyDescent="0.3">
      <c r="A33" s="208" t="s">
        <v>2802</v>
      </c>
      <c r="B33" s="92" t="s">
        <v>2812</v>
      </c>
      <c r="C33" s="88"/>
      <c r="D33" s="190"/>
    </row>
    <row r="34" spans="1:4" ht="27.6" x14ac:dyDescent="0.3">
      <c r="A34" s="202" t="s">
        <v>2802</v>
      </c>
      <c r="B34" s="203" t="s">
        <v>2813</v>
      </c>
      <c r="C34" s="204"/>
      <c r="D34" s="204"/>
    </row>
    <row r="35" spans="1:4" ht="27.6" x14ac:dyDescent="0.3">
      <c r="A35" s="208" t="s">
        <v>2802</v>
      </c>
      <c r="B35" s="92" t="s">
        <v>2814</v>
      </c>
      <c r="C35" s="88"/>
      <c r="D35" s="190"/>
    </row>
    <row r="36" spans="1:4" ht="27.6" x14ac:dyDescent="0.3">
      <c r="A36" s="208" t="s">
        <v>2802</v>
      </c>
      <c r="B36" s="92" t="s">
        <v>2815</v>
      </c>
      <c r="C36" s="88"/>
      <c r="D36" s="190"/>
    </row>
    <row r="37" spans="1:4" ht="14.4" x14ac:dyDescent="0.3">
      <c r="A37" s="202" t="s">
        <v>2802</v>
      </c>
      <c r="B37" s="203" t="s">
        <v>1145</v>
      </c>
      <c r="C37" s="204"/>
      <c r="D37" s="204"/>
    </row>
    <row r="38" spans="1:4" ht="14.4" x14ac:dyDescent="0.3">
      <c r="A38" s="208" t="s">
        <v>2802</v>
      </c>
      <c r="B38" s="92" t="s">
        <v>2816</v>
      </c>
      <c r="C38" s="88"/>
      <c r="D38" s="190"/>
    </row>
    <row r="39" spans="1:4" ht="14.4" x14ac:dyDescent="0.3">
      <c r="A39" s="202" t="s">
        <v>2802</v>
      </c>
      <c r="B39" s="203" t="s">
        <v>2045</v>
      </c>
      <c r="C39" s="204"/>
      <c r="D39" s="204"/>
    </row>
    <row r="40" spans="1:4" ht="27.6" x14ac:dyDescent="0.3">
      <c r="A40" s="208" t="s">
        <v>2802</v>
      </c>
      <c r="B40" s="92" t="s">
        <v>2818</v>
      </c>
      <c r="C40" s="88"/>
      <c r="D40" s="190"/>
    </row>
    <row r="41" spans="1:4" ht="14.4" x14ac:dyDescent="0.3">
      <c r="A41" s="208" t="s">
        <v>2802</v>
      </c>
      <c r="B41" s="92" t="s">
        <v>2820</v>
      </c>
      <c r="C41" s="88"/>
      <c r="D41" s="208"/>
    </row>
    <row r="42" spans="1:4" ht="14.4" x14ac:dyDescent="0.3">
      <c r="A42" s="208" t="s">
        <v>2802</v>
      </c>
      <c r="B42" s="92" t="s">
        <v>2821</v>
      </c>
      <c r="C42" s="88"/>
      <c r="D42" s="190"/>
    </row>
    <row r="43" spans="1:4" ht="14.4" x14ac:dyDescent="0.3">
      <c r="A43" s="208" t="s">
        <v>2802</v>
      </c>
      <c r="B43" s="92" t="s">
        <v>2823</v>
      </c>
      <c r="C43" s="88"/>
      <c r="D43" s="190"/>
    </row>
    <row r="44" spans="1:4" ht="14.4" x14ac:dyDescent="0.3">
      <c r="A44" s="208" t="s">
        <v>2802</v>
      </c>
      <c r="B44" s="92" t="s">
        <v>2824</v>
      </c>
      <c r="C44" s="88"/>
      <c r="D44" s="190"/>
    </row>
    <row r="45" spans="1:4" ht="14.4" x14ac:dyDescent="0.3">
      <c r="A45" s="208" t="s">
        <v>2802</v>
      </c>
      <c r="B45" s="92" t="s">
        <v>2826</v>
      </c>
      <c r="C45" s="88"/>
      <c r="D45" s="208"/>
    </row>
    <row r="46" spans="1:4" ht="14.4" x14ac:dyDescent="0.3">
      <c r="A46" s="208" t="s">
        <v>2802</v>
      </c>
      <c r="B46" s="92" t="s">
        <v>2828</v>
      </c>
      <c r="C46" s="88"/>
      <c r="D46" s="190"/>
    </row>
    <row r="47" spans="1:4" ht="27.6" x14ac:dyDescent="0.3">
      <c r="A47" s="208" t="s">
        <v>2802</v>
      </c>
      <c r="B47" s="92" t="s">
        <v>2830</v>
      </c>
      <c r="C47" s="88"/>
      <c r="D47" s="190"/>
    </row>
    <row r="48" spans="1:4" ht="14.4" x14ac:dyDescent="0.3">
      <c r="A48" s="208" t="s">
        <v>2802</v>
      </c>
      <c r="B48" s="92" t="s">
        <v>2831</v>
      </c>
      <c r="C48" s="88"/>
      <c r="D48" s="190"/>
    </row>
    <row r="49" spans="1:4" ht="14.4" x14ac:dyDescent="0.3">
      <c r="A49" s="208" t="s">
        <v>2802</v>
      </c>
      <c r="B49" s="92" t="s">
        <v>2833</v>
      </c>
      <c r="C49" s="88"/>
      <c r="D49" s="190"/>
    </row>
    <row r="50" spans="1:4" ht="14.4" x14ac:dyDescent="0.3">
      <c r="A50" s="208" t="s">
        <v>2802</v>
      </c>
      <c r="B50" s="92" t="s">
        <v>2834</v>
      </c>
      <c r="C50" s="88"/>
      <c r="D50" s="190"/>
    </row>
    <row r="51" spans="1:4" ht="14.4" x14ac:dyDescent="0.3">
      <c r="A51" s="208" t="s">
        <v>2802</v>
      </c>
      <c r="B51" s="92" t="s">
        <v>2836</v>
      </c>
      <c r="C51" s="88"/>
      <c r="D51" s="190"/>
    </row>
    <row r="52" spans="1:4" ht="14.4" x14ac:dyDescent="0.3">
      <c r="A52" s="208" t="s">
        <v>2802</v>
      </c>
      <c r="B52" s="92" t="s">
        <v>2838</v>
      </c>
      <c r="C52" s="88"/>
      <c r="D52" s="190"/>
    </row>
    <row r="53" spans="1:4" ht="14.4" x14ac:dyDescent="0.3">
      <c r="A53" s="208" t="s">
        <v>2802</v>
      </c>
      <c r="B53" s="92" t="s">
        <v>2840</v>
      </c>
      <c r="C53" s="88"/>
      <c r="D53" s="190"/>
    </row>
    <row r="54" spans="1:4" ht="14.4" x14ac:dyDescent="0.3">
      <c r="A54" s="208" t="s">
        <v>2802</v>
      </c>
      <c r="B54" s="92" t="s">
        <v>2842</v>
      </c>
      <c r="C54" s="88"/>
      <c r="D54" s="190"/>
    </row>
    <row r="55" spans="1:4" ht="14.4" x14ac:dyDescent="0.3">
      <c r="A55" s="208" t="s">
        <v>2802</v>
      </c>
      <c r="B55" s="92" t="s">
        <v>2843</v>
      </c>
      <c r="C55" s="88"/>
      <c r="D55" s="217"/>
    </row>
    <row r="56" spans="1:4" ht="41.4" x14ac:dyDescent="0.3">
      <c r="A56" s="208" t="s">
        <v>2802</v>
      </c>
      <c r="B56" s="92" t="s">
        <v>2845</v>
      </c>
      <c r="C56" s="88"/>
      <c r="D56" s="190"/>
    </row>
    <row r="57" spans="1:4" ht="14.4" x14ac:dyDescent="0.3">
      <c r="A57" s="208" t="s">
        <v>2802</v>
      </c>
      <c r="B57" s="92" t="s">
        <v>2847</v>
      </c>
      <c r="C57" s="88"/>
      <c r="D57" s="217"/>
    </row>
    <row r="58" spans="1:4" ht="14.4" x14ac:dyDescent="0.3">
      <c r="A58" s="208" t="s">
        <v>2802</v>
      </c>
      <c r="B58" s="92" t="s">
        <v>2848</v>
      </c>
      <c r="C58" s="88"/>
      <c r="D58" s="190"/>
    </row>
    <row r="59" spans="1:4" ht="14.4" x14ac:dyDescent="0.3">
      <c r="A59" s="208" t="s">
        <v>2802</v>
      </c>
      <c r="B59" s="92" t="s">
        <v>2849</v>
      </c>
      <c r="C59" s="88"/>
      <c r="D59" s="190"/>
    </row>
    <row r="60" spans="1:4" ht="14.4" x14ac:dyDescent="0.3">
      <c r="A60" s="208" t="s">
        <v>2802</v>
      </c>
      <c r="B60" s="92" t="s">
        <v>2850</v>
      </c>
      <c r="C60" s="88"/>
      <c r="D60" s="190"/>
    </row>
    <row r="61" spans="1:4" ht="14.4" x14ac:dyDescent="0.3">
      <c r="A61" s="202" t="s">
        <v>2802</v>
      </c>
      <c r="B61" s="203" t="s">
        <v>2851</v>
      </c>
      <c r="C61" s="203"/>
      <c r="D61" s="204"/>
    </row>
    <row r="62" spans="1:4" ht="41.4" x14ac:dyDescent="0.3">
      <c r="A62" s="208" t="s">
        <v>2802</v>
      </c>
      <c r="B62" s="92" t="s">
        <v>2854</v>
      </c>
      <c r="C62" s="88"/>
      <c r="D62" s="190"/>
    </row>
    <row r="63" spans="1:4" ht="14.4" x14ac:dyDescent="0.3">
      <c r="A63" s="208" t="s">
        <v>2802</v>
      </c>
      <c r="B63" s="92" t="s">
        <v>2855</v>
      </c>
      <c r="C63" s="88"/>
      <c r="D63" s="190"/>
    </row>
    <row r="64" spans="1:4" ht="14.4" x14ac:dyDescent="0.3">
      <c r="A64" s="208" t="s">
        <v>2802</v>
      </c>
      <c r="B64" s="92" t="s">
        <v>2856</v>
      </c>
      <c r="C64" s="88"/>
      <c r="D64" s="190"/>
    </row>
    <row r="65" spans="1:4" ht="14.4" x14ac:dyDescent="0.3">
      <c r="A65" s="208" t="s">
        <v>2802</v>
      </c>
      <c r="B65" s="92" t="s">
        <v>2858</v>
      </c>
      <c r="C65" s="88"/>
      <c r="D65" s="190"/>
    </row>
    <row r="66" spans="1:4" ht="27.6" x14ac:dyDescent="0.3">
      <c r="A66" s="208" t="s">
        <v>2802</v>
      </c>
      <c r="B66" s="92" t="s">
        <v>2860</v>
      </c>
      <c r="C66" s="88"/>
      <c r="D66" s="190"/>
    </row>
    <row r="67" spans="1:4" ht="14.4" x14ac:dyDescent="0.3">
      <c r="A67" s="208" t="s">
        <v>2802</v>
      </c>
      <c r="B67" s="92" t="s">
        <v>2861</v>
      </c>
      <c r="C67" s="88"/>
      <c r="D67" s="190"/>
    </row>
    <row r="68" spans="1:4" ht="14.4" x14ac:dyDescent="0.3">
      <c r="A68" s="208" t="s">
        <v>2802</v>
      </c>
      <c r="B68" s="92" t="s">
        <v>2863</v>
      </c>
      <c r="C68" s="88"/>
      <c r="D68" s="190"/>
    </row>
    <row r="69" spans="1:4" ht="14.4" x14ac:dyDescent="0.3">
      <c r="A69" s="208" t="s">
        <v>2802</v>
      </c>
      <c r="B69" s="92" t="s">
        <v>2864</v>
      </c>
      <c r="C69" s="88"/>
      <c r="D69" s="190"/>
    </row>
    <row r="70" spans="1:4" ht="14.4" x14ac:dyDescent="0.3">
      <c r="A70" s="208" t="s">
        <v>2802</v>
      </c>
      <c r="B70" s="92" t="s">
        <v>2865</v>
      </c>
      <c r="C70" s="88"/>
      <c r="D70" s="190"/>
    </row>
    <row r="71" spans="1:4" ht="27.6" x14ac:dyDescent="0.3">
      <c r="A71" s="208" t="s">
        <v>2802</v>
      </c>
      <c r="B71" s="92" t="s">
        <v>2867</v>
      </c>
      <c r="C71" s="88"/>
      <c r="D71" s="208"/>
    </row>
    <row r="72" spans="1:4" ht="14.4" x14ac:dyDescent="0.3">
      <c r="A72" s="208" t="s">
        <v>2802</v>
      </c>
      <c r="B72" s="92" t="s">
        <v>2868</v>
      </c>
      <c r="C72" s="88"/>
      <c r="D72" s="190"/>
    </row>
    <row r="73" spans="1:4" ht="14.4" x14ac:dyDescent="0.3">
      <c r="A73" s="208" t="s">
        <v>2802</v>
      </c>
      <c r="B73" s="92" t="s">
        <v>2870</v>
      </c>
      <c r="C73" s="88"/>
      <c r="D73" s="190"/>
    </row>
    <row r="74" spans="1:4" ht="14.4" x14ac:dyDescent="0.3">
      <c r="A74" s="208" t="s">
        <v>2802</v>
      </c>
      <c r="B74" s="92" t="s">
        <v>2872</v>
      </c>
      <c r="C74" s="88"/>
      <c r="D74" s="190"/>
    </row>
    <row r="75" spans="1:4" ht="14.4" x14ac:dyDescent="0.3">
      <c r="A75" s="208" t="s">
        <v>2802</v>
      </c>
      <c r="B75" s="92" t="s">
        <v>2874</v>
      </c>
      <c r="C75" s="88"/>
      <c r="D75" s="190"/>
    </row>
    <row r="76" spans="1:4" ht="14.4" x14ac:dyDescent="0.3">
      <c r="A76" s="208" t="s">
        <v>2802</v>
      </c>
      <c r="B76" s="92" t="s">
        <v>2877</v>
      </c>
      <c r="C76" s="88"/>
      <c r="D76" s="190"/>
    </row>
    <row r="77" spans="1:4" ht="14.4" x14ac:dyDescent="0.3">
      <c r="A77" s="208" t="s">
        <v>2802</v>
      </c>
      <c r="B77" s="92" t="s">
        <v>2879</v>
      </c>
      <c r="C77" s="88"/>
      <c r="D77" s="190"/>
    </row>
    <row r="78" spans="1:4" ht="14.4" x14ac:dyDescent="0.3">
      <c r="A78" s="208" t="s">
        <v>2802</v>
      </c>
      <c r="B78" s="92" t="s">
        <v>2882</v>
      </c>
      <c r="C78" s="88"/>
      <c r="D78" s="190"/>
    </row>
    <row r="79" spans="1:4" ht="14.4" x14ac:dyDescent="0.3">
      <c r="A79" s="208" t="s">
        <v>2802</v>
      </c>
      <c r="B79" s="92" t="s">
        <v>2883</v>
      </c>
      <c r="C79" s="88"/>
      <c r="D79" s="190"/>
    </row>
    <row r="80" spans="1:4" ht="14.4" x14ac:dyDescent="0.3">
      <c r="A80" s="202" t="s">
        <v>2802</v>
      </c>
      <c r="B80" s="203" t="s">
        <v>1145</v>
      </c>
      <c r="C80" s="204"/>
      <c r="D80" s="204"/>
    </row>
    <row r="81" spans="1:4" ht="14.4" x14ac:dyDescent="0.3">
      <c r="A81" s="208" t="s">
        <v>2802</v>
      </c>
      <c r="B81" s="92" t="s">
        <v>1193</v>
      </c>
      <c r="C81" s="88"/>
      <c r="D81" s="190"/>
    </row>
    <row r="82" spans="1:4" ht="14.4" x14ac:dyDescent="0.3">
      <c r="A82" s="202" t="s">
        <v>2887</v>
      </c>
      <c r="B82" s="203" t="s">
        <v>2045</v>
      </c>
      <c r="C82" s="204"/>
      <c r="D82" s="204"/>
    </row>
    <row r="83" spans="1:4" ht="14.4" x14ac:dyDescent="0.3">
      <c r="A83" s="208" t="s">
        <v>2887</v>
      </c>
      <c r="B83" s="92" t="s">
        <v>2889</v>
      </c>
      <c r="C83" s="88"/>
      <c r="D83" s="190"/>
    </row>
    <row r="84" spans="1:4" ht="14.4" x14ac:dyDescent="0.3">
      <c r="A84" s="208" t="s">
        <v>2887</v>
      </c>
      <c r="B84" s="92" t="s">
        <v>2892</v>
      </c>
      <c r="C84" s="88"/>
      <c r="D84" s="190"/>
    </row>
    <row r="85" spans="1:4" ht="14.4" x14ac:dyDescent="0.3">
      <c r="A85" s="202" t="s">
        <v>2887</v>
      </c>
      <c r="B85" s="203" t="s">
        <v>1145</v>
      </c>
      <c r="C85" s="204"/>
      <c r="D85" s="204"/>
    </row>
    <row r="86" spans="1:4" ht="14.4" x14ac:dyDescent="0.3">
      <c r="A86" s="208" t="s">
        <v>2887</v>
      </c>
      <c r="B86" s="92" t="s">
        <v>1051</v>
      </c>
      <c r="C86" s="88"/>
      <c r="D86" s="190"/>
    </row>
    <row r="87" spans="1:4" ht="14.4" x14ac:dyDescent="0.3">
      <c r="A87" s="241" t="s">
        <v>2896</v>
      </c>
      <c r="B87" s="203" t="s">
        <v>2045</v>
      </c>
      <c r="C87" s="204"/>
      <c r="D87" s="204"/>
    </row>
    <row r="88" spans="1:4" ht="28.2" x14ac:dyDescent="0.3">
      <c r="A88" s="244" t="s">
        <v>2896</v>
      </c>
      <c r="B88" s="92" t="s">
        <v>2901</v>
      </c>
      <c r="C88" s="88"/>
      <c r="D88" s="190"/>
    </row>
    <row r="89" spans="1:4" ht="14.4" x14ac:dyDescent="0.3">
      <c r="A89" s="244" t="s">
        <v>2896</v>
      </c>
      <c r="B89" s="92" t="s">
        <v>2905</v>
      </c>
      <c r="C89" s="88"/>
      <c r="D89" s="190"/>
    </row>
    <row r="90" spans="1:4" ht="14.4" x14ac:dyDescent="0.3">
      <c r="A90" s="244" t="s">
        <v>2896</v>
      </c>
      <c r="B90" s="92" t="s">
        <v>2907</v>
      </c>
      <c r="C90" s="88"/>
      <c r="D90" s="190"/>
    </row>
    <row r="91" spans="1:4" ht="14.4" x14ac:dyDescent="0.3">
      <c r="A91" s="244" t="s">
        <v>2896</v>
      </c>
      <c r="B91" s="92" t="s">
        <v>2909</v>
      </c>
      <c r="C91" s="88"/>
      <c r="D91" s="190"/>
    </row>
    <row r="92" spans="1:4" ht="14.4" x14ac:dyDescent="0.3">
      <c r="A92" s="244" t="s">
        <v>2896</v>
      </c>
      <c r="B92" s="92" t="s">
        <v>2913</v>
      </c>
      <c r="C92" s="88"/>
      <c r="D92" s="190"/>
    </row>
    <row r="93" spans="1:4" ht="14.4" x14ac:dyDescent="0.3">
      <c r="A93" s="244" t="s">
        <v>2896</v>
      </c>
      <c r="B93" s="92" t="s">
        <v>2915</v>
      </c>
      <c r="C93" s="88"/>
      <c r="D93" s="190"/>
    </row>
    <row r="94" spans="1:4" ht="14.4" x14ac:dyDescent="0.3">
      <c r="A94" s="244" t="s">
        <v>2896</v>
      </c>
      <c r="B94" s="92" t="s">
        <v>2918</v>
      </c>
      <c r="C94" s="88"/>
      <c r="D94" s="190"/>
    </row>
    <row r="95" spans="1:4" ht="14.4" x14ac:dyDescent="0.3">
      <c r="A95" s="244" t="s">
        <v>2896</v>
      </c>
      <c r="B95" s="92" t="s">
        <v>2919</v>
      </c>
      <c r="C95" s="88"/>
      <c r="D95" s="190"/>
    </row>
    <row r="96" spans="1:4" ht="14.4" x14ac:dyDescent="0.3">
      <c r="A96" s="244" t="s">
        <v>2896</v>
      </c>
      <c r="B96" s="92" t="s">
        <v>2921</v>
      </c>
      <c r="C96" s="88"/>
      <c r="D96" s="190"/>
    </row>
    <row r="97" spans="1:4" ht="14.4" x14ac:dyDescent="0.3">
      <c r="A97" s="244" t="s">
        <v>2896</v>
      </c>
      <c r="B97" s="92" t="s">
        <v>2924</v>
      </c>
      <c r="C97" s="88"/>
      <c r="D97" s="190"/>
    </row>
    <row r="98" spans="1:4" ht="14.4" x14ac:dyDescent="0.3">
      <c r="A98" s="244" t="s">
        <v>2896</v>
      </c>
      <c r="B98" s="92" t="s">
        <v>2928</v>
      </c>
      <c r="C98" s="88"/>
      <c r="D98" s="190"/>
    </row>
    <row r="99" spans="1:4" ht="14.4" x14ac:dyDescent="0.3">
      <c r="A99" s="244" t="s">
        <v>2896</v>
      </c>
      <c r="B99" s="92" t="s">
        <v>2931</v>
      </c>
      <c r="C99" s="88"/>
      <c r="D99" s="190"/>
    </row>
    <row r="100" spans="1:4" ht="14.4" x14ac:dyDescent="0.3">
      <c r="A100" s="244" t="s">
        <v>2896</v>
      </c>
      <c r="B100" s="92" t="s">
        <v>2933</v>
      </c>
      <c r="C100" s="88"/>
      <c r="D100" s="190"/>
    </row>
    <row r="101" spans="1:4" ht="14.4" x14ac:dyDescent="0.3">
      <c r="A101" s="244" t="s">
        <v>2896</v>
      </c>
      <c r="B101" s="92" t="s">
        <v>2935</v>
      </c>
      <c r="C101" s="88"/>
      <c r="D101" s="190"/>
    </row>
    <row r="102" spans="1:4" ht="14.4" x14ac:dyDescent="0.3">
      <c r="A102" s="244" t="s">
        <v>2896</v>
      </c>
      <c r="B102" s="92" t="s">
        <v>2937</v>
      </c>
      <c r="C102" s="88"/>
      <c r="D102" s="190"/>
    </row>
    <row r="103" spans="1:4" ht="14.4" x14ac:dyDescent="0.3">
      <c r="A103" s="244" t="s">
        <v>2896</v>
      </c>
      <c r="B103" s="92" t="s">
        <v>2939</v>
      </c>
      <c r="C103" s="88"/>
      <c r="D103" s="190"/>
    </row>
    <row r="104" spans="1:4" ht="14.4" x14ac:dyDescent="0.3">
      <c r="A104" s="244" t="s">
        <v>2896</v>
      </c>
      <c r="B104" s="92" t="s">
        <v>2942</v>
      </c>
      <c r="C104" s="88"/>
      <c r="D104" s="190"/>
    </row>
    <row r="105" spans="1:4" ht="14.4" x14ac:dyDescent="0.3">
      <c r="A105" s="244" t="s">
        <v>2896</v>
      </c>
      <c r="B105" s="92" t="s">
        <v>2945</v>
      </c>
      <c r="C105" s="88"/>
      <c r="D105" s="190"/>
    </row>
    <row r="106" spans="1:4" ht="14.4" x14ac:dyDescent="0.3">
      <c r="A106" s="244" t="s">
        <v>2896</v>
      </c>
      <c r="B106" s="92" t="s">
        <v>2948</v>
      </c>
      <c r="C106" s="88"/>
      <c r="D106" s="190"/>
    </row>
    <row r="107" spans="1:4" ht="14.4" x14ac:dyDescent="0.3">
      <c r="A107" s="244" t="s">
        <v>2896</v>
      </c>
      <c r="B107" s="92" t="s">
        <v>2950</v>
      </c>
      <c r="C107" s="88"/>
      <c r="D107" s="190"/>
    </row>
    <row r="108" spans="1:4" ht="14.4" x14ac:dyDescent="0.3">
      <c r="A108" s="244" t="s">
        <v>2896</v>
      </c>
      <c r="B108" s="92" t="s">
        <v>2952</v>
      </c>
      <c r="C108" s="88"/>
      <c r="D108" s="190"/>
    </row>
    <row r="109" spans="1:4" ht="41.4" x14ac:dyDescent="0.3">
      <c r="A109" s="244" t="s">
        <v>2896</v>
      </c>
      <c r="B109" s="92" t="s">
        <v>2954</v>
      </c>
      <c r="C109" s="88"/>
      <c r="D109" s="190"/>
    </row>
    <row r="110" spans="1:4" ht="14.4" x14ac:dyDescent="0.3">
      <c r="A110" s="244" t="s">
        <v>2896</v>
      </c>
      <c r="B110" s="92" t="s">
        <v>2957</v>
      </c>
      <c r="C110" s="88"/>
      <c r="D110" s="190"/>
    </row>
    <row r="111" spans="1:4" ht="14.4" x14ac:dyDescent="0.3">
      <c r="A111" s="244" t="s">
        <v>2896</v>
      </c>
      <c r="B111" s="92" t="s">
        <v>2960</v>
      </c>
      <c r="C111" s="88"/>
      <c r="D111" s="190"/>
    </row>
    <row r="112" spans="1:4" ht="14.4" x14ac:dyDescent="0.3">
      <c r="A112" s="244" t="s">
        <v>2896</v>
      </c>
      <c r="B112" s="92" t="s">
        <v>2961</v>
      </c>
      <c r="C112" s="88"/>
      <c r="D112" s="190"/>
    </row>
    <row r="113" spans="1:4" ht="14.4" x14ac:dyDescent="0.3">
      <c r="A113" s="244" t="s">
        <v>2896</v>
      </c>
      <c r="B113" s="92" t="s">
        <v>2964</v>
      </c>
      <c r="C113" s="88"/>
      <c r="D113" s="190"/>
    </row>
    <row r="114" spans="1:4" ht="14.4" x14ac:dyDescent="0.3">
      <c r="A114" s="244" t="s">
        <v>2896</v>
      </c>
      <c r="B114" s="92" t="s">
        <v>2966</v>
      </c>
      <c r="C114" s="88"/>
      <c r="D114" s="190"/>
    </row>
    <row r="115" spans="1:4" ht="14.4" x14ac:dyDescent="0.3">
      <c r="A115" s="244" t="s">
        <v>2896</v>
      </c>
      <c r="B115" s="92" t="s">
        <v>2969</v>
      </c>
      <c r="C115" s="88"/>
      <c r="D115" s="190"/>
    </row>
    <row r="116" spans="1:4" ht="14.4" x14ac:dyDescent="0.3">
      <c r="A116" s="244" t="s">
        <v>2896</v>
      </c>
      <c r="B116" s="92" t="s">
        <v>2971</v>
      </c>
      <c r="C116" s="88"/>
      <c r="D116" s="190"/>
    </row>
    <row r="117" spans="1:4" ht="14.4" x14ac:dyDescent="0.3">
      <c r="A117" s="244" t="s">
        <v>2896</v>
      </c>
      <c r="B117" s="92" t="s">
        <v>2974</v>
      </c>
      <c r="C117" s="88"/>
      <c r="D117" s="190"/>
    </row>
    <row r="118" spans="1:4" ht="27.6" x14ac:dyDescent="0.3">
      <c r="A118" s="244" t="s">
        <v>2896</v>
      </c>
      <c r="B118" s="92" t="s">
        <v>2977</v>
      </c>
      <c r="C118" s="88"/>
      <c r="D118" s="190"/>
    </row>
    <row r="119" spans="1:4" ht="14.4" x14ac:dyDescent="0.3">
      <c r="A119" s="244" t="s">
        <v>2896</v>
      </c>
      <c r="B119" s="92" t="s">
        <v>2979</v>
      </c>
      <c r="C119" s="88"/>
      <c r="D119" s="190"/>
    </row>
    <row r="120" spans="1:4" ht="14.4" x14ac:dyDescent="0.3">
      <c r="A120" s="244" t="s">
        <v>2896</v>
      </c>
      <c r="B120" s="92" t="s">
        <v>2981</v>
      </c>
      <c r="C120" s="88"/>
      <c r="D120" s="190"/>
    </row>
    <row r="121" spans="1:4" ht="14.4" x14ac:dyDescent="0.3">
      <c r="A121" s="244" t="s">
        <v>2896</v>
      </c>
      <c r="B121" s="92" t="s">
        <v>2984</v>
      </c>
      <c r="C121" s="88"/>
      <c r="D121" s="190"/>
    </row>
    <row r="122" spans="1:4" ht="27.6" x14ac:dyDescent="0.3">
      <c r="A122" s="244" t="s">
        <v>2896</v>
      </c>
      <c r="B122" s="92" t="s">
        <v>2985</v>
      </c>
      <c r="C122" s="88"/>
      <c r="D122" s="190"/>
    </row>
    <row r="123" spans="1:4" ht="14.4" x14ac:dyDescent="0.3">
      <c r="A123" s="244" t="s">
        <v>2896</v>
      </c>
      <c r="B123" s="92" t="s">
        <v>2988</v>
      </c>
      <c r="C123" s="88"/>
      <c r="D123" s="190"/>
    </row>
    <row r="124" spans="1:4" ht="14.4" x14ac:dyDescent="0.3">
      <c r="A124" s="244" t="s">
        <v>2896</v>
      </c>
      <c r="B124" s="92" t="s">
        <v>2990</v>
      </c>
      <c r="C124" s="88"/>
      <c r="D124" s="190"/>
    </row>
    <row r="125" spans="1:4" ht="14.4" x14ac:dyDescent="0.3">
      <c r="A125" s="244" t="s">
        <v>2896</v>
      </c>
      <c r="B125" s="92" t="s">
        <v>2993</v>
      </c>
      <c r="C125" s="88"/>
      <c r="D125" s="190"/>
    </row>
    <row r="126" spans="1:4" ht="27.6" x14ac:dyDescent="0.3">
      <c r="A126" s="234" t="s">
        <v>2994</v>
      </c>
      <c r="B126" s="203" t="s">
        <v>2995</v>
      </c>
      <c r="C126" s="204"/>
      <c r="D126" s="204"/>
    </row>
    <row r="127" spans="1:4" ht="14.4" x14ac:dyDescent="0.3">
      <c r="A127" s="235" t="s">
        <v>2994</v>
      </c>
      <c r="B127" s="92" t="s">
        <v>1055</v>
      </c>
      <c r="C127" s="88"/>
      <c r="D127" s="190"/>
    </row>
    <row r="128" spans="1:4" ht="14.4" x14ac:dyDescent="0.3">
      <c r="A128" s="202" t="s">
        <v>2999</v>
      </c>
      <c r="B128" s="203" t="s">
        <v>837</v>
      </c>
      <c r="C128" s="204"/>
      <c r="D128" s="204"/>
    </row>
    <row r="129" spans="1:4" ht="27.6" x14ac:dyDescent="0.3">
      <c r="A129" s="208" t="s">
        <v>2999</v>
      </c>
      <c r="B129" s="92" t="s">
        <v>3001</v>
      </c>
      <c r="C129" s="88"/>
      <c r="D129" s="190"/>
    </row>
    <row r="130" spans="1:4" ht="14.4" x14ac:dyDescent="0.3">
      <c r="A130" s="208" t="s">
        <v>2999</v>
      </c>
      <c r="B130" s="92" t="s">
        <v>3002</v>
      </c>
      <c r="C130" s="88"/>
      <c r="D130" s="190"/>
    </row>
    <row r="131" spans="1:4" ht="14.4" x14ac:dyDescent="0.3">
      <c r="A131" s="208" t="s">
        <v>2999</v>
      </c>
      <c r="B131" s="92" t="s">
        <v>3004</v>
      </c>
      <c r="C131" s="88"/>
      <c r="D131" s="190"/>
    </row>
    <row r="132" spans="1:4" ht="14.4" x14ac:dyDescent="0.3">
      <c r="A132" s="208" t="s">
        <v>2999</v>
      </c>
      <c r="B132" s="92" t="s">
        <v>3007</v>
      </c>
      <c r="C132" s="88"/>
      <c r="D132" s="190"/>
    </row>
    <row r="133" spans="1:4" ht="14.4" x14ac:dyDescent="0.3">
      <c r="A133" s="208" t="s">
        <v>2999</v>
      </c>
      <c r="B133" s="92" t="s">
        <v>3009</v>
      </c>
      <c r="C133" s="88"/>
      <c r="D133" s="190"/>
    </row>
    <row r="134" spans="1:4" ht="14.4" x14ac:dyDescent="0.3">
      <c r="A134" s="208" t="s">
        <v>2999</v>
      </c>
      <c r="B134" s="92" t="s">
        <v>3012</v>
      </c>
      <c r="C134" s="88"/>
      <c r="D134" s="190"/>
    </row>
    <row r="135" spans="1:4" ht="14.4" x14ac:dyDescent="0.3">
      <c r="A135" s="208" t="s">
        <v>2999</v>
      </c>
      <c r="B135" s="92" t="s">
        <v>3014</v>
      </c>
      <c r="C135" s="88"/>
      <c r="D135" s="190"/>
    </row>
    <row r="136" spans="1:4" ht="14.4" x14ac:dyDescent="0.3">
      <c r="A136" s="208" t="s">
        <v>2999</v>
      </c>
      <c r="B136" s="92" t="s">
        <v>3017</v>
      </c>
      <c r="C136" s="88"/>
      <c r="D136" s="190"/>
    </row>
    <row r="137" spans="1:4" ht="14.4" x14ac:dyDescent="0.3">
      <c r="A137" s="202" t="s">
        <v>2999</v>
      </c>
      <c r="B137" s="203" t="s">
        <v>3019</v>
      </c>
      <c r="C137" s="203"/>
      <c r="D137" s="204"/>
    </row>
    <row r="138" spans="1:4" ht="14.4" x14ac:dyDescent="0.3">
      <c r="A138" s="208" t="s">
        <v>2999</v>
      </c>
      <c r="B138" s="92" t="s">
        <v>3020</v>
      </c>
      <c r="C138" s="88"/>
      <c r="D138" s="190"/>
    </row>
    <row r="139" spans="1:4" ht="14.4" x14ac:dyDescent="0.3">
      <c r="A139" s="208" t="s">
        <v>2999</v>
      </c>
      <c r="B139" s="92" t="s">
        <v>3022</v>
      </c>
      <c r="C139" s="88"/>
      <c r="D139" s="190"/>
    </row>
    <row r="140" spans="1:4" ht="14.4" x14ac:dyDescent="0.3">
      <c r="A140" s="202" t="s">
        <v>2999</v>
      </c>
      <c r="B140" s="203" t="s">
        <v>1734</v>
      </c>
      <c r="C140" s="204"/>
      <c r="D140" s="204"/>
    </row>
    <row r="141" spans="1:4" ht="14.4" x14ac:dyDescent="0.3">
      <c r="A141" s="208" t="s">
        <v>2999</v>
      </c>
      <c r="B141" s="92" t="s">
        <v>3026</v>
      </c>
      <c r="C141" s="88"/>
      <c r="D141" s="190"/>
    </row>
    <row r="142" spans="1:4" ht="14.4" x14ac:dyDescent="0.3">
      <c r="A142" s="17"/>
      <c r="B142" s="46"/>
      <c r="C142" s="17"/>
      <c r="D142" s="17"/>
    </row>
    <row r="143" spans="1:4" ht="14.4" x14ac:dyDescent="0.3">
      <c r="A143" s="17"/>
      <c r="B143" s="46"/>
      <c r="C143" s="17"/>
      <c r="D143" s="17"/>
    </row>
    <row r="144" spans="1:4" ht="14.4" x14ac:dyDescent="0.3">
      <c r="A144" s="17"/>
      <c r="B144" s="15" t="s">
        <v>75</v>
      </c>
      <c r="C144" s="2">
        <f>COUNTIF($C$4:$C$141,"C")</f>
        <v>1</v>
      </c>
      <c r="D144" s="17"/>
    </row>
    <row r="145" spans="2:3" ht="14.4" x14ac:dyDescent="0.3">
      <c r="B145" s="15" t="s">
        <v>81</v>
      </c>
      <c r="C145" s="2">
        <f>COUNTIF($C$4:$C$141,"NC")</f>
        <v>1</v>
      </c>
    </row>
    <row r="146" spans="2:3" ht="14.4" x14ac:dyDescent="0.3">
      <c r="B146" s="15" t="s">
        <v>84</v>
      </c>
      <c r="C146" s="2">
        <f>COUNTIF($C$4:$C$141,"NA")</f>
        <v>1</v>
      </c>
    </row>
  </sheetData>
  <conditionalFormatting sqref="C8:C12 C14:C19 C21:C24 C26:C33 C35:C36 C38 C40:C60 C62:C79 C81 C83:C84 C86 C88:C125 C127 C129:C136 C138:C139 C141">
    <cfRule type="beginsWith" dxfId="38" priority="1" operator="beginsWith" text="C">
      <formula>LEFT((C8),LEN("C"))=("C")</formula>
    </cfRule>
    <cfRule type="beginsWith" dxfId="37" priority="2" operator="beginsWith" text="NC">
      <formula>LEFT((C8),LEN("NC"))=("NC")</formula>
    </cfRule>
    <cfRule type="beginsWith" dxfId="36" priority="3" operator="beginsWith" text="NA">
      <formula>LEFT((C8),LEN("NA"))=("NA")</formula>
    </cfRule>
  </conditionalFormatting>
  <dataValidations count="1">
    <dataValidation type="list" allowBlank="1" sqref="C8:C12 C14:C19 C21:C24 C26:C33 C35:C36 C38 C40:C60 C62:C79 C81 C83:C84 C86 C88:C125 C127 C129:C136 C138:C139 C141" xr:uid="{00000000-0002-0000-2200-000000000000}">
      <formula1>"C,NC,NA"</formula1>
    </dataValidation>
  </dataValidations>
  <hyperlinks>
    <hyperlink ref="B1" location="'Tabla de contenido'!A1" display="VOLVER A TABLA DE CONTENIDO" xr:uid="{00000000-0004-0000-2200-000000000000}"/>
  </hyperlinks>
  <pageMargins left="0.7" right="0.7" top="0.75" bottom="0.75" header="0" footer="0"/>
  <pageSetup orientation="portrait"/>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38761D"/>
  </sheetPr>
  <dimension ref="A1:D116"/>
  <sheetViews>
    <sheetView showGridLines="0" workbookViewId="0">
      <selection sqref="A1:D1"/>
    </sheetView>
  </sheetViews>
  <sheetFormatPr baseColWidth="10" defaultColWidth="14.44140625" defaultRowHeight="15" customHeight="1" outlineLevelCol="1" x14ac:dyDescent="0.3"/>
  <cols>
    <col min="1" max="1" width="14.88671875" customWidth="1"/>
    <col min="2" max="2" width="80.33203125" customWidth="1"/>
    <col min="3" max="3" width="11.5546875" customWidth="1"/>
    <col min="4" max="4" width="30.44140625" customWidth="1" outlineLevel="1"/>
    <col min="5" max="5" width="3.21875" customWidth="1"/>
    <col min="6" max="24" width="10.77734375" customWidth="1"/>
  </cols>
  <sheetData>
    <row r="1" spans="1:4" ht="14.4" x14ac:dyDescent="0.3">
      <c r="A1" s="269"/>
      <c r="B1" s="270" t="s">
        <v>0</v>
      </c>
      <c r="C1" s="269"/>
      <c r="D1" s="269"/>
    </row>
    <row r="2" spans="1:4" ht="14.4" x14ac:dyDescent="0.3">
      <c r="A2" s="59"/>
      <c r="B2" s="60" t="s">
        <v>2215</v>
      </c>
      <c r="C2" s="196"/>
      <c r="D2" s="62"/>
    </row>
    <row r="3" spans="1:4" ht="15.6" x14ac:dyDescent="0.3">
      <c r="A3" s="59"/>
      <c r="B3" s="237" t="s">
        <v>2780</v>
      </c>
      <c r="C3" s="61"/>
      <c r="D3" s="62"/>
    </row>
    <row r="4" spans="1:4" ht="14.4" x14ac:dyDescent="0.3">
      <c r="A4" s="59"/>
      <c r="B4" s="60" t="s">
        <v>922</v>
      </c>
      <c r="C4" s="59"/>
      <c r="D4" s="59"/>
    </row>
    <row r="5" spans="1:4" ht="14.4" x14ac:dyDescent="0.3">
      <c r="A5" s="59" t="s">
        <v>7</v>
      </c>
      <c r="B5" s="60" t="s">
        <v>9</v>
      </c>
      <c r="C5" s="59" t="s">
        <v>10</v>
      </c>
      <c r="D5" s="59" t="s">
        <v>11</v>
      </c>
    </row>
    <row r="6" spans="1:4" ht="14.4" x14ac:dyDescent="0.3">
      <c r="A6" s="93" t="s">
        <v>2785</v>
      </c>
      <c r="B6" s="68" t="s">
        <v>1645</v>
      </c>
      <c r="C6" s="93"/>
      <c r="D6" s="93"/>
    </row>
    <row r="7" spans="1:4" ht="27.6" x14ac:dyDescent="0.3">
      <c r="A7" s="208" t="s">
        <v>2785</v>
      </c>
      <c r="B7" s="87" t="s">
        <v>2787</v>
      </c>
      <c r="C7" s="95" t="s">
        <v>16</v>
      </c>
      <c r="D7" s="190"/>
    </row>
    <row r="8" spans="1:4" ht="14.4" x14ac:dyDescent="0.3">
      <c r="A8" s="208" t="s">
        <v>2785</v>
      </c>
      <c r="B8" s="87" t="s">
        <v>2791</v>
      </c>
      <c r="C8" s="95" t="s">
        <v>20</v>
      </c>
      <c r="D8" s="190"/>
    </row>
    <row r="9" spans="1:4" ht="14.4" x14ac:dyDescent="0.3">
      <c r="A9" s="208" t="s">
        <v>2785</v>
      </c>
      <c r="B9" s="87" t="s">
        <v>2680</v>
      </c>
      <c r="C9" s="95" t="s">
        <v>24</v>
      </c>
      <c r="D9" s="190"/>
    </row>
    <row r="10" spans="1:4" ht="14.4" x14ac:dyDescent="0.3">
      <c r="A10" s="208" t="s">
        <v>2785</v>
      </c>
      <c r="B10" s="87" t="s">
        <v>2682</v>
      </c>
      <c r="C10" s="95"/>
      <c r="D10" s="190"/>
    </row>
    <row r="11" spans="1:4" ht="14.4" x14ac:dyDescent="0.3">
      <c r="A11" s="93" t="s">
        <v>2785</v>
      </c>
      <c r="B11" s="68" t="s">
        <v>1335</v>
      </c>
      <c r="C11" s="93"/>
      <c r="D11" s="93"/>
    </row>
    <row r="12" spans="1:4" ht="14.4" x14ac:dyDescent="0.3">
      <c r="A12" s="208" t="s">
        <v>2785</v>
      </c>
      <c r="B12" s="87" t="s">
        <v>2796</v>
      </c>
      <c r="C12" s="95"/>
      <c r="D12" s="208"/>
    </row>
    <row r="13" spans="1:4" ht="14.4" x14ac:dyDescent="0.3">
      <c r="A13" s="208" t="s">
        <v>2785</v>
      </c>
      <c r="B13" s="87" t="s">
        <v>2797</v>
      </c>
      <c r="C13" s="95"/>
      <c r="D13" s="190"/>
    </row>
    <row r="14" spans="1:4" ht="14.4" x14ac:dyDescent="0.3">
      <c r="A14" s="208" t="s">
        <v>2785</v>
      </c>
      <c r="B14" s="87" t="s">
        <v>2690</v>
      </c>
      <c r="C14" s="95"/>
      <c r="D14" s="190"/>
    </row>
    <row r="15" spans="1:4" ht="41.4" x14ac:dyDescent="0.3">
      <c r="A15" s="208" t="s">
        <v>2785</v>
      </c>
      <c r="B15" s="87" t="s">
        <v>2801</v>
      </c>
      <c r="C15" s="95"/>
      <c r="D15" s="190"/>
    </row>
    <row r="16" spans="1:4" ht="14.4" x14ac:dyDescent="0.3">
      <c r="A16" s="93" t="s">
        <v>2785</v>
      </c>
      <c r="B16" s="68" t="s">
        <v>1712</v>
      </c>
      <c r="C16" s="93"/>
      <c r="D16" s="93"/>
    </row>
    <row r="17" spans="1:4" ht="14.4" x14ac:dyDescent="0.3">
      <c r="A17" s="208" t="s">
        <v>2785</v>
      </c>
      <c r="B17" s="87" t="s">
        <v>2023</v>
      </c>
      <c r="C17" s="95"/>
      <c r="D17" s="190"/>
    </row>
    <row r="18" spans="1:4" ht="41.4" x14ac:dyDescent="0.3">
      <c r="A18" s="208" t="s">
        <v>2785</v>
      </c>
      <c r="B18" s="87" t="s">
        <v>2806</v>
      </c>
      <c r="C18" s="95"/>
      <c r="D18" s="190"/>
    </row>
    <row r="19" spans="1:4" ht="55.2" x14ac:dyDescent="0.3">
      <c r="A19" s="208" t="s">
        <v>2785</v>
      </c>
      <c r="B19" s="87" t="s">
        <v>2808</v>
      </c>
      <c r="C19" s="95"/>
      <c r="D19" s="190"/>
    </row>
    <row r="20" spans="1:4" ht="14.4" x14ac:dyDescent="0.3">
      <c r="A20" s="93" t="s">
        <v>2811</v>
      </c>
      <c r="B20" s="68" t="s">
        <v>922</v>
      </c>
      <c r="C20" s="93"/>
      <c r="D20" s="93"/>
    </row>
    <row r="21" spans="1:4" ht="14.4" x14ac:dyDescent="0.3">
      <c r="A21" s="93" t="s">
        <v>2811</v>
      </c>
      <c r="B21" s="68" t="s">
        <v>1136</v>
      </c>
      <c r="C21" s="93"/>
      <c r="D21" s="93"/>
    </row>
    <row r="22" spans="1:4" ht="27.6" x14ac:dyDescent="0.3">
      <c r="A22" s="208" t="s">
        <v>2811</v>
      </c>
      <c r="B22" s="87" t="s">
        <v>1803</v>
      </c>
      <c r="C22" s="95"/>
      <c r="D22" s="190"/>
    </row>
    <row r="23" spans="1:4" ht="27.6" x14ac:dyDescent="0.3">
      <c r="A23" s="208" t="s">
        <v>2811</v>
      </c>
      <c r="B23" s="87" t="s">
        <v>2817</v>
      </c>
      <c r="C23" s="95"/>
      <c r="D23" s="190"/>
    </row>
    <row r="24" spans="1:4" ht="14.4" x14ac:dyDescent="0.3">
      <c r="A24" s="208" t="s">
        <v>2811</v>
      </c>
      <c r="B24" s="87" t="s">
        <v>2819</v>
      </c>
      <c r="C24" s="95"/>
      <c r="D24" s="190"/>
    </row>
    <row r="25" spans="1:4" ht="14.4" x14ac:dyDescent="0.3">
      <c r="A25" s="208" t="s">
        <v>2811</v>
      </c>
      <c r="B25" s="87" t="s">
        <v>2822</v>
      </c>
      <c r="C25" s="95"/>
      <c r="D25" s="190"/>
    </row>
    <row r="26" spans="1:4" ht="27.6" x14ac:dyDescent="0.3">
      <c r="A26" s="208" t="s">
        <v>2811</v>
      </c>
      <c r="B26" s="87" t="s">
        <v>2825</v>
      </c>
      <c r="C26" s="95"/>
      <c r="D26" s="190"/>
    </row>
    <row r="27" spans="1:4" ht="14.4" x14ac:dyDescent="0.3">
      <c r="A27" s="208" t="s">
        <v>2811</v>
      </c>
      <c r="B27" s="87" t="s">
        <v>2827</v>
      </c>
      <c r="C27" s="95"/>
      <c r="D27" s="190"/>
    </row>
    <row r="28" spans="1:4" ht="14.4" x14ac:dyDescent="0.3">
      <c r="A28" s="208" t="s">
        <v>2811</v>
      </c>
      <c r="B28" s="87" t="s">
        <v>2829</v>
      </c>
      <c r="C28" s="95"/>
      <c r="D28" s="190"/>
    </row>
    <row r="29" spans="1:4" ht="14.4" x14ac:dyDescent="0.3">
      <c r="A29" s="208" t="s">
        <v>2811</v>
      </c>
      <c r="B29" s="87" t="s">
        <v>2832</v>
      </c>
      <c r="C29" s="95"/>
      <c r="D29" s="190"/>
    </row>
    <row r="30" spans="1:4" ht="14.4" x14ac:dyDescent="0.3">
      <c r="A30" s="208" t="s">
        <v>2811</v>
      </c>
      <c r="B30" s="87" t="s">
        <v>2835</v>
      </c>
      <c r="C30" s="95"/>
      <c r="D30" s="190"/>
    </row>
    <row r="31" spans="1:4" ht="27.6" x14ac:dyDescent="0.3">
      <c r="A31" s="208" t="s">
        <v>2811</v>
      </c>
      <c r="B31" s="87" t="s">
        <v>2837</v>
      </c>
      <c r="C31" s="95"/>
      <c r="D31" s="190"/>
    </row>
    <row r="32" spans="1:4" ht="14.4" x14ac:dyDescent="0.3">
      <c r="A32" s="208" t="s">
        <v>2811</v>
      </c>
      <c r="B32" s="87" t="s">
        <v>2839</v>
      </c>
      <c r="C32" s="95"/>
      <c r="D32" s="208"/>
    </row>
    <row r="33" spans="1:4" ht="14.4" x14ac:dyDescent="0.3">
      <c r="A33" s="93" t="s">
        <v>2811</v>
      </c>
      <c r="B33" s="68" t="s">
        <v>2841</v>
      </c>
      <c r="C33" s="93"/>
      <c r="D33" s="93"/>
    </row>
    <row r="34" spans="1:4" ht="14.4" x14ac:dyDescent="0.3">
      <c r="A34" s="208" t="s">
        <v>2811</v>
      </c>
      <c r="B34" s="87" t="s">
        <v>2844</v>
      </c>
      <c r="C34" s="95"/>
      <c r="D34" s="190"/>
    </row>
    <row r="35" spans="1:4" ht="14.4" x14ac:dyDescent="0.3">
      <c r="A35" s="208" t="s">
        <v>2811</v>
      </c>
      <c r="B35" s="87" t="s">
        <v>2846</v>
      </c>
      <c r="C35" s="95"/>
      <c r="D35" s="190"/>
    </row>
    <row r="36" spans="1:4" ht="14.4" x14ac:dyDescent="0.3">
      <c r="A36" s="93" t="s">
        <v>2811</v>
      </c>
      <c r="B36" s="68" t="s">
        <v>1145</v>
      </c>
      <c r="C36" s="93"/>
      <c r="D36" s="93"/>
    </row>
    <row r="37" spans="1:4" ht="14.4" x14ac:dyDescent="0.3">
      <c r="A37" s="208" t="s">
        <v>2811</v>
      </c>
      <c r="B37" s="87" t="s">
        <v>1034</v>
      </c>
      <c r="C37" s="95"/>
      <c r="D37" s="190"/>
    </row>
    <row r="38" spans="1:4" ht="14.4" x14ac:dyDescent="0.3">
      <c r="A38" s="93" t="s">
        <v>2852</v>
      </c>
      <c r="B38" s="68" t="s">
        <v>2853</v>
      </c>
      <c r="C38" s="93"/>
      <c r="D38" s="93"/>
    </row>
    <row r="39" spans="1:4" ht="14.4" x14ac:dyDescent="0.3">
      <c r="A39" s="93" t="s">
        <v>2852</v>
      </c>
      <c r="B39" s="68" t="s">
        <v>1136</v>
      </c>
      <c r="C39" s="93"/>
      <c r="D39" s="93"/>
    </row>
    <row r="40" spans="1:4" ht="27.6" x14ac:dyDescent="0.3">
      <c r="A40" s="208" t="s">
        <v>2852</v>
      </c>
      <c r="B40" s="87" t="s">
        <v>2857</v>
      </c>
      <c r="C40" s="95"/>
      <c r="D40" s="208"/>
    </row>
    <row r="41" spans="1:4" ht="27.6" x14ac:dyDescent="0.3">
      <c r="A41" s="208" t="s">
        <v>2852</v>
      </c>
      <c r="B41" s="87" t="s">
        <v>2859</v>
      </c>
      <c r="C41" s="95"/>
      <c r="D41" s="190"/>
    </row>
    <row r="42" spans="1:4" ht="27.6" x14ac:dyDescent="0.3">
      <c r="A42" s="208" t="s">
        <v>2852</v>
      </c>
      <c r="B42" s="87" t="s">
        <v>2862</v>
      </c>
      <c r="C42" s="95"/>
      <c r="D42" s="208"/>
    </row>
    <row r="43" spans="1:4" ht="14.4" x14ac:dyDescent="0.3">
      <c r="A43" s="208" t="s">
        <v>2852</v>
      </c>
      <c r="B43" s="87" t="s">
        <v>2711</v>
      </c>
      <c r="C43" s="95"/>
      <c r="D43" s="190"/>
    </row>
    <row r="44" spans="1:4" ht="14.4" x14ac:dyDescent="0.3">
      <c r="A44" s="208" t="s">
        <v>2852</v>
      </c>
      <c r="B44" s="87" t="s">
        <v>2866</v>
      </c>
      <c r="C44" s="95"/>
      <c r="D44" s="190"/>
    </row>
    <row r="45" spans="1:4" ht="14.4" x14ac:dyDescent="0.3">
      <c r="A45" s="208" t="s">
        <v>2852</v>
      </c>
      <c r="B45" s="87" t="s">
        <v>2869</v>
      </c>
      <c r="C45" s="95"/>
      <c r="D45" s="190"/>
    </row>
    <row r="46" spans="1:4" ht="14.4" x14ac:dyDescent="0.3">
      <c r="A46" s="208" t="s">
        <v>2852</v>
      </c>
      <c r="B46" s="87" t="s">
        <v>2871</v>
      </c>
      <c r="C46" s="95"/>
      <c r="D46" s="190"/>
    </row>
    <row r="47" spans="1:4" ht="14.4" x14ac:dyDescent="0.3">
      <c r="A47" s="208" t="s">
        <v>2852</v>
      </c>
      <c r="B47" s="87" t="s">
        <v>2875</v>
      </c>
      <c r="C47" s="95"/>
      <c r="D47" s="190"/>
    </row>
    <row r="48" spans="1:4" ht="14.4" x14ac:dyDescent="0.3">
      <c r="A48" s="93" t="s">
        <v>2852</v>
      </c>
      <c r="B48" s="68" t="s">
        <v>2878</v>
      </c>
      <c r="C48" s="93"/>
      <c r="D48" s="93"/>
    </row>
    <row r="49" spans="1:4" ht="14.4" x14ac:dyDescent="0.3">
      <c r="A49" s="208" t="s">
        <v>2852</v>
      </c>
      <c r="B49" s="87" t="s">
        <v>2881</v>
      </c>
      <c r="C49" s="95"/>
      <c r="D49" s="190"/>
    </row>
    <row r="50" spans="1:4" ht="14.4" x14ac:dyDescent="0.3">
      <c r="A50" s="208" t="s">
        <v>2852</v>
      </c>
      <c r="B50" s="87" t="s">
        <v>2884</v>
      </c>
      <c r="C50" s="95"/>
      <c r="D50" s="190"/>
    </row>
    <row r="51" spans="1:4" ht="14.4" x14ac:dyDescent="0.3">
      <c r="A51" s="208" t="s">
        <v>2852</v>
      </c>
      <c r="B51" s="87" t="s">
        <v>2886</v>
      </c>
      <c r="C51" s="95"/>
      <c r="D51" s="190"/>
    </row>
    <row r="52" spans="1:4" ht="14.4" x14ac:dyDescent="0.3">
      <c r="A52" s="208" t="s">
        <v>2852</v>
      </c>
      <c r="B52" s="87" t="s">
        <v>2890</v>
      </c>
      <c r="C52" s="95"/>
      <c r="D52" s="217"/>
    </row>
    <row r="53" spans="1:4" ht="14.4" x14ac:dyDescent="0.3">
      <c r="A53" s="208" t="s">
        <v>2852</v>
      </c>
      <c r="B53" s="87" t="s">
        <v>2893</v>
      </c>
      <c r="C53" s="95"/>
      <c r="D53" s="217"/>
    </row>
    <row r="54" spans="1:4" ht="14.4" x14ac:dyDescent="0.3">
      <c r="A54" s="208" t="s">
        <v>2852</v>
      </c>
      <c r="B54" s="87" t="s">
        <v>2895</v>
      </c>
      <c r="C54" s="95"/>
      <c r="D54" s="217"/>
    </row>
    <row r="55" spans="1:4" ht="14.4" x14ac:dyDescent="0.3">
      <c r="A55" s="208" t="s">
        <v>2852</v>
      </c>
      <c r="B55" s="87" t="s">
        <v>2897</v>
      </c>
      <c r="C55" s="95"/>
      <c r="D55" s="217"/>
    </row>
    <row r="56" spans="1:4" ht="14.4" x14ac:dyDescent="0.3">
      <c r="A56" s="208" t="s">
        <v>2852</v>
      </c>
      <c r="B56" s="87" t="s">
        <v>2898</v>
      </c>
      <c r="C56" s="95"/>
      <c r="D56" s="217"/>
    </row>
    <row r="57" spans="1:4" ht="14.4" x14ac:dyDescent="0.3">
      <c r="A57" s="208" t="s">
        <v>2852</v>
      </c>
      <c r="B57" s="87" t="s">
        <v>2899</v>
      </c>
      <c r="C57" s="95"/>
      <c r="D57" s="217"/>
    </row>
    <row r="58" spans="1:4" ht="14.4" x14ac:dyDescent="0.3">
      <c r="A58" s="208" t="s">
        <v>2852</v>
      </c>
      <c r="B58" s="87" t="s">
        <v>2902</v>
      </c>
      <c r="C58" s="95"/>
      <c r="D58" s="217"/>
    </row>
    <row r="59" spans="1:4" ht="14.4" x14ac:dyDescent="0.3">
      <c r="A59" s="208" t="s">
        <v>2852</v>
      </c>
      <c r="B59" s="87" t="s">
        <v>2904</v>
      </c>
      <c r="C59" s="95"/>
      <c r="D59" s="217"/>
    </row>
    <row r="60" spans="1:4" ht="14.4" x14ac:dyDescent="0.3">
      <c r="A60" s="93" t="s">
        <v>2852</v>
      </c>
      <c r="B60" s="68" t="s">
        <v>1712</v>
      </c>
      <c r="C60" s="93"/>
      <c r="D60" s="93"/>
    </row>
    <row r="61" spans="1:4" ht="14.4" x14ac:dyDescent="0.3">
      <c r="A61" s="208" t="s">
        <v>2852</v>
      </c>
      <c r="B61" s="87" t="s">
        <v>2908</v>
      </c>
      <c r="C61" s="95"/>
      <c r="D61" s="217"/>
    </row>
    <row r="62" spans="1:4" ht="14.4" x14ac:dyDescent="0.3">
      <c r="A62" s="202" t="s">
        <v>2911</v>
      </c>
      <c r="B62" s="212" t="s">
        <v>2912</v>
      </c>
      <c r="C62" s="204"/>
      <c r="D62" s="204"/>
    </row>
    <row r="63" spans="1:4" ht="14.4" x14ac:dyDescent="0.3">
      <c r="A63" s="202" t="s">
        <v>2911</v>
      </c>
      <c r="B63" s="212" t="s">
        <v>1136</v>
      </c>
      <c r="C63" s="204"/>
      <c r="D63" s="204"/>
    </row>
    <row r="64" spans="1:4" ht="27.6" x14ac:dyDescent="0.3">
      <c r="A64" s="208" t="s">
        <v>2911</v>
      </c>
      <c r="B64" s="87" t="s">
        <v>2917</v>
      </c>
      <c r="C64" s="95"/>
      <c r="D64" s="190"/>
    </row>
    <row r="65" spans="1:4" ht="14.4" x14ac:dyDescent="0.3">
      <c r="A65" s="93" t="s">
        <v>2911</v>
      </c>
      <c r="B65" s="68" t="s">
        <v>1145</v>
      </c>
      <c r="C65" s="93"/>
      <c r="D65" s="93"/>
    </row>
    <row r="66" spans="1:4" ht="14.4" x14ac:dyDescent="0.3">
      <c r="A66" s="208" t="s">
        <v>2911</v>
      </c>
      <c r="B66" s="87" t="s">
        <v>2922</v>
      </c>
      <c r="C66" s="95"/>
      <c r="D66" s="190"/>
    </row>
    <row r="67" spans="1:4" ht="14.4" x14ac:dyDescent="0.3">
      <c r="A67" s="93" t="s">
        <v>2926</v>
      </c>
      <c r="B67" s="68" t="s">
        <v>2853</v>
      </c>
      <c r="C67" s="93"/>
      <c r="D67" s="93"/>
    </row>
    <row r="68" spans="1:4" ht="14.4" x14ac:dyDescent="0.3">
      <c r="A68" s="93" t="s">
        <v>2926</v>
      </c>
      <c r="B68" s="68" t="s">
        <v>2929</v>
      </c>
      <c r="C68" s="93"/>
      <c r="D68" s="93"/>
    </row>
    <row r="69" spans="1:4" ht="27.6" x14ac:dyDescent="0.3">
      <c r="A69" s="208" t="s">
        <v>2926</v>
      </c>
      <c r="B69" s="87" t="s">
        <v>2932</v>
      </c>
      <c r="C69" s="95"/>
      <c r="D69" s="190"/>
    </row>
    <row r="70" spans="1:4" ht="14.4" x14ac:dyDescent="0.3">
      <c r="A70" s="208" t="s">
        <v>2926</v>
      </c>
      <c r="B70" s="87" t="s">
        <v>2934</v>
      </c>
      <c r="C70" s="95"/>
      <c r="D70" s="190"/>
    </row>
    <row r="71" spans="1:4" ht="14.4" x14ac:dyDescent="0.3">
      <c r="A71" s="208" t="s">
        <v>2926</v>
      </c>
      <c r="B71" s="87" t="s">
        <v>2938</v>
      </c>
      <c r="C71" s="95"/>
      <c r="D71" s="190"/>
    </row>
    <row r="72" spans="1:4" ht="14.4" x14ac:dyDescent="0.3">
      <c r="A72" s="208" t="s">
        <v>2926</v>
      </c>
      <c r="B72" s="87" t="s">
        <v>2941</v>
      </c>
      <c r="C72" s="95"/>
      <c r="D72" s="190"/>
    </row>
    <row r="73" spans="1:4" ht="14.4" x14ac:dyDescent="0.3">
      <c r="A73" s="208" t="s">
        <v>2926</v>
      </c>
      <c r="B73" s="87" t="s">
        <v>2944</v>
      </c>
      <c r="C73" s="95"/>
      <c r="D73" s="190"/>
    </row>
    <row r="74" spans="1:4" ht="14.4" x14ac:dyDescent="0.3">
      <c r="A74" s="208" t="s">
        <v>2926</v>
      </c>
      <c r="B74" s="87" t="s">
        <v>2947</v>
      </c>
      <c r="C74" s="95"/>
      <c r="D74" s="190"/>
    </row>
    <row r="75" spans="1:4" ht="14.4" x14ac:dyDescent="0.3">
      <c r="A75" s="208" t="s">
        <v>2926</v>
      </c>
      <c r="B75" s="87" t="s">
        <v>2949</v>
      </c>
      <c r="C75" s="95"/>
      <c r="D75" s="190"/>
    </row>
    <row r="76" spans="1:4" ht="14.4" x14ac:dyDescent="0.3">
      <c r="A76" s="208" t="s">
        <v>2926</v>
      </c>
      <c r="B76" s="87" t="s">
        <v>2951</v>
      </c>
      <c r="C76" s="95"/>
      <c r="D76" s="190"/>
    </row>
    <row r="77" spans="1:4" ht="14.4" x14ac:dyDescent="0.3">
      <c r="A77" s="208" t="s">
        <v>2926</v>
      </c>
      <c r="B77" s="87" t="s">
        <v>2955</v>
      </c>
      <c r="C77" s="95"/>
      <c r="D77" s="190"/>
    </row>
    <row r="78" spans="1:4" ht="14.4" x14ac:dyDescent="0.3">
      <c r="A78" s="208" t="s">
        <v>2926</v>
      </c>
      <c r="B78" s="87" t="s">
        <v>2958</v>
      </c>
      <c r="C78" s="95"/>
      <c r="D78" s="190"/>
    </row>
    <row r="79" spans="1:4" ht="14.4" x14ac:dyDescent="0.3">
      <c r="A79" s="208" t="s">
        <v>2926</v>
      </c>
      <c r="B79" s="87" t="s">
        <v>2962</v>
      </c>
      <c r="C79" s="95"/>
      <c r="D79" s="190"/>
    </row>
    <row r="80" spans="1:4" ht="14.4" x14ac:dyDescent="0.3">
      <c r="A80" s="208" t="s">
        <v>2926</v>
      </c>
      <c r="B80" s="87" t="s">
        <v>2965</v>
      </c>
      <c r="C80" s="95"/>
      <c r="D80" s="190"/>
    </row>
    <row r="81" spans="1:4" ht="14.4" x14ac:dyDescent="0.3">
      <c r="A81" s="208" t="s">
        <v>2926</v>
      </c>
      <c r="B81" s="87" t="s">
        <v>2968</v>
      </c>
      <c r="C81" s="95"/>
      <c r="D81" s="190"/>
    </row>
    <row r="82" spans="1:4" ht="27.6" x14ac:dyDescent="0.3">
      <c r="A82" s="208" t="s">
        <v>2926</v>
      </c>
      <c r="B82" s="87" t="s">
        <v>2972</v>
      </c>
      <c r="C82" s="95"/>
      <c r="D82" s="190"/>
    </row>
    <row r="83" spans="1:4" ht="14.4" x14ac:dyDescent="0.3">
      <c r="A83" s="208" t="s">
        <v>2926</v>
      </c>
      <c r="B83" s="87" t="s">
        <v>2975</v>
      </c>
      <c r="C83" s="95"/>
      <c r="D83" s="190"/>
    </row>
    <row r="84" spans="1:4" ht="14.4" x14ac:dyDescent="0.3">
      <c r="A84" s="208" t="s">
        <v>2926</v>
      </c>
      <c r="B84" s="87" t="s">
        <v>2978</v>
      </c>
      <c r="C84" s="95"/>
      <c r="D84" s="190"/>
    </row>
    <row r="85" spans="1:4" ht="41.4" x14ac:dyDescent="0.3">
      <c r="A85" s="208" t="s">
        <v>2926</v>
      </c>
      <c r="B85" s="87" t="s">
        <v>2983</v>
      </c>
      <c r="C85" s="95"/>
      <c r="D85" s="190"/>
    </row>
    <row r="86" spans="1:4" ht="14.4" x14ac:dyDescent="0.3">
      <c r="A86" s="208" t="s">
        <v>2926</v>
      </c>
      <c r="B86" s="87" t="s">
        <v>2987</v>
      </c>
      <c r="C86" s="95"/>
      <c r="D86" s="190"/>
    </row>
    <row r="87" spans="1:4" ht="14.4" x14ac:dyDescent="0.3">
      <c r="A87" s="208" t="s">
        <v>2926</v>
      </c>
      <c r="B87" s="87" t="s">
        <v>2991</v>
      </c>
      <c r="C87" s="95"/>
      <c r="D87" s="190"/>
    </row>
    <row r="88" spans="1:4" ht="14.4" x14ac:dyDescent="0.3">
      <c r="A88" s="208" t="s">
        <v>2926</v>
      </c>
      <c r="B88" s="87" t="s">
        <v>2996</v>
      </c>
      <c r="C88" s="95"/>
      <c r="D88" s="190"/>
    </row>
    <row r="89" spans="1:4" ht="14.4" x14ac:dyDescent="0.3">
      <c r="A89" s="208" t="s">
        <v>2926</v>
      </c>
      <c r="B89" s="87" t="s">
        <v>2998</v>
      </c>
      <c r="C89" s="95"/>
      <c r="D89" s="190"/>
    </row>
    <row r="90" spans="1:4" ht="14.4" x14ac:dyDescent="0.3">
      <c r="A90" s="208" t="s">
        <v>2926</v>
      </c>
      <c r="B90" s="87" t="s">
        <v>3000</v>
      </c>
      <c r="C90" s="95"/>
      <c r="D90" s="190"/>
    </row>
    <row r="91" spans="1:4" ht="14.4" x14ac:dyDescent="0.3">
      <c r="A91" s="208" t="s">
        <v>2926</v>
      </c>
      <c r="B91" s="87" t="s">
        <v>3003</v>
      </c>
      <c r="C91" s="95"/>
      <c r="D91" s="190"/>
    </row>
    <row r="92" spans="1:4" ht="14.4" x14ac:dyDescent="0.3">
      <c r="A92" s="208" t="s">
        <v>2926</v>
      </c>
      <c r="B92" s="87" t="s">
        <v>3006</v>
      </c>
      <c r="C92" s="95"/>
      <c r="D92" s="190"/>
    </row>
    <row r="93" spans="1:4" ht="14.4" x14ac:dyDescent="0.3">
      <c r="A93" s="208" t="s">
        <v>2926</v>
      </c>
      <c r="B93" s="87" t="s">
        <v>3008</v>
      </c>
      <c r="C93" s="95"/>
      <c r="D93" s="190"/>
    </row>
    <row r="94" spans="1:4" ht="14.4" x14ac:dyDescent="0.3">
      <c r="A94" s="208" t="s">
        <v>2926</v>
      </c>
      <c r="B94" s="87" t="s">
        <v>3011</v>
      </c>
      <c r="C94" s="95"/>
      <c r="D94" s="190"/>
    </row>
    <row r="95" spans="1:4" ht="14.4" x14ac:dyDescent="0.3">
      <c r="A95" s="208" t="s">
        <v>2926</v>
      </c>
      <c r="B95" s="87" t="s">
        <v>3015</v>
      </c>
      <c r="C95" s="95"/>
      <c r="D95" s="190"/>
    </row>
    <row r="96" spans="1:4" ht="14.4" x14ac:dyDescent="0.3">
      <c r="A96" s="93" t="s">
        <v>2926</v>
      </c>
      <c r="B96" s="68" t="s">
        <v>1145</v>
      </c>
      <c r="C96" s="93"/>
      <c r="D96" s="93"/>
    </row>
    <row r="97" spans="1:4" ht="14.4" x14ac:dyDescent="0.3">
      <c r="A97" s="208" t="s">
        <v>2926</v>
      </c>
      <c r="B97" s="87" t="s">
        <v>1117</v>
      </c>
      <c r="C97" s="95"/>
      <c r="D97" s="190"/>
    </row>
    <row r="98" spans="1:4" ht="14.4" x14ac:dyDescent="0.3">
      <c r="A98" s="93" t="s">
        <v>3024</v>
      </c>
      <c r="B98" s="68" t="s">
        <v>3025</v>
      </c>
      <c r="C98" s="93"/>
      <c r="D98" s="93"/>
    </row>
    <row r="99" spans="1:4" ht="14.4" x14ac:dyDescent="0.3">
      <c r="A99" s="208" t="s">
        <v>3024</v>
      </c>
      <c r="B99" s="87" t="s">
        <v>1051</v>
      </c>
      <c r="C99" s="95"/>
      <c r="D99" s="190"/>
    </row>
    <row r="100" spans="1:4" ht="14.4" x14ac:dyDescent="0.3">
      <c r="A100" s="93" t="s">
        <v>3029</v>
      </c>
      <c r="B100" s="68" t="s">
        <v>720</v>
      </c>
      <c r="C100" s="93"/>
      <c r="D100" s="93"/>
    </row>
    <row r="101" spans="1:4" ht="27.6" x14ac:dyDescent="0.3">
      <c r="A101" s="208" t="s">
        <v>3029</v>
      </c>
      <c r="B101" s="87" t="s">
        <v>2262</v>
      </c>
      <c r="C101" s="95"/>
      <c r="D101" s="190"/>
    </row>
    <row r="102" spans="1:4" ht="14.4" x14ac:dyDescent="0.3">
      <c r="A102" s="208" t="s">
        <v>3029</v>
      </c>
      <c r="B102" s="87" t="s">
        <v>3032</v>
      </c>
      <c r="C102" s="95"/>
      <c r="D102" s="190"/>
    </row>
    <row r="103" spans="1:4" ht="14.4" x14ac:dyDescent="0.3">
      <c r="A103" s="208" t="s">
        <v>3029</v>
      </c>
      <c r="B103" s="87" t="s">
        <v>3034</v>
      </c>
      <c r="C103" s="95"/>
      <c r="D103" s="190"/>
    </row>
    <row r="104" spans="1:4" ht="14.4" x14ac:dyDescent="0.3">
      <c r="A104" s="208" t="s">
        <v>3029</v>
      </c>
      <c r="B104" s="87" t="s">
        <v>3036</v>
      </c>
      <c r="C104" s="95"/>
      <c r="D104" s="190"/>
    </row>
    <row r="105" spans="1:4" ht="14.4" x14ac:dyDescent="0.3">
      <c r="A105" s="208" t="s">
        <v>3029</v>
      </c>
      <c r="B105" s="87" t="s">
        <v>3039</v>
      </c>
      <c r="C105" s="95"/>
      <c r="D105" s="190"/>
    </row>
    <row r="106" spans="1:4" ht="14.4" x14ac:dyDescent="0.3">
      <c r="A106" s="208" t="s">
        <v>3029</v>
      </c>
      <c r="B106" s="87" t="s">
        <v>3040</v>
      </c>
      <c r="C106" s="95"/>
      <c r="D106" s="190"/>
    </row>
    <row r="107" spans="1:4" ht="14.4" x14ac:dyDescent="0.3">
      <c r="A107" s="93" t="s">
        <v>3029</v>
      </c>
      <c r="B107" s="68" t="s">
        <v>2281</v>
      </c>
      <c r="C107" s="93"/>
      <c r="D107" s="93"/>
    </row>
    <row r="108" spans="1:4" ht="14.4" x14ac:dyDescent="0.3">
      <c r="A108" s="208" t="s">
        <v>3029</v>
      </c>
      <c r="B108" s="87" t="s">
        <v>3044</v>
      </c>
      <c r="C108" s="95"/>
      <c r="D108" s="190"/>
    </row>
    <row r="109" spans="1:4" ht="14.4" x14ac:dyDescent="0.3">
      <c r="A109" s="208" t="s">
        <v>3029</v>
      </c>
      <c r="B109" s="87" t="s">
        <v>3046</v>
      </c>
      <c r="C109" s="95"/>
      <c r="D109" s="190"/>
    </row>
    <row r="110" spans="1:4" ht="14.4" x14ac:dyDescent="0.3">
      <c r="A110" s="93" t="s">
        <v>3029</v>
      </c>
      <c r="B110" s="68" t="s">
        <v>1734</v>
      </c>
      <c r="C110" s="93"/>
      <c r="D110" s="93"/>
    </row>
    <row r="111" spans="1:4" ht="14.4" x14ac:dyDescent="0.3">
      <c r="A111" s="208" t="s">
        <v>3029</v>
      </c>
      <c r="B111" s="87" t="s">
        <v>1122</v>
      </c>
      <c r="C111" s="95"/>
      <c r="D111" s="190"/>
    </row>
    <row r="114" spans="2:3" ht="14.4" x14ac:dyDescent="0.3">
      <c r="B114" s="15" t="s">
        <v>75</v>
      </c>
      <c r="C114" s="2">
        <f>COUNTIF($C$4:$C$111,"C")</f>
        <v>1</v>
      </c>
    </row>
    <row r="115" spans="2:3" ht="14.4" x14ac:dyDescent="0.3">
      <c r="B115" s="15" t="s">
        <v>81</v>
      </c>
      <c r="C115" s="2">
        <f>COUNTIF($C$4:$C$111,"NC")</f>
        <v>1</v>
      </c>
    </row>
    <row r="116" spans="2:3" ht="14.4" x14ac:dyDescent="0.3">
      <c r="B116" s="15" t="s">
        <v>84</v>
      </c>
      <c r="C116" s="2">
        <f>COUNTIF($C$4:$C$111,"NA")</f>
        <v>1</v>
      </c>
    </row>
  </sheetData>
  <conditionalFormatting sqref="C7:C10 C12:C15 C17:C19 C22:C32 C34:C35 C37 C40:C47 C49:C59 C61 C64 C66 C69:C95 C97 C99 C101:C106 C108:C109 C111">
    <cfRule type="beginsWith" dxfId="35" priority="1" operator="beginsWith" text="C">
      <formula>LEFT((C7),LEN("C"))=("C")</formula>
    </cfRule>
    <cfRule type="beginsWith" dxfId="34" priority="2" operator="beginsWith" text="NC">
      <formula>LEFT((C7),LEN("NC"))=("NC")</formula>
    </cfRule>
    <cfRule type="beginsWith" dxfId="33" priority="3" operator="beginsWith" text="NA">
      <formula>LEFT((C7),LEN("NA"))=("NA")</formula>
    </cfRule>
  </conditionalFormatting>
  <dataValidations count="1">
    <dataValidation type="list" allowBlank="1" sqref="C7:C10 C12:C15 C17:C19 C22:C32 C34:C35 C37 C40:C47 C49:C59 C61 C64 C66 C69:C95 C97 C99 C101:C106 C108:C109 C111" xr:uid="{00000000-0002-0000-2300-000000000000}">
      <formula1>"C,NC,NA"</formula1>
    </dataValidation>
  </dataValidations>
  <hyperlinks>
    <hyperlink ref="B1" location="'Tabla de contenido'!A1" display="VOLVER A TABLA DE CONTENIDO" xr:uid="{00000000-0004-0000-2300-000000000000}"/>
  </hyperlinks>
  <pageMargins left="0.7" right="0.7" top="0.75" bottom="0.75" header="0" footer="0"/>
  <pageSetup orientation="portrait"/>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38761D"/>
  </sheetPr>
  <dimension ref="A1:D142"/>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6640625" customWidth="1"/>
    <col min="3" max="3" width="15.33203125" customWidth="1"/>
    <col min="4" max="4" width="34.44140625" customWidth="1" outlineLevel="1"/>
    <col min="5" max="5" width="3.109375" customWidth="1"/>
    <col min="6" max="24" width="10.77734375" customWidth="1"/>
  </cols>
  <sheetData>
    <row r="1" spans="1:4" ht="14.4" x14ac:dyDescent="0.3">
      <c r="A1" s="269"/>
      <c r="B1" s="270" t="s">
        <v>0</v>
      </c>
      <c r="C1" s="269"/>
      <c r="D1" s="269"/>
    </row>
    <row r="2" spans="1:4" ht="14.4" x14ac:dyDescent="0.3">
      <c r="A2" s="74"/>
      <c r="B2" s="75" t="s">
        <v>2215</v>
      </c>
      <c r="C2" s="116"/>
      <c r="D2" s="77"/>
    </row>
    <row r="3" spans="1:4" ht="14.4" x14ac:dyDescent="0.3">
      <c r="A3" s="6"/>
      <c r="B3" s="18" t="s">
        <v>2873</v>
      </c>
      <c r="C3" s="117"/>
      <c r="D3" s="19"/>
    </row>
    <row r="4" spans="1:4" ht="55.2" x14ac:dyDescent="0.3">
      <c r="A4" s="6"/>
      <c r="B4" s="18" t="s">
        <v>2876</v>
      </c>
      <c r="C4" s="136"/>
      <c r="D4" s="6"/>
    </row>
    <row r="5" spans="1:4" ht="14.4" x14ac:dyDescent="0.3">
      <c r="A5" s="6" t="s">
        <v>7</v>
      </c>
      <c r="B5" s="18" t="s">
        <v>9</v>
      </c>
      <c r="C5" s="6" t="s">
        <v>10</v>
      </c>
      <c r="D5" s="6" t="s">
        <v>11</v>
      </c>
    </row>
    <row r="6" spans="1:4" ht="14.4" x14ac:dyDescent="0.3">
      <c r="A6" s="93" t="s">
        <v>2880</v>
      </c>
      <c r="B6" s="68" t="s">
        <v>1645</v>
      </c>
      <c r="C6" s="26"/>
      <c r="D6" s="93"/>
    </row>
    <row r="7" spans="1:4" ht="27.6" x14ac:dyDescent="0.3">
      <c r="A7" s="171" t="s">
        <v>2880</v>
      </c>
      <c r="B7" s="87" t="s">
        <v>2787</v>
      </c>
      <c r="C7" s="23" t="s">
        <v>16</v>
      </c>
      <c r="D7" s="50"/>
    </row>
    <row r="8" spans="1:4" ht="14.4" x14ac:dyDescent="0.3">
      <c r="A8" s="171" t="s">
        <v>2880</v>
      </c>
      <c r="B8" s="87" t="s">
        <v>2885</v>
      </c>
      <c r="C8" s="23" t="s">
        <v>20</v>
      </c>
      <c r="D8" s="50"/>
    </row>
    <row r="9" spans="1:4" ht="55.2" x14ac:dyDescent="0.3">
      <c r="A9" s="171" t="s">
        <v>2880</v>
      </c>
      <c r="B9" s="87" t="s">
        <v>2888</v>
      </c>
      <c r="C9" s="23" t="s">
        <v>24</v>
      </c>
      <c r="D9" s="50"/>
    </row>
    <row r="10" spans="1:4" ht="14.4" x14ac:dyDescent="0.3">
      <c r="A10" s="171" t="s">
        <v>2880</v>
      </c>
      <c r="B10" s="87" t="s">
        <v>2891</v>
      </c>
      <c r="C10" s="23"/>
      <c r="D10" s="50"/>
    </row>
    <row r="11" spans="1:4" ht="27.6" x14ac:dyDescent="0.3">
      <c r="A11" s="171" t="s">
        <v>2880</v>
      </c>
      <c r="B11" s="37" t="s">
        <v>2894</v>
      </c>
      <c r="C11" s="23"/>
      <c r="D11" s="50"/>
    </row>
    <row r="12" spans="1:4" ht="14.4" x14ac:dyDescent="0.3">
      <c r="A12" s="240" t="s">
        <v>2880</v>
      </c>
      <c r="B12" s="242" t="s">
        <v>1335</v>
      </c>
      <c r="C12" s="243"/>
      <c r="D12" s="243"/>
    </row>
    <row r="13" spans="1:4" ht="27.6" x14ac:dyDescent="0.3">
      <c r="A13" s="171" t="s">
        <v>2880</v>
      </c>
      <c r="B13" s="245" t="s">
        <v>2900</v>
      </c>
      <c r="C13" s="23"/>
      <c r="D13" s="36"/>
    </row>
    <row r="14" spans="1:4" ht="27.6" x14ac:dyDescent="0.3">
      <c r="A14" s="171" t="s">
        <v>2880</v>
      </c>
      <c r="B14" s="37" t="s">
        <v>2903</v>
      </c>
      <c r="C14" s="23"/>
      <c r="D14" s="36"/>
    </row>
    <row r="15" spans="1:4" ht="14.4" x14ac:dyDescent="0.3">
      <c r="A15" s="171" t="s">
        <v>2880</v>
      </c>
      <c r="B15" s="37" t="s">
        <v>2906</v>
      </c>
      <c r="C15" s="23"/>
      <c r="D15" s="36"/>
    </row>
    <row r="16" spans="1:4" ht="27.6" x14ac:dyDescent="0.3">
      <c r="A16" s="246" t="s">
        <v>2880</v>
      </c>
      <c r="B16" s="12" t="s">
        <v>2910</v>
      </c>
      <c r="C16" s="26"/>
      <c r="D16" s="22"/>
    </row>
    <row r="17" spans="1:4" ht="14.4" x14ac:dyDescent="0.3">
      <c r="A17" s="171" t="s">
        <v>2880</v>
      </c>
      <c r="B17" s="37" t="s">
        <v>2914</v>
      </c>
      <c r="C17" s="23"/>
      <c r="D17" s="36"/>
    </row>
    <row r="18" spans="1:4" ht="14.4" x14ac:dyDescent="0.3">
      <c r="A18" s="171" t="s">
        <v>2880</v>
      </c>
      <c r="B18" s="247" t="s">
        <v>2916</v>
      </c>
      <c r="C18" s="23"/>
      <c r="D18" s="49"/>
    </row>
    <row r="19" spans="1:4" ht="27.6" x14ac:dyDescent="0.3">
      <c r="A19" s="171" t="s">
        <v>2880</v>
      </c>
      <c r="B19" s="37" t="s">
        <v>2920</v>
      </c>
      <c r="C19" s="23"/>
      <c r="D19" s="50"/>
    </row>
    <row r="20" spans="1:4" ht="14.4" x14ac:dyDescent="0.3">
      <c r="A20" s="171" t="s">
        <v>2880</v>
      </c>
      <c r="B20" s="37" t="s">
        <v>2923</v>
      </c>
      <c r="C20" s="23"/>
      <c r="D20" s="36"/>
    </row>
    <row r="21" spans="1:4" ht="69" x14ac:dyDescent="0.3">
      <c r="A21" s="171" t="s">
        <v>2880</v>
      </c>
      <c r="B21" s="37" t="s">
        <v>2925</v>
      </c>
      <c r="C21" s="23"/>
      <c r="D21" s="36"/>
    </row>
    <row r="22" spans="1:4" ht="41.4" x14ac:dyDescent="0.3">
      <c r="A22" s="171" t="s">
        <v>2880</v>
      </c>
      <c r="B22" s="37" t="s">
        <v>2927</v>
      </c>
      <c r="C22" s="23"/>
      <c r="D22" s="36"/>
    </row>
    <row r="23" spans="1:4" ht="55.2" x14ac:dyDescent="0.3">
      <c r="A23" s="171" t="s">
        <v>2880</v>
      </c>
      <c r="B23" s="37" t="s">
        <v>2930</v>
      </c>
      <c r="C23" s="23"/>
      <c r="D23" s="36"/>
    </row>
    <row r="24" spans="1:4" ht="14.4" x14ac:dyDescent="0.3">
      <c r="A24" s="246" t="s">
        <v>2880</v>
      </c>
      <c r="B24" s="12" t="s">
        <v>1145</v>
      </c>
      <c r="C24" s="26"/>
      <c r="D24" s="22"/>
    </row>
    <row r="25" spans="1:4" ht="14.4" x14ac:dyDescent="0.3">
      <c r="A25" s="171" t="s">
        <v>2880</v>
      </c>
      <c r="B25" s="37" t="s">
        <v>1094</v>
      </c>
      <c r="C25" s="23"/>
      <c r="D25" s="36"/>
    </row>
    <row r="26" spans="1:4" ht="55.2" x14ac:dyDescent="0.3">
      <c r="A26" s="171" t="s">
        <v>2880</v>
      </c>
      <c r="B26" s="37" t="s">
        <v>2936</v>
      </c>
      <c r="C26" s="23"/>
      <c r="D26" s="36"/>
    </row>
    <row r="27" spans="1:4" ht="69" x14ac:dyDescent="0.3">
      <c r="A27" s="171" t="s">
        <v>2880</v>
      </c>
      <c r="B27" s="37" t="s">
        <v>2940</v>
      </c>
      <c r="C27" s="23"/>
      <c r="D27" s="36"/>
    </row>
    <row r="28" spans="1:4" ht="69" x14ac:dyDescent="0.3">
      <c r="A28" s="171" t="s">
        <v>2880</v>
      </c>
      <c r="B28" s="37" t="s">
        <v>2943</v>
      </c>
      <c r="C28" s="23"/>
      <c r="D28" s="36"/>
    </row>
    <row r="29" spans="1:4" ht="14.4" x14ac:dyDescent="0.3">
      <c r="A29" s="246" t="s">
        <v>2946</v>
      </c>
      <c r="B29" s="12" t="s">
        <v>1217</v>
      </c>
      <c r="C29" s="22"/>
      <c r="D29" s="22"/>
    </row>
    <row r="30" spans="1:4" ht="14.4" x14ac:dyDescent="0.3">
      <c r="A30" s="246" t="s">
        <v>2946</v>
      </c>
      <c r="B30" s="12" t="s">
        <v>2045</v>
      </c>
      <c r="C30" s="22"/>
      <c r="D30" s="22"/>
    </row>
    <row r="31" spans="1:4" ht="27.6" x14ac:dyDescent="0.3">
      <c r="A31" s="171" t="s">
        <v>2946</v>
      </c>
      <c r="B31" s="37" t="s">
        <v>1824</v>
      </c>
      <c r="C31" s="23"/>
      <c r="D31" s="36"/>
    </row>
    <row r="32" spans="1:4" ht="27.6" x14ac:dyDescent="0.3">
      <c r="A32" s="171" t="s">
        <v>2946</v>
      </c>
      <c r="B32" s="37" t="s">
        <v>2953</v>
      </c>
      <c r="C32" s="23"/>
      <c r="D32" s="36"/>
    </row>
    <row r="33" spans="1:4" ht="14.4" x14ac:dyDescent="0.3">
      <c r="A33" s="171" t="s">
        <v>2946</v>
      </c>
      <c r="B33" s="37" t="s">
        <v>2956</v>
      </c>
      <c r="C33" s="23"/>
      <c r="D33" s="50"/>
    </row>
    <row r="34" spans="1:4" ht="14.4" x14ac:dyDescent="0.3">
      <c r="A34" s="171" t="s">
        <v>2946</v>
      </c>
      <c r="B34" s="37" t="s">
        <v>2959</v>
      </c>
      <c r="C34" s="23"/>
      <c r="D34" s="36"/>
    </row>
    <row r="35" spans="1:4" ht="41.4" x14ac:dyDescent="0.3">
      <c r="A35" s="171" t="s">
        <v>2946</v>
      </c>
      <c r="B35" s="37" t="s">
        <v>2963</v>
      </c>
      <c r="C35" s="23"/>
      <c r="D35" s="36"/>
    </row>
    <row r="36" spans="1:4" ht="14.4" x14ac:dyDescent="0.3">
      <c r="A36" s="171" t="s">
        <v>2946</v>
      </c>
      <c r="B36" s="37" t="s">
        <v>2967</v>
      </c>
      <c r="C36" s="23"/>
      <c r="D36" s="36"/>
    </row>
    <row r="37" spans="1:4" ht="14.4" x14ac:dyDescent="0.3">
      <c r="A37" s="171" t="s">
        <v>2946</v>
      </c>
      <c r="B37" s="37" t="s">
        <v>2970</v>
      </c>
      <c r="C37" s="23"/>
      <c r="D37" s="50"/>
    </row>
    <row r="38" spans="1:4" ht="14.4" x14ac:dyDescent="0.3">
      <c r="A38" s="171" t="s">
        <v>2946</v>
      </c>
      <c r="B38" s="37" t="s">
        <v>2973</v>
      </c>
      <c r="C38" s="23"/>
      <c r="D38" s="50"/>
    </row>
    <row r="39" spans="1:4" ht="14.4" x14ac:dyDescent="0.3">
      <c r="A39" s="171" t="s">
        <v>2946</v>
      </c>
      <c r="B39" s="37" t="s">
        <v>2976</v>
      </c>
      <c r="C39" s="23"/>
      <c r="D39" s="36"/>
    </row>
    <row r="40" spans="1:4" ht="27.6" x14ac:dyDescent="0.3">
      <c r="A40" s="171" t="s">
        <v>2946</v>
      </c>
      <c r="B40" s="37" t="s">
        <v>2980</v>
      </c>
      <c r="C40" s="23"/>
      <c r="D40" s="50"/>
    </row>
    <row r="41" spans="1:4" ht="27.6" x14ac:dyDescent="0.3">
      <c r="A41" s="171" t="s">
        <v>2946</v>
      </c>
      <c r="B41" s="37" t="s">
        <v>2982</v>
      </c>
      <c r="C41" s="23"/>
      <c r="D41" s="36"/>
    </row>
    <row r="42" spans="1:4" ht="14.4" x14ac:dyDescent="0.3">
      <c r="A42" s="246" t="s">
        <v>2946</v>
      </c>
      <c r="B42" s="12" t="s">
        <v>2986</v>
      </c>
      <c r="C42" s="22"/>
      <c r="D42" s="22"/>
    </row>
    <row r="43" spans="1:4" ht="27.6" x14ac:dyDescent="0.3">
      <c r="A43" s="171" t="s">
        <v>2946</v>
      </c>
      <c r="B43" s="37" t="s">
        <v>2989</v>
      </c>
      <c r="C43" s="23"/>
      <c r="D43" s="36"/>
    </row>
    <row r="44" spans="1:4" ht="14.4" x14ac:dyDescent="0.3">
      <c r="A44" s="171" t="s">
        <v>2946</v>
      </c>
      <c r="B44" s="37" t="s">
        <v>2992</v>
      </c>
      <c r="C44" s="23"/>
      <c r="D44" s="36"/>
    </row>
    <row r="45" spans="1:4" ht="41.4" x14ac:dyDescent="0.3">
      <c r="A45" s="171" t="s">
        <v>2946</v>
      </c>
      <c r="B45" s="37" t="s">
        <v>2997</v>
      </c>
      <c r="C45" s="23"/>
      <c r="D45" s="36"/>
    </row>
    <row r="46" spans="1:4" ht="14.4" x14ac:dyDescent="0.3">
      <c r="A46" s="171" t="s">
        <v>2946</v>
      </c>
      <c r="B46" s="37" t="s">
        <v>1145</v>
      </c>
      <c r="C46" s="23"/>
      <c r="D46" s="36"/>
    </row>
    <row r="47" spans="1:4" ht="27.6" x14ac:dyDescent="0.3">
      <c r="A47" s="171" t="s">
        <v>2946</v>
      </c>
      <c r="B47" s="37" t="s">
        <v>1048</v>
      </c>
      <c r="C47" s="23"/>
      <c r="D47" s="36"/>
    </row>
    <row r="48" spans="1:4" ht="14.4" x14ac:dyDescent="0.3">
      <c r="A48" s="246" t="s">
        <v>3005</v>
      </c>
      <c r="B48" s="12" t="s">
        <v>1217</v>
      </c>
      <c r="C48" s="22"/>
      <c r="D48" s="22"/>
    </row>
    <row r="49" spans="1:4" ht="14.4" x14ac:dyDescent="0.3">
      <c r="A49" s="246" t="s">
        <v>3005</v>
      </c>
      <c r="B49" s="12" t="s">
        <v>1136</v>
      </c>
      <c r="C49" s="22"/>
      <c r="D49" s="22"/>
    </row>
    <row r="50" spans="1:4" ht="27.6" x14ac:dyDescent="0.3">
      <c r="A50" s="171" t="s">
        <v>3005</v>
      </c>
      <c r="B50" s="37" t="s">
        <v>3010</v>
      </c>
      <c r="C50" s="23"/>
      <c r="D50" s="54"/>
    </row>
    <row r="51" spans="1:4" ht="27.6" x14ac:dyDescent="0.3">
      <c r="A51" s="171" t="s">
        <v>3005</v>
      </c>
      <c r="B51" s="37" t="s">
        <v>3013</v>
      </c>
      <c r="C51" s="23"/>
      <c r="D51" s="36"/>
    </row>
    <row r="52" spans="1:4" ht="27.6" x14ac:dyDescent="0.3">
      <c r="A52" s="171" t="s">
        <v>3005</v>
      </c>
      <c r="B52" s="37" t="s">
        <v>3016</v>
      </c>
      <c r="C52" s="23"/>
      <c r="D52" s="54"/>
    </row>
    <row r="53" spans="1:4" ht="14.4" x14ac:dyDescent="0.3">
      <c r="A53" s="171" t="s">
        <v>3005</v>
      </c>
      <c r="B53" s="37" t="s">
        <v>3018</v>
      </c>
      <c r="C53" s="23"/>
      <c r="D53" s="36"/>
    </row>
    <row r="54" spans="1:4" ht="27.6" x14ac:dyDescent="0.3">
      <c r="A54" s="171" t="s">
        <v>3005</v>
      </c>
      <c r="B54" s="37" t="s">
        <v>3021</v>
      </c>
      <c r="C54" s="23"/>
      <c r="D54" s="36"/>
    </row>
    <row r="55" spans="1:4" ht="27.6" x14ac:dyDescent="0.3">
      <c r="A55" s="171" t="s">
        <v>3005</v>
      </c>
      <c r="B55" s="37" t="s">
        <v>3023</v>
      </c>
      <c r="C55" s="23"/>
      <c r="D55" s="36"/>
    </row>
    <row r="56" spans="1:4" ht="14.4" x14ac:dyDescent="0.3">
      <c r="A56" s="171" t="s">
        <v>3005</v>
      </c>
      <c r="B56" s="37" t="s">
        <v>3027</v>
      </c>
      <c r="C56" s="23"/>
      <c r="D56" s="36"/>
    </row>
    <row r="57" spans="1:4" ht="14.4" x14ac:dyDescent="0.3">
      <c r="A57" s="171" t="s">
        <v>3005</v>
      </c>
      <c r="B57" s="37" t="s">
        <v>3028</v>
      </c>
      <c r="C57" s="23"/>
      <c r="D57" s="36"/>
    </row>
    <row r="58" spans="1:4" ht="14.4" x14ac:dyDescent="0.3">
      <c r="A58" s="171" t="s">
        <v>3005</v>
      </c>
      <c r="B58" s="37" t="s">
        <v>3030</v>
      </c>
      <c r="C58" s="23"/>
      <c r="D58" s="36"/>
    </row>
    <row r="59" spans="1:4" ht="55.2" x14ac:dyDescent="0.3">
      <c r="A59" s="171" t="s">
        <v>3005</v>
      </c>
      <c r="B59" s="37" t="s">
        <v>3031</v>
      </c>
      <c r="C59" s="23"/>
      <c r="D59" s="36"/>
    </row>
    <row r="60" spans="1:4" ht="14.4" x14ac:dyDescent="0.3">
      <c r="A60" s="246" t="s">
        <v>3005</v>
      </c>
      <c r="B60" s="12" t="s">
        <v>3033</v>
      </c>
      <c r="C60" s="22"/>
      <c r="D60" s="22"/>
    </row>
    <row r="61" spans="1:4" ht="14.4" x14ac:dyDescent="0.3">
      <c r="A61" s="171" t="s">
        <v>3005</v>
      </c>
      <c r="B61" s="37" t="s">
        <v>3035</v>
      </c>
      <c r="C61" s="23"/>
      <c r="D61" s="36"/>
    </row>
    <row r="62" spans="1:4" ht="14.4" x14ac:dyDescent="0.3">
      <c r="A62" s="171" t="s">
        <v>3005</v>
      </c>
      <c r="B62" s="37" t="s">
        <v>3037</v>
      </c>
      <c r="C62" s="23"/>
      <c r="D62" s="36"/>
    </row>
    <row r="63" spans="1:4" ht="14.4" x14ac:dyDescent="0.3">
      <c r="A63" s="171" t="s">
        <v>3005</v>
      </c>
      <c r="B63" s="37" t="s">
        <v>3038</v>
      </c>
      <c r="C63" s="23"/>
      <c r="D63" s="36"/>
    </row>
    <row r="64" spans="1:4" ht="14.4" x14ac:dyDescent="0.3">
      <c r="A64" s="171" t="s">
        <v>3005</v>
      </c>
      <c r="B64" s="37" t="s">
        <v>3041</v>
      </c>
      <c r="C64" s="23"/>
      <c r="D64" s="36"/>
    </row>
    <row r="65" spans="1:4" ht="14.4" x14ac:dyDescent="0.3">
      <c r="A65" s="171" t="s">
        <v>3005</v>
      </c>
      <c r="B65" s="37" t="s">
        <v>3042</v>
      </c>
      <c r="C65" s="23"/>
      <c r="D65" s="36"/>
    </row>
    <row r="66" spans="1:4" ht="14.4" x14ac:dyDescent="0.3">
      <c r="A66" s="171" t="s">
        <v>3005</v>
      </c>
      <c r="B66" s="37" t="s">
        <v>3043</v>
      </c>
      <c r="C66" s="23"/>
      <c r="D66" s="36"/>
    </row>
    <row r="67" spans="1:4" ht="14.4" x14ac:dyDescent="0.3">
      <c r="A67" s="171" t="s">
        <v>3005</v>
      </c>
      <c r="B67" s="37" t="s">
        <v>3045</v>
      </c>
      <c r="C67" s="23"/>
      <c r="D67" s="50"/>
    </row>
    <row r="68" spans="1:4" ht="14.4" x14ac:dyDescent="0.3">
      <c r="A68" s="171" t="s">
        <v>3005</v>
      </c>
      <c r="B68" s="37" t="s">
        <v>3047</v>
      </c>
      <c r="C68" s="23"/>
      <c r="D68" s="36"/>
    </row>
    <row r="69" spans="1:4" ht="14.4" x14ac:dyDescent="0.3">
      <c r="A69" s="171" t="s">
        <v>3005</v>
      </c>
      <c r="B69" s="37" t="s">
        <v>3048</v>
      </c>
      <c r="C69" s="23"/>
      <c r="D69" s="36"/>
    </row>
    <row r="70" spans="1:4" ht="14.4" x14ac:dyDescent="0.3">
      <c r="A70" s="171" t="s">
        <v>3005</v>
      </c>
      <c r="B70" s="37" t="s">
        <v>3049</v>
      </c>
      <c r="C70" s="23"/>
      <c r="D70" s="36"/>
    </row>
    <row r="71" spans="1:4" ht="14.4" x14ac:dyDescent="0.3">
      <c r="A71" s="171" t="s">
        <v>3005</v>
      </c>
      <c r="B71" s="37" t="s">
        <v>3050</v>
      </c>
      <c r="C71" s="23"/>
      <c r="D71" s="36"/>
    </row>
    <row r="72" spans="1:4" ht="14.4" x14ac:dyDescent="0.3">
      <c r="A72" s="171" t="s">
        <v>3005</v>
      </c>
      <c r="B72" s="37" t="s">
        <v>3051</v>
      </c>
      <c r="C72" s="23"/>
      <c r="D72" s="36"/>
    </row>
    <row r="73" spans="1:4" ht="14.4" x14ac:dyDescent="0.3">
      <c r="A73" s="171" t="s">
        <v>3005</v>
      </c>
      <c r="B73" s="37" t="s">
        <v>3052</v>
      </c>
      <c r="C73" s="23"/>
      <c r="D73" s="36"/>
    </row>
    <row r="74" spans="1:4" ht="27.6" x14ac:dyDescent="0.3">
      <c r="A74" s="171" t="s">
        <v>3005</v>
      </c>
      <c r="B74" s="37" t="s">
        <v>3053</v>
      </c>
      <c r="C74" s="23"/>
      <c r="D74" s="36"/>
    </row>
    <row r="75" spans="1:4" ht="14.4" x14ac:dyDescent="0.3">
      <c r="A75" s="246" t="s">
        <v>3005</v>
      </c>
      <c r="B75" s="12" t="s">
        <v>1145</v>
      </c>
      <c r="C75" s="22"/>
      <c r="D75" s="22"/>
    </row>
    <row r="76" spans="1:4" ht="27.6" x14ac:dyDescent="0.3">
      <c r="A76" s="171" t="s">
        <v>3005</v>
      </c>
      <c r="B76" s="37" t="s">
        <v>1208</v>
      </c>
      <c r="C76" s="23"/>
      <c r="D76" s="36"/>
    </row>
    <row r="77" spans="1:4" ht="14.4" x14ac:dyDescent="0.3">
      <c r="A77" s="246" t="s">
        <v>3054</v>
      </c>
      <c r="B77" s="12" t="s">
        <v>1217</v>
      </c>
      <c r="C77" s="22"/>
      <c r="D77" s="22"/>
    </row>
    <row r="78" spans="1:4" ht="14.4" x14ac:dyDescent="0.3">
      <c r="A78" s="246" t="s">
        <v>3054</v>
      </c>
      <c r="B78" s="12" t="s">
        <v>1136</v>
      </c>
      <c r="C78" s="22"/>
      <c r="D78" s="22"/>
    </row>
    <row r="79" spans="1:4" ht="27.6" x14ac:dyDescent="0.3">
      <c r="A79" s="171" t="s">
        <v>3054</v>
      </c>
      <c r="B79" s="37" t="s">
        <v>3055</v>
      </c>
      <c r="C79" s="23"/>
      <c r="D79" s="36"/>
    </row>
    <row r="80" spans="1:4" ht="14.4" x14ac:dyDescent="0.3">
      <c r="A80" s="246" t="s">
        <v>3054</v>
      </c>
      <c r="B80" s="12" t="s">
        <v>1145</v>
      </c>
      <c r="C80" s="22"/>
      <c r="D80" s="22"/>
    </row>
    <row r="81" spans="1:4" ht="27.6" x14ac:dyDescent="0.3">
      <c r="A81" s="171" t="s">
        <v>3054</v>
      </c>
      <c r="B81" s="37" t="s">
        <v>1406</v>
      </c>
      <c r="C81" s="23"/>
      <c r="D81" s="36"/>
    </row>
    <row r="82" spans="1:4" ht="14.4" x14ac:dyDescent="0.3">
      <c r="A82" s="246" t="s">
        <v>3056</v>
      </c>
      <c r="B82" s="12" t="s">
        <v>1136</v>
      </c>
      <c r="C82" s="22"/>
      <c r="D82" s="22"/>
    </row>
    <row r="83" spans="1:4" ht="27.6" x14ac:dyDescent="0.3">
      <c r="A83" s="50" t="s">
        <v>3056</v>
      </c>
      <c r="B83" s="37" t="s">
        <v>3057</v>
      </c>
      <c r="C83" s="23"/>
      <c r="D83" s="36"/>
    </row>
    <row r="84" spans="1:4" ht="14.4" x14ac:dyDescent="0.3">
      <c r="A84" s="50" t="s">
        <v>3056</v>
      </c>
      <c r="B84" s="37" t="s">
        <v>3058</v>
      </c>
      <c r="C84" s="23"/>
      <c r="D84" s="36"/>
    </row>
    <row r="85" spans="1:4" ht="14.4" x14ac:dyDescent="0.3">
      <c r="A85" s="50" t="s">
        <v>3056</v>
      </c>
      <c r="B85" s="37" t="s">
        <v>3059</v>
      </c>
      <c r="C85" s="23"/>
      <c r="D85" s="36"/>
    </row>
    <row r="86" spans="1:4" ht="14.4" x14ac:dyDescent="0.3">
      <c r="A86" s="50" t="s">
        <v>3056</v>
      </c>
      <c r="B86" s="37" t="s">
        <v>3060</v>
      </c>
      <c r="C86" s="23"/>
      <c r="D86" s="36"/>
    </row>
    <row r="87" spans="1:4" ht="14.4" x14ac:dyDescent="0.3">
      <c r="A87" s="50" t="s">
        <v>3056</v>
      </c>
      <c r="B87" s="37" t="s">
        <v>3061</v>
      </c>
      <c r="C87" s="23"/>
      <c r="D87" s="36"/>
    </row>
    <row r="88" spans="1:4" ht="14.4" x14ac:dyDescent="0.3">
      <c r="A88" s="50" t="s">
        <v>3056</v>
      </c>
      <c r="B88" s="37" t="s">
        <v>3062</v>
      </c>
      <c r="C88" s="23"/>
      <c r="D88" s="36"/>
    </row>
    <row r="89" spans="1:4" ht="14.4" x14ac:dyDescent="0.3">
      <c r="A89" s="50" t="s">
        <v>3056</v>
      </c>
      <c r="B89" s="37" t="s">
        <v>3063</v>
      </c>
      <c r="C89" s="23"/>
      <c r="D89" s="36"/>
    </row>
    <row r="90" spans="1:4" ht="14.4" x14ac:dyDescent="0.3">
      <c r="A90" s="50" t="s">
        <v>3056</v>
      </c>
      <c r="B90" s="37" t="s">
        <v>3064</v>
      </c>
      <c r="C90" s="23"/>
      <c r="D90" s="36"/>
    </row>
    <row r="91" spans="1:4" ht="14.4" x14ac:dyDescent="0.3">
      <c r="A91" s="50" t="s">
        <v>3056</v>
      </c>
      <c r="B91" s="37" t="s">
        <v>3065</v>
      </c>
      <c r="C91" s="23"/>
      <c r="D91" s="36"/>
    </row>
    <row r="92" spans="1:4" ht="14.4" x14ac:dyDescent="0.3">
      <c r="A92" s="50" t="s">
        <v>3056</v>
      </c>
      <c r="B92" s="37" t="s">
        <v>3066</v>
      </c>
      <c r="C92" s="23"/>
      <c r="D92" s="36"/>
    </row>
    <row r="93" spans="1:4" ht="14.4" x14ac:dyDescent="0.3">
      <c r="A93" s="50" t="s">
        <v>3056</v>
      </c>
      <c r="B93" s="37" t="s">
        <v>3067</v>
      </c>
      <c r="C93" s="23"/>
      <c r="D93" s="36"/>
    </row>
    <row r="94" spans="1:4" ht="14.4" x14ac:dyDescent="0.3">
      <c r="A94" s="50" t="s">
        <v>3056</v>
      </c>
      <c r="B94" s="37" t="s">
        <v>3068</v>
      </c>
      <c r="C94" s="23"/>
      <c r="D94" s="36"/>
    </row>
    <row r="95" spans="1:4" ht="14.4" x14ac:dyDescent="0.3">
      <c r="A95" s="50" t="s">
        <v>3056</v>
      </c>
      <c r="B95" s="37" t="s">
        <v>3069</v>
      </c>
      <c r="C95" s="23"/>
      <c r="D95" s="36"/>
    </row>
    <row r="96" spans="1:4" ht="27.6" x14ac:dyDescent="0.3">
      <c r="A96" s="50" t="s">
        <v>3056</v>
      </c>
      <c r="B96" s="37" t="s">
        <v>3070</v>
      </c>
      <c r="C96" s="23"/>
      <c r="D96" s="36"/>
    </row>
    <row r="97" spans="1:4" ht="14.4" x14ac:dyDescent="0.3">
      <c r="A97" s="50" t="s">
        <v>3056</v>
      </c>
      <c r="B97" s="37" t="s">
        <v>3071</v>
      </c>
      <c r="C97" s="23"/>
      <c r="D97" s="36"/>
    </row>
    <row r="98" spans="1:4" ht="14.4" x14ac:dyDescent="0.3">
      <c r="A98" s="50" t="s">
        <v>3056</v>
      </c>
      <c r="B98" s="37" t="s">
        <v>3072</v>
      </c>
      <c r="C98" s="23"/>
      <c r="D98" s="36"/>
    </row>
    <row r="99" spans="1:4" ht="41.4" x14ac:dyDescent="0.3">
      <c r="A99" s="50" t="s">
        <v>3056</v>
      </c>
      <c r="B99" s="37" t="s">
        <v>3073</v>
      </c>
      <c r="C99" s="23"/>
      <c r="D99" s="36"/>
    </row>
    <row r="100" spans="1:4" ht="27.6" x14ac:dyDescent="0.3">
      <c r="A100" s="50" t="s">
        <v>3056</v>
      </c>
      <c r="B100" s="37" t="s">
        <v>3074</v>
      </c>
      <c r="C100" s="23"/>
      <c r="D100" s="36"/>
    </row>
    <row r="101" spans="1:4" ht="14.4" x14ac:dyDescent="0.3">
      <c r="A101" s="50" t="s">
        <v>3056</v>
      </c>
      <c r="B101" s="37" t="s">
        <v>3075</v>
      </c>
      <c r="C101" s="23"/>
      <c r="D101" s="36"/>
    </row>
    <row r="102" spans="1:4" ht="14.4" x14ac:dyDescent="0.3">
      <c r="A102" s="50" t="s">
        <v>3056</v>
      </c>
      <c r="B102" s="37" t="s">
        <v>3076</v>
      </c>
      <c r="C102" s="23"/>
      <c r="D102" s="36"/>
    </row>
    <row r="103" spans="1:4" ht="14.4" x14ac:dyDescent="0.3">
      <c r="A103" s="50" t="s">
        <v>3056</v>
      </c>
      <c r="B103" s="37" t="s">
        <v>3077</v>
      </c>
      <c r="C103" s="23"/>
      <c r="D103" s="36"/>
    </row>
    <row r="104" spans="1:4" ht="14.4" x14ac:dyDescent="0.3">
      <c r="A104" s="50" t="s">
        <v>3056</v>
      </c>
      <c r="B104" s="37" t="s">
        <v>3078</v>
      </c>
      <c r="C104" s="23"/>
      <c r="D104" s="36"/>
    </row>
    <row r="105" spans="1:4" ht="14.4" x14ac:dyDescent="0.3">
      <c r="A105" s="50" t="s">
        <v>3056</v>
      </c>
      <c r="B105" s="37" t="s">
        <v>3079</v>
      </c>
      <c r="C105" s="23"/>
      <c r="D105" s="36"/>
    </row>
    <row r="106" spans="1:4" ht="14.4" x14ac:dyDescent="0.3">
      <c r="A106" s="50" t="s">
        <v>3056</v>
      </c>
      <c r="B106" s="37" t="s">
        <v>3080</v>
      </c>
      <c r="C106" s="23"/>
      <c r="D106" s="36"/>
    </row>
    <row r="107" spans="1:4" ht="14.4" x14ac:dyDescent="0.3">
      <c r="A107" s="50" t="s">
        <v>3056</v>
      </c>
      <c r="B107" s="37" t="s">
        <v>3081</v>
      </c>
      <c r="C107" s="23"/>
      <c r="D107" s="36"/>
    </row>
    <row r="108" spans="1:4" ht="14.4" x14ac:dyDescent="0.3">
      <c r="A108" s="50" t="s">
        <v>3056</v>
      </c>
      <c r="B108" s="37" t="s">
        <v>3082</v>
      </c>
      <c r="C108" s="23"/>
      <c r="D108" s="36"/>
    </row>
    <row r="109" spans="1:4" ht="14.4" x14ac:dyDescent="0.3">
      <c r="A109" s="50" t="s">
        <v>3056</v>
      </c>
      <c r="B109" s="37" t="s">
        <v>3083</v>
      </c>
      <c r="C109" s="23"/>
      <c r="D109" s="36"/>
    </row>
    <row r="110" spans="1:4" ht="27.6" x14ac:dyDescent="0.3">
      <c r="A110" s="50" t="s">
        <v>3056</v>
      </c>
      <c r="B110" s="37" t="s">
        <v>3084</v>
      </c>
      <c r="C110" s="23"/>
      <c r="D110" s="36"/>
    </row>
    <row r="111" spans="1:4" ht="14.4" x14ac:dyDescent="0.3">
      <c r="A111" s="50" t="s">
        <v>3056</v>
      </c>
      <c r="B111" s="37" t="s">
        <v>3085</v>
      </c>
      <c r="C111" s="23"/>
      <c r="D111" s="36"/>
    </row>
    <row r="112" spans="1:4" ht="27.6" x14ac:dyDescent="0.3">
      <c r="A112" s="50" t="s">
        <v>3056</v>
      </c>
      <c r="B112" s="37" t="s">
        <v>3086</v>
      </c>
      <c r="C112" s="23"/>
      <c r="D112" s="36"/>
    </row>
    <row r="113" spans="1:4" ht="14.4" x14ac:dyDescent="0.3">
      <c r="A113" s="50" t="s">
        <v>3056</v>
      </c>
      <c r="B113" s="37" t="s">
        <v>3087</v>
      </c>
      <c r="C113" s="23"/>
      <c r="D113" s="36"/>
    </row>
    <row r="114" spans="1:4" ht="14.4" x14ac:dyDescent="0.3">
      <c r="A114" s="50" t="s">
        <v>3056</v>
      </c>
      <c r="B114" s="37" t="s">
        <v>3088</v>
      </c>
      <c r="C114" s="23"/>
      <c r="D114" s="36"/>
    </row>
    <row r="115" spans="1:4" ht="27.6" x14ac:dyDescent="0.3">
      <c r="A115" s="50" t="s">
        <v>3056</v>
      </c>
      <c r="B115" s="37" t="s">
        <v>3089</v>
      </c>
      <c r="C115" s="23"/>
      <c r="D115" s="36"/>
    </row>
    <row r="116" spans="1:4" ht="27.6" x14ac:dyDescent="0.3">
      <c r="A116" s="50" t="s">
        <v>3056</v>
      </c>
      <c r="B116" s="37" t="s">
        <v>3090</v>
      </c>
      <c r="C116" s="23"/>
      <c r="D116" s="36"/>
    </row>
    <row r="117" spans="1:4" ht="14.4" x14ac:dyDescent="0.3">
      <c r="A117" s="50" t="s">
        <v>3056</v>
      </c>
      <c r="B117" s="37" t="s">
        <v>3091</v>
      </c>
      <c r="C117" s="23"/>
      <c r="D117" s="36"/>
    </row>
    <row r="118" spans="1:4" ht="41.4" x14ac:dyDescent="0.3">
      <c r="A118" s="50" t="s">
        <v>3056</v>
      </c>
      <c r="B118" s="37" t="s">
        <v>3092</v>
      </c>
      <c r="C118" s="23"/>
      <c r="D118" s="36"/>
    </row>
    <row r="119" spans="1:4" ht="14.4" x14ac:dyDescent="0.3">
      <c r="A119" s="246" t="s">
        <v>3056</v>
      </c>
      <c r="B119" s="12" t="s">
        <v>1145</v>
      </c>
      <c r="C119" s="22"/>
      <c r="D119" s="22"/>
    </row>
    <row r="120" spans="1:4" ht="14.4" x14ac:dyDescent="0.3">
      <c r="A120" s="50" t="s">
        <v>3056</v>
      </c>
      <c r="B120" s="37" t="s">
        <v>1061</v>
      </c>
      <c r="C120" s="23"/>
      <c r="D120" s="36"/>
    </row>
    <row r="121" spans="1:4" ht="27.6" x14ac:dyDescent="0.3">
      <c r="A121" s="246" t="s">
        <v>3093</v>
      </c>
      <c r="B121" s="12" t="s">
        <v>3094</v>
      </c>
      <c r="C121" s="22"/>
      <c r="D121" s="22"/>
    </row>
    <row r="122" spans="1:4" ht="27.6" x14ac:dyDescent="0.3">
      <c r="A122" s="50" t="s">
        <v>3093</v>
      </c>
      <c r="B122" s="37" t="s">
        <v>1252</v>
      </c>
      <c r="C122" s="23"/>
      <c r="D122" s="36"/>
    </row>
    <row r="123" spans="1:4" ht="14.4" x14ac:dyDescent="0.3">
      <c r="A123" s="246" t="s">
        <v>3095</v>
      </c>
      <c r="B123" s="12" t="s">
        <v>837</v>
      </c>
      <c r="C123" s="22"/>
      <c r="D123" s="22"/>
    </row>
    <row r="124" spans="1:4" ht="27.6" x14ac:dyDescent="0.3">
      <c r="A124" s="171" t="s">
        <v>3095</v>
      </c>
      <c r="B124" s="37" t="s">
        <v>2207</v>
      </c>
      <c r="C124" s="23"/>
      <c r="D124" s="36"/>
    </row>
    <row r="125" spans="1:4" ht="14.4" x14ac:dyDescent="0.3">
      <c r="A125" s="171" t="s">
        <v>3095</v>
      </c>
      <c r="B125" s="37" t="s">
        <v>3096</v>
      </c>
      <c r="C125" s="23"/>
      <c r="D125" s="36"/>
    </row>
    <row r="126" spans="1:4" ht="14.4" x14ac:dyDescent="0.3">
      <c r="A126" s="171" t="s">
        <v>3095</v>
      </c>
      <c r="B126" s="37" t="s">
        <v>3097</v>
      </c>
      <c r="C126" s="23"/>
      <c r="D126" s="36"/>
    </row>
    <row r="127" spans="1:4" ht="14.4" x14ac:dyDescent="0.3">
      <c r="A127" s="171" t="s">
        <v>3095</v>
      </c>
      <c r="B127" s="37" t="s">
        <v>3098</v>
      </c>
      <c r="C127" s="23"/>
      <c r="D127" s="36"/>
    </row>
    <row r="128" spans="1:4" ht="14.4" x14ac:dyDescent="0.3">
      <c r="A128" s="171" t="s">
        <v>3095</v>
      </c>
      <c r="B128" s="37" t="s">
        <v>3099</v>
      </c>
      <c r="C128" s="23"/>
      <c r="D128" s="36"/>
    </row>
    <row r="129" spans="1:4" ht="14.4" x14ac:dyDescent="0.3">
      <c r="A129" s="171" t="s">
        <v>3095</v>
      </c>
      <c r="B129" s="37" t="s">
        <v>3100</v>
      </c>
      <c r="C129" s="23"/>
      <c r="D129" s="36"/>
    </row>
    <row r="130" spans="1:4" ht="14.4" x14ac:dyDescent="0.3">
      <c r="A130" s="171" t="s">
        <v>3095</v>
      </c>
      <c r="B130" s="37" t="s">
        <v>3101</v>
      </c>
      <c r="C130" s="23"/>
      <c r="D130" s="36"/>
    </row>
    <row r="131" spans="1:4" ht="21" customHeight="1" x14ac:dyDescent="0.3">
      <c r="A131" s="171" t="s">
        <v>3095</v>
      </c>
      <c r="B131" s="37" t="s">
        <v>3102</v>
      </c>
      <c r="C131" s="23"/>
      <c r="D131" s="36"/>
    </row>
    <row r="132" spans="1:4" ht="14.4" x14ac:dyDescent="0.3">
      <c r="A132" s="246" t="s">
        <v>3095</v>
      </c>
      <c r="B132" s="12" t="s">
        <v>2209</v>
      </c>
      <c r="C132" s="22"/>
      <c r="D132" s="22"/>
    </row>
    <row r="133" spans="1:4" ht="14.4" x14ac:dyDescent="0.3">
      <c r="A133" s="171" t="s">
        <v>3095</v>
      </c>
      <c r="B133" s="37" t="s">
        <v>3103</v>
      </c>
      <c r="C133" s="23"/>
      <c r="D133" s="36"/>
    </row>
    <row r="134" spans="1:4" ht="14.4" x14ac:dyDescent="0.3">
      <c r="A134" s="171" t="s">
        <v>3095</v>
      </c>
      <c r="B134" s="37" t="s">
        <v>3104</v>
      </c>
      <c r="C134" s="23"/>
      <c r="D134" s="36"/>
    </row>
    <row r="135" spans="1:4" ht="27.6" x14ac:dyDescent="0.3">
      <c r="A135" s="171" t="s">
        <v>3095</v>
      </c>
      <c r="B135" s="37" t="s">
        <v>3105</v>
      </c>
      <c r="C135" s="23"/>
      <c r="D135" s="36"/>
    </row>
    <row r="136" spans="1:4" ht="27.6" x14ac:dyDescent="0.3">
      <c r="A136" s="246" t="s">
        <v>3095</v>
      </c>
      <c r="B136" s="12" t="s">
        <v>1734</v>
      </c>
      <c r="C136" s="22"/>
      <c r="D136" s="22"/>
    </row>
    <row r="137" spans="1:4" ht="14.4" x14ac:dyDescent="0.3">
      <c r="A137" s="50" t="s">
        <v>3095</v>
      </c>
      <c r="B137" s="37" t="s">
        <v>1074</v>
      </c>
      <c r="C137" s="23"/>
      <c r="D137" s="36"/>
    </row>
    <row r="138" spans="1:4" ht="14.4" x14ac:dyDescent="0.3">
      <c r="A138" s="120"/>
      <c r="B138" s="14"/>
      <c r="C138" s="17"/>
      <c r="D138" s="17"/>
    </row>
    <row r="139" spans="1:4" ht="14.4" x14ac:dyDescent="0.3">
      <c r="A139" s="120"/>
      <c r="B139" s="14"/>
      <c r="C139" s="17"/>
      <c r="D139" s="17"/>
    </row>
    <row r="140" spans="1:4" ht="14.4" x14ac:dyDescent="0.3">
      <c r="A140" s="120"/>
      <c r="B140" s="15" t="s">
        <v>75</v>
      </c>
      <c r="C140" s="2">
        <f>COUNTIF($C$4:$C$137,"C")</f>
        <v>1</v>
      </c>
      <c r="D140" s="17"/>
    </row>
    <row r="141" spans="1:4" ht="14.4" x14ac:dyDescent="0.3">
      <c r="A141" s="120"/>
      <c r="B141" s="15" t="s">
        <v>81</v>
      </c>
      <c r="C141" s="2">
        <f>COUNTIF($C$4:$C$137,"NC")</f>
        <v>1</v>
      </c>
      <c r="D141" s="17"/>
    </row>
    <row r="142" spans="1:4" ht="14.4" x14ac:dyDescent="0.3">
      <c r="A142" s="120"/>
      <c r="B142" s="15" t="s">
        <v>84</v>
      </c>
      <c r="C142" s="2">
        <f>COUNTIF($C$4:$C$137,"NA")</f>
        <v>1</v>
      </c>
      <c r="D142" s="17"/>
    </row>
  </sheetData>
  <conditionalFormatting sqref="C6:C11 C13:C28 C31:C41 C43:C47 C50:C59 C61:C74 C76 C79 C81 C83:C118 C120 C122 C124:C131 C133:C135 C137">
    <cfRule type="beginsWith" dxfId="32" priority="1" operator="beginsWith" text="C">
      <formula>LEFT((C6),LEN("C"))=("C")</formula>
    </cfRule>
    <cfRule type="beginsWith" dxfId="31" priority="2" operator="beginsWith" text="NC">
      <formula>LEFT((C6),LEN("NC"))=("NC")</formula>
    </cfRule>
    <cfRule type="beginsWith" dxfId="30" priority="3" operator="beginsWith" text="NA">
      <formula>LEFT((C6),LEN("NA"))=("NA")</formula>
    </cfRule>
  </conditionalFormatting>
  <dataValidations count="1">
    <dataValidation type="list" allowBlank="1" sqref="C7:C11 C13:C15 C17:C28 C31:C40 C43:C47 C50:C59 C61:C74 C76 C79 C81 C83:C102 C104:C118 C120 C122 C124:C131 C133:C135 C137" xr:uid="{00000000-0002-0000-2400-000000000000}">
      <formula1>"C,NC,NA"</formula1>
    </dataValidation>
  </dataValidations>
  <hyperlinks>
    <hyperlink ref="B1" location="'Tabla de contenido'!A1" display="VOLVER A TABLA DE CONTENIDO" xr:uid="{00000000-0004-0000-2400-000000000000}"/>
  </hyperlinks>
  <pageMargins left="0.7" right="0.7" top="0.75" bottom="0.75" header="0" footer="0"/>
  <pageSetup orientation="portrait"/>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38761D"/>
  </sheetPr>
  <dimension ref="A1:D113"/>
  <sheetViews>
    <sheetView showGridLines="0" workbookViewId="0">
      <selection sqref="A1:D1"/>
    </sheetView>
  </sheetViews>
  <sheetFormatPr baseColWidth="10" defaultColWidth="14.44140625" defaultRowHeight="15" customHeight="1" outlineLevelCol="1" x14ac:dyDescent="0.3"/>
  <cols>
    <col min="1" max="1" width="14" customWidth="1"/>
    <col min="2" max="2" width="74.21875" customWidth="1"/>
    <col min="3" max="3" width="11.5546875" customWidth="1"/>
    <col min="4" max="4" width="38.21875" customWidth="1" outlineLevel="1"/>
    <col min="5" max="5" width="4.5546875" customWidth="1"/>
    <col min="6" max="24" width="10.77734375" customWidth="1"/>
  </cols>
  <sheetData>
    <row r="1" spans="1:4" ht="14.4" x14ac:dyDescent="0.3">
      <c r="A1" s="269"/>
      <c r="B1" s="270" t="s">
        <v>0</v>
      </c>
      <c r="C1" s="269"/>
      <c r="D1" s="269"/>
    </row>
    <row r="2" spans="1:4" ht="14.4" x14ac:dyDescent="0.3">
      <c r="A2" s="74"/>
      <c r="B2" s="75" t="s">
        <v>2215</v>
      </c>
      <c r="C2" s="116"/>
      <c r="D2" s="77"/>
    </row>
    <row r="3" spans="1:4" ht="14.4" x14ac:dyDescent="0.3">
      <c r="A3" s="6"/>
      <c r="B3" s="18" t="s">
        <v>3106</v>
      </c>
      <c r="C3" s="117"/>
      <c r="D3" s="19"/>
    </row>
    <row r="4" spans="1:4" ht="14.4" x14ac:dyDescent="0.3">
      <c r="A4" s="6" t="s">
        <v>7</v>
      </c>
      <c r="B4" s="18" t="s">
        <v>9</v>
      </c>
      <c r="C4" s="6" t="s">
        <v>10</v>
      </c>
      <c r="D4" s="6" t="s">
        <v>11</v>
      </c>
    </row>
    <row r="5" spans="1:4" ht="14.4" x14ac:dyDescent="0.3">
      <c r="A5" s="246" t="s">
        <v>3107</v>
      </c>
      <c r="B5" s="12" t="s">
        <v>802</v>
      </c>
      <c r="C5" s="22"/>
      <c r="D5" s="22"/>
    </row>
    <row r="6" spans="1:4" ht="27.6" x14ac:dyDescent="0.3">
      <c r="A6" s="246" t="s">
        <v>3107</v>
      </c>
      <c r="B6" s="12" t="s">
        <v>3108</v>
      </c>
      <c r="C6" s="22"/>
      <c r="D6" s="22"/>
    </row>
    <row r="7" spans="1:4" ht="28.2" x14ac:dyDescent="0.3">
      <c r="A7" s="171" t="s">
        <v>3107</v>
      </c>
      <c r="B7" s="37" t="s">
        <v>1600</v>
      </c>
      <c r="C7" s="9" t="s">
        <v>16</v>
      </c>
      <c r="D7" s="50"/>
    </row>
    <row r="8" spans="1:4" ht="27.6" x14ac:dyDescent="0.3">
      <c r="A8" s="171" t="s">
        <v>3107</v>
      </c>
      <c r="B8" s="37" t="s">
        <v>3109</v>
      </c>
      <c r="C8" s="9" t="s">
        <v>20</v>
      </c>
      <c r="D8" s="36"/>
    </row>
    <row r="9" spans="1:4" ht="27.6" x14ac:dyDescent="0.3">
      <c r="A9" s="171" t="s">
        <v>3107</v>
      </c>
      <c r="B9" s="245" t="s">
        <v>3110</v>
      </c>
      <c r="C9" s="9" t="s">
        <v>24</v>
      </c>
      <c r="D9" s="36"/>
    </row>
    <row r="10" spans="1:4" ht="14.4" x14ac:dyDescent="0.3">
      <c r="A10" s="171" t="s">
        <v>3107</v>
      </c>
      <c r="B10" s="37" t="s">
        <v>2682</v>
      </c>
      <c r="C10" s="9"/>
      <c r="D10" s="36"/>
    </row>
    <row r="11" spans="1:4" ht="14.4" x14ac:dyDescent="0.3">
      <c r="A11" s="246" t="s">
        <v>3107</v>
      </c>
      <c r="B11" s="12" t="s">
        <v>1335</v>
      </c>
      <c r="C11" s="22"/>
      <c r="D11" s="22"/>
    </row>
    <row r="12" spans="1:4" ht="41.4" x14ac:dyDescent="0.3">
      <c r="A12" s="171" t="s">
        <v>3107</v>
      </c>
      <c r="B12" s="37" t="s">
        <v>3111</v>
      </c>
      <c r="C12" s="9"/>
      <c r="D12" s="36"/>
    </row>
    <row r="13" spans="1:4" ht="14.4" x14ac:dyDescent="0.3">
      <c r="A13" s="171" t="s">
        <v>3107</v>
      </c>
      <c r="B13" s="37" t="s">
        <v>3112</v>
      </c>
      <c r="C13" s="9"/>
      <c r="D13" s="36"/>
    </row>
    <row r="14" spans="1:4" ht="14.4" x14ac:dyDescent="0.3">
      <c r="A14" s="171" t="s">
        <v>3107</v>
      </c>
      <c r="B14" s="247" t="s">
        <v>3113</v>
      </c>
      <c r="C14" s="9"/>
      <c r="D14" s="49"/>
    </row>
    <row r="15" spans="1:4" ht="55.2" x14ac:dyDescent="0.3">
      <c r="A15" s="171" t="s">
        <v>3107</v>
      </c>
      <c r="B15" s="37" t="s">
        <v>3114</v>
      </c>
      <c r="C15" s="9"/>
      <c r="D15" s="36"/>
    </row>
    <row r="16" spans="1:4" ht="14.4" x14ac:dyDescent="0.3">
      <c r="A16" s="246" t="s">
        <v>3107</v>
      </c>
      <c r="B16" s="12" t="s">
        <v>1145</v>
      </c>
      <c r="C16" s="22"/>
      <c r="D16" s="22"/>
    </row>
    <row r="17" spans="1:4" ht="27.6" x14ac:dyDescent="0.3">
      <c r="A17" s="171" t="s">
        <v>3107</v>
      </c>
      <c r="B17" s="37" t="s">
        <v>3115</v>
      </c>
      <c r="C17" s="9"/>
      <c r="D17" s="36"/>
    </row>
    <row r="18" spans="1:4" ht="69" x14ac:dyDescent="0.3">
      <c r="A18" s="171" t="s">
        <v>3107</v>
      </c>
      <c r="B18" s="37" t="s">
        <v>3116</v>
      </c>
      <c r="C18" s="9"/>
      <c r="D18" s="36"/>
    </row>
    <row r="19" spans="1:4" ht="55.2" x14ac:dyDescent="0.3">
      <c r="A19" s="171" t="s">
        <v>3107</v>
      </c>
      <c r="B19" s="37" t="s">
        <v>3117</v>
      </c>
      <c r="C19" s="9"/>
      <c r="D19" s="36"/>
    </row>
    <row r="20" spans="1:4" ht="14.4" x14ac:dyDescent="0.3">
      <c r="A20" s="246" t="s">
        <v>3118</v>
      </c>
      <c r="B20" s="12" t="s">
        <v>802</v>
      </c>
      <c r="C20" s="22"/>
      <c r="D20" s="22"/>
    </row>
    <row r="21" spans="1:4" ht="27.6" x14ac:dyDescent="0.3">
      <c r="A21" s="246" t="s">
        <v>3118</v>
      </c>
      <c r="B21" s="12" t="s">
        <v>3108</v>
      </c>
      <c r="C21" s="22"/>
      <c r="D21" s="22"/>
    </row>
    <row r="22" spans="1:4" ht="27.6" x14ac:dyDescent="0.3">
      <c r="A22" s="171" t="s">
        <v>3118</v>
      </c>
      <c r="B22" s="37" t="s">
        <v>1803</v>
      </c>
      <c r="C22" s="9"/>
      <c r="D22" s="36"/>
    </row>
    <row r="23" spans="1:4" ht="27.6" x14ac:dyDescent="0.3">
      <c r="A23" s="171" t="s">
        <v>3118</v>
      </c>
      <c r="B23" s="37" t="s">
        <v>3119</v>
      </c>
      <c r="C23" s="9"/>
      <c r="D23" s="36"/>
    </row>
    <row r="24" spans="1:4" ht="14.4" x14ac:dyDescent="0.3">
      <c r="A24" s="171" t="s">
        <v>3118</v>
      </c>
      <c r="B24" s="37" t="s">
        <v>2819</v>
      </c>
      <c r="C24" s="9"/>
      <c r="D24" s="36"/>
    </row>
    <row r="25" spans="1:4" ht="14.4" x14ac:dyDescent="0.3">
      <c r="A25" s="171" t="s">
        <v>3118</v>
      </c>
      <c r="B25" s="37" t="s">
        <v>3120</v>
      </c>
      <c r="C25" s="9"/>
      <c r="D25" s="36"/>
    </row>
    <row r="26" spans="1:4" ht="14.4" x14ac:dyDescent="0.3">
      <c r="A26" s="171" t="s">
        <v>3118</v>
      </c>
      <c r="B26" s="37" t="s">
        <v>3121</v>
      </c>
      <c r="C26" s="9"/>
      <c r="D26" s="36"/>
    </row>
    <row r="27" spans="1:4" ht="14.4" x14ac:dyDescent="0.3">
      <c r="A27" s="171" t="s">
        <v>3118</v>
      </c>
      <c r="B27" s="37" t="s">
        <v>3122</v>
      </c>
      <c r="C27" s="9"/>
      <c r="D27" s="36"/>
    </row>
    <row r="28" spans="1:4" ht="14.4" x14ac:dyDescent="0.3">
      <c r="A28" s="171" t="s">
        <v>3118</v>
      </c>
      <c r="B28" s="37" t="s">
        <v>3123</v>
      </c>
      <c r="C28" s="9"/>
      <c r="D28" s="36"/>
    </row>
    <row r="29" spans="1:4" ht="14.4" x14ac:dyDescent="0.3">
      <c r="A29" s="171" t="s">
        <v>3118</v>
      </c>
      <c r="B29" s="37" t="s">
        <v>3124</v>
      </c>
      <c r="C29" s="9"/>
      <c r="D29" s="36"/>
    </row>
    <row r="30" spans="1:4" ht="27.6" x14ac:dyDescent="0.3">
      <c r="A30" s="171" t="s">
        <v>3118</v>
      </c>
      <c r="B30" s="37" t="s">
        <v>3125</v>
      </c>
      <c r="C30" s="9"/>
      <c r="D30" s="36"/>
    </row>
    <row r="31" spans="1:4" ht="41.4" x14ac:dyDescent="0.3">
      <c r="A31" s="171" t="s">
        <v>3118</v>
      </c>
      <c r="B31" s="37" t="s">
        <v>3126</v>
      </c>
      <c r="C31" s="9"/>
      <c r="D31" s="36"/>
    </row>
    <row r="32" spans="1:4" ht="27.6" x14ac:dyDescent="0.3">
      <c r="A32" s="246" t="s">
        <v>3118</v>
      </c>
      <c r="B32" s="12" t="s">
        <v>3127</v>
      </c>
      <c r="C32" s="22"/>
      <c r="D32" s="22"/>
    </row>
    <row r="33" spans="1:4" ht="14.4" x14ac:dyDescent="0.3">
      <c r="A33" s="171" t="s">
        <v>3118</v>
      </c>
      <c r="B33" s="37" t="s">
        <v>1147</v>
      </c>
      <c r="C33" s="9"/>
      <c r="D33" s="36"/>
    </row>
    <row r="34" spans="1:4" ht="14.4" x14ac:dyDescent="0.3">
      <c r="A34" s="246" t="s">
        <v>3128</v>
      </c>
      <c r="B34" s="12" t="s">
        <v>802</v>
      </c>
      <c r="C34" s="22"/>
      <c r="D34" s="22"/>
    </row>
    <row r="35" spans="1:4" ht="27.6" x14ac:dyDescent="0.3">
      <c r="A35" s="246" t="s">
        <v>3128</v>
      </c>
      <c r="B35" s="12" t="s">
        <v>3108</v>
      </c>
      <c r="C35" s="22"/>
      <c r="D35" s="22"/>
    </row>
    <row r="36" spans="1:4" ht="28.2" x14ac:dyDescent="0.3">
      <c r="A36" s="171" t="s">
        <v>3128</v>
      </c>
      <c r="B36" s="37" t="s">
        <v>3129</v>
      </c>
      <c r="C36" s="9"/>
      <c r="D36" s="36"/>
    </row>
    <row r="37" spans="1:4" ht="14.4" x14ac:dyDescent="0.3">
      <c r="A37" s="171" t="s">
        <v>3128</v>
      </c>
      <c r="B37" s="37" t="s">
        <v>3130</v>
      </c>
      <c r="C37" s="9"/>
      <c r="D37" s="50"/>
    </row>
    <row r="38" spans="1:4" ht="14.4" x14ac:dyDescent="0.3">
      <c r="A38" s="171" t="s">
        <v>3128</v>
      </c>
      <c r="B38" s="37" t="s">
        <v>3131</v>
      </c>
      <c r="C38" s="9"/>
      <c r="D38" s="36"/>
    </row>
    <row r="39" spans="1:4" ht="14.4" x14ac:dyDescent="0.3">
      <c r="A39" s="171" t="s">
        <v>3128</v>
      </c>
      <c r="B39" s="37" t="s">
        <v>3132</v>
      </c>
      <c r="C39" s="9"/>
      <c r="D39" s="36"/>
    </row>
    <row r="40" spans="1:4" ht="14.4" x14ac:dyDescent="0.3">
      <c r="A40" s="171" t="s">
        <v>3128</v>
      </c>
      <c r="B40" s="37" t="s">
        <v>3133</v>
      </c>
      <c r="C40" s="9"/>
      <c r="D40" s="36"/>
    </row>
    <row r="41" spans="1:4" ht="14.4" x14ac:dyDescent="0.3">
      <c r="A41" s="171" t="s">
        <v>3128</v>
      </c>
      <c r="B41" s="37" t="s">
        <v>3134</v>
      </c>
      <c r="C41" s="9"/>
      <c r="D41" s="36"/>
    </row>
    <row r="42" spans="1:4" ht="14.4" x14ac:dyDescent="0.3">
      <c r="A42" s="171" t="s">
        <v>3128</v>
      </c>
      <c r="B42" s="37" t="s">
        <v>3135</v>
      </c>
      <c r="C42" s="9"/>
      <c r="D42" s="36"/>
    </row>
    <row r="43" spans="1:4" ht="14.4" x14ac:dyDescent="0.3">
      <c r="A43" s="171" t="s">
        <v>3128</v>
      </c>
      <c r="B43" s="37" t="s">
        <v>3136</v>
      </c>
      <c r="C43" s="9"/>
      <c r="D43" s="36"/>
    </row>
    <row r="44" spans="1:4" ht="14.4" x14ac:dyDescent="0.3">
      <c r="A44" s="171" t="s">
        <v>3128</v>
      </c>
      <c r="B44" s="37" t="s">
        <v>3137</v>
      </c>
      <c r="C44" s="9"/>
      <c r="D44" s="36"/>
    </row>
    <row r="45" spans="1:4" ht="14.4" x14ac:dyDescent="0.3">
      <c r="A45" s="171" t="s">
        <v>3128</v>
      </c>
      <c r="B45" s="37" t="s">
        <v>3138</v>
      </c>
      <c r="C45" s="9"/>
      <c r="D45" s="36"/>
    </row>
    <row r="46" spans="1:4" ht="27.6" x14ac:dyDescent="0.3">
      <c r="A46" s="171" t="s">
        <v>3128</v>
      </c>
      <c r="B46" s="110" t="s">
        <v>3139</v>
      </c>
      <c r="C46" s="9"/>
      <c r="D46" s="54"/>
    </row>
    <row r="47" spans="1:4" ht="14.4" x14ac:dyDescent="0.3">
      <c r="A47" s="246" t="s">
        <v>3128</v>
      </c>
      <c r="B47" s="12" t="s">
        <v>2627</v>
      </c>
      <c r="C47" s="22"/>
      <c r="D47" s="22"/>
    </row>
    <row r="48" spans="1:4" ht="14.4" x14ac:dyDescent="0.3">
      <c r="A48" s="171" t="s">
        <v>3128</v>
      </c>
      <c r="B48" s="37" t="s">
        <v>3140</v>
      </c>
      <c r="C48" s="9"/>
      <c r="D48" s="36"/>
    </row>
    <row r="49" spans="1:4" ht="14.4" x14ac:dyDescent="0.3">
      <c r="A49" s="171" t="s">
        <v>3128</v>
      </c>
      <c r="B49" s="37" t="s">
        <v>3141</v>
      </c>
      <c r="C49" s="9"/>
      <c r="D49" s="36"/>
    </row>
    <row r="50" spans="1:4" ht="14.4" x14ac:dyDescent="0.3">
      <c r="A50" s="171" t="s">
        <v>3128</v>
      </c>
      <c r="B50" s="248" t="s">
        <v>3142</v>
      </c>
      <c r="C50" s="9"/>
      <c r="D50" s="36"/>
    </row>
    <row r="51" spans="1:4" ht="14.4" x14ac:dyDescent="0.3">
      <c r="A51" s="171" t="s">
        <v>3128</v>
      </c>
      <c r="B51" s="37" t="s">
        <v>3143</v>
      </c>
      <c r="C51" s="9"/>
      <c r="D51" s="36"/>
    </row>
    <row r="52" spans="1:4" ht="14.4" x14ac:dyDescent="0.3">
      <c r="A52" s="171" t="s">
        <v>3128</v>
      </c>
      <c r="B52" s="37" t="s">
        <v>3144</v>
      </c>
      <c r="C52" s="9"/>
      <c r="D52" s="36"/>
    </row>
    <row r="53" spans="1:4" ht="14.4" x14ac:dyDescent="0.3">
      <c r="A53" s="171" t="s">
        <v>3128</v>
      </c>
      <c r="B53" s="37" t="s">
        <v>3145</v>
      </c>
      <c r="C53" s="9"/>
      <c r="D53" s="36"/>
    </row>
    <row r="54" spans="1:4" ht="14.4" x14ac:dyDescent="0.3">
      <c r="A54" s="171" t="s">
        <v>3128</v>
      </c>
      <c r="B54" s="37" t="s">
        <v>3146</v>
      </c>
      <c r="C54" s="9"/>
      <c r="D54" s="36"/>
    </row>
    <row r="55" spans="1:4" ht="14.4" x14ac:dyDescent="0.3">
      <c r="A55" s="171" t="s">
        <v>3128</v>
      </c>
      <c r="B55" s="110" t="s">
        <v>3147</v>
      </c>
      <c r="C55" s="172"/>
      <c r="D55" s="36"/>
    </row>
    <row r="56" spans="1:4" ht="27.6" x14ac:dyDescent="0.3">
      <c r="A56" s="246" t="s">
        <v>3128</v>
      </c>
      <c r="B56" s="12" t="s">
        <v>3148</v>
      </c>
      <c r="C56" s="22"/>
      <c r="D56" s="22"/>
    </row>
    <row r="57" spans="1:4" ht="14.4" x14ac:dyDescent="0.3">
      <c r="A57" s="171" t="s">
        <v>3128</v>
      </c>
      <c r="B57" s="110" t="s">
        <v>3149</v>
      </c>
      <c r="C57" s="172"/>
      <c r="D57" s="36"/>
    </row>
    <row r="58" spans="1:4" ht="14.4" x14ac:dyDescent="0.3">
      <c r="A58" s="171" t="s">
        <v>3128</v>
      </c>
      <c r="B58" s="110" t="s">
        <v>3150</v>
      </c>
      <c r="C58" s="172"/>
      <c r="D58" s="36"/>
    </row>
    <row r="59" spans="1:4" ht="14.4" x14ac:dyDescent="0.3">
      <c r="A59" s="246" t="s">
        <v>3128</v>
      </c>
      <c r="B59" s="12" t="s">
        <v>3151</v>
      </c>
      <c r="C59" s="22"/>
      <c r="D59" s="22"/>
    </row>
    <row r="60" spans="1:4" ht="14.4" x14ac:dyDescent="0.3">
      <c r="A60" s="171" t="s">
        <v>3128</v>
      </c>
      <c r="B60" s="37" t="s">
        <v>3152</v>
      </c>
      <c r="C60" s="9"/>
      <c r="D60" s="36"/>
    </row>
    <row r="61" spans="1:4" ht="14.4" x14ac:dyDescent="0.3">
      <c r="A61" s="246" t="s">
        <v>3153</v>
      </c>
      <c r="B61" s="12" t="s">
        <v>802</v>
      </c>
      <c r="C61" s="22"/>
      <c r="D61" s="22"/>
    </row>
    <row r="62" spans="1:4" ht="27.6" x14ac:dyDescent="0.3">
      <c r="A62" s="246" t="s">
        <v>3153</v>
      </c>
      <c r="B62" s="12" t="s">
        <v>3108</v>
      </c>
      <c r="C62" s="22"/>
      <c r="D62" s="22"/>
    </row>
    <row r="63" spans="1:4" ht="27.6" x14ac:dyDescent="0.3">
      <c r="A63" s="171" t="s">
        <v>3153</v>
      </c>
      <c r="B63" s="37" t="s">
        <v>3154</v>
      </c>
      <c r="C63" s="9"/>
      <c r="D63" s="36"/>
    </row>
    <row r="64" spans="1:4" ht="27.6" x14ac:dyDescent="0.3">
      <c r="A64" s="246" t="s">
        <v>3153</v>
      </c>
      <c r="B64" s="12" t="s">
        <v>3127</v>
      </c>
      <c r="C64" s="22"/>
      <c r="D64" s="22"/>
    </row>
    <row r="65" spans="1:4" ht="14.4" x14ac:dyDescent="0.3">
      <c r="A65" s="171" t="s">
        <v>3153</v>
      </c>
      <c r="B65" s="37" t="s">
        <v>1048</v>
      </c>
      <c r="C65" s="9"/>
      <c r="D65" s="36"/>
    </row>
    <row r="66" spans="1:4" ht="14.4" x14ac:dyDescent="0.3">
      <c r="A66" s="246" t="s">
        <v>3155</v>
      </c>
      <c r="B66" s="12" t="s">
        <v>802</v>
      </c>
      <c r="C66" s="22"/>
      <c r="D66" s="22"/>
    </row>
    <row r="67" spans="1:4" ht="27.6" x14ac:dyDescent="0.3">
      <c r="A67" s="246" t="s">
        <v>3155</v>
      </c>
      <c r="B67" s="12" t="s">
        <v>3108</v>
      </c>
      <c r="C67" s="22"/>
      <c r="D67" s="22"/>
    </row>
    <row r="68" spans="1:4" ht="27.6" x14ac:dyDescent="0.3">
      <c r="A68" s="171" t="s">
        <v>3155</v>
      </c>
      <c r="B68" s="37" t="s">
        <v>3156</v>
      </c>
      <c r="C68" s="9"/>
      <c r="D68" s="36"/>
    </row>
    <row r="69" spans="1:4" ht="14.4" x14ac:dyDescent="0.3">
      <c r="A69" s="171" t="s">
        <v>3155</v>
      </c>
      <c r="B69" s="37" t="s">
        <v>3157</v>
      </c>
      <c r="C69" s="9"/>
      <c r="D69" s="36"/>
    </row>
    <row r="70" spans="1:4" ht="14.4" x14ac:dyDescent="0.3">
      <c r="A70" s="171" t="s">
        <v>3155</v>
      </c>
      <c r="B70" s="37" t="s">
        <v>2938</v>
      </c>
      <c r="C70" s="9"/>
      <c r="D70" s="36"/>
    </row>
    <row r="71" spans="1:4" ht="14.4" x14ac:dyDescent="0.3">
      <c r="A71" s="171" t="s">
        <v>3155</v>
      </c>
      <c r="B71" s="37" t="s">
        <v>2941</v>
      </c>
      <c r="C71" s="9"/>
      <c r="D71" s="36"/>
    </row>
    <row r="72" spans="1:4" ht="14.4" x14ac:dyDescent="0.3">
      <c r="A72" s="171" t="s">
        <v>3155</v>
      </c>
      <c r="B72" s="37" t="s">
        <v>2944</v>
      </c>
      <c r="C72" s="9"/>
      <c r="D72" s="36"/>
    </row>
    <row r="73" spans="1:4" ht="14.4" x14ac:dyDescent="0.3">
      <c r="A73" s="171" t="s">
        <v>3155</v>
      </c>
      <c r="B73" s="37" t="s">
        <v>2947</v>
      </c>
      <c r="C73" s="9"/>
      <c r="D73" s="36"/>
    </row>
    <row r="74" spans="1:4" ht="14.4" x14ac:dyDescent="0.3">
      <c r="A74" s="171" t="s">
        <v>3155</v>
      </c>
      <c r="B74" s="37" t="s">
        <v>2949</v>
      </c>
      <c r="C74" s="9"/>
      <c r="D74" s="36"/>
    </row>
    <row r="75" spans="1:4" ht="14.4" x14ac:dyDescent="0.3">
      <c r="A75" s="171" t="s">
        <v>3155</v>
      </c>
      <c r="B75" s="37" t="s">
        <v>3158</v>
      </c>
      <c r="C75" s="9"/>
      <c r="D75" s="36"/>
    </row>
    <row r="76" spans="1:4" ht="14.4" x14ac:dyDescent="0.3">
      <c r="A76" s="171" t="s">
        <v>3155</v>
      </c>
      <c r="B76" s="37" t="s">
        <v>3159</v>
      </c>
      <c r="C76" s="9"/>
      <c r="D76" s="36"/>
    </row>
    <row r="77" spans="1:4" ht="14.4" x14ac:dyDescent="0.3">
      <c r="A77" s="171" t="s">
        <v>3155</v>
      </c>
      <c r="B77" s="37" t="s">
        <v>2958</v>
      </c>
      <c r="C77" s="9"/>
      <c r="D77" s="36"/>
    </row>
    <row r="78" spans="1:4" ht="14.4" x14ac:dyDescent="0.3">
      <c r="A78" s="171" t="s">
        <v>3155</v>
      </c>
      <c r="B78" s="37" t="s">
        <v>3160</v>
      </c>
      <c r="C78" s="9"/>
      <c r="D78" s="36"/>
    </row>
    <row r="79" spans="1:4" ht="14.4" x14ac:dyDescent="0.3">
      <c r="A79" s="171" t="s">
        <v>3155</v>
      </c>
      <c r="B79" s="37" t="s">
        <v>2965</v>
      </c>
      <c r="C79" s="9"/>
      <c r="D79" s="36"/>
    </row>
    <row r="80" spans="1:4" ht="14.4" x14ac:dyDescent="0.3">
      <c r="A80" s="171" t="s">
        <v>3155</v>
      </c>
      <c r="B80" s="37" t="s">
        <v>2968</v>
      </c>
      <c r="C80" s="9"/>
      <c r="D80" s="36"/>
    </row>
    <row r="81" spans="1:4" ht="27.6" x14ac:dyDescent="0.3">
      <c r="A81" s="171" t="s">
        <v>3155</v>
      </c>
      <c r="B81" s="37" t="s">
        <v>2972</v>
      </c>
      <c r="C81" s="9"/>
      <c r="D81" s="36"/>
    </row>
    <row r="82" spans="1:4" ht="14.4" x14ac:dyDescent="0.3">
      <c r="A82" s="171" t="s">
        <v>3155</v>
      </c>
      <c r="B82" s="37" t="s">
        <v>2975</v>
      </c>
      <c r="C82" s="9"/>
      <c r="D82" s="36"/>
    </row>
    <row r="83" spans="1:4" ht="41.4" x14ac:dyDescent="0.3">
      <c r="A83" s="171" t="s">
        <v>3155</v>
      </c>
      <c r="B83" s="37" t="s">
        <v>3161</v>
      </c>
      <c r="C83" s="9"/>
      <c r="D83" s="36"/>
    </row>
    <row r="84" spans="1:4" ht="27.6" x14ac:dyDescent="0.3">
      <c r="A84" s="171" t="s">
        <v>3155</v>
      </c>
      <c r="B84" s="37" t="s">
        <v>3162</v>
      </c>
      <c r="C84" s="9"/>
      <c r="D84" s="36"/>
    </row>
    <row r="85" spans="1:4" ht="14.4" x14ac:dyDescent="0.3">
      <c r="A85" s="171" t="s">
        <v>3155</v>
      </c>
      <c r="B85" s="37" t="s">
        <v>3163</v>
      </c>
      <c r="C85" s="9"/>
      <c r="D85" s="36"/>
    </row>
    <row r="86" spans="1:4" ht="14.4" x14ac:dyDescent="0.3">
      <c r="A86" s="171" t="s">
        <v>3155</v>
      </c>
      <c r="B86" s="37" t="s">
        <v>3164</v>
      </c>
      <c r="C86" s="9"/>
      <c r="D86" s="36"/>
    </row>
    <row r="87" spans="1:4" ht="14.4" x14ac:dyDescent="0.3">
      <c r="A87" s="171" t="s">
        <v>3155</v>
      </c>
      <c r="B87" s="37" t="s">
        <v>3165</v>
      </c>
      <c r="C87" s="9"/>
      <c r="D87" s="36"/>
    </row>
    <row r="88" spans="1:4" ht="14.4" x14ac:dyDescent="0.3">
      <c r="A88" s="171" t="s">
        <v>3155</v>
      </c>
      <c r="B88" s="37" t="s">
        <v>3166</v>
      </c>
      <c r="C88" s="9"/>
      <c r="D88" s="36"/>
    </row>
    <row r="89" spans="1:4" ht="14.4" x14ac:dyDescent="0.3">
      <c r="A89" s="171" t="s">
        <v>3155</v>
      </c>
      <c r="B89" s="37" t="s">
        <v>3167</v>
      </c>
      <c r="C89" s="9"/>
      <c r="D89" s="36"/>
    </row>
    <row r="90" spans="1:4" ht="14.4" x14ac:dyDescent="0.3">
      <c r="A90" s="171" t="s">
        <v>3155</v>
      </c>
      <c r="B90" s="37" t="s">
        <v>3168</v>
      </c>
      <c r="C90" s="9"/>
      <c r="D90" s="36"/>
    </row>
    <row r="91" spans="1:4" ht="14.4" x14ac:dyDescent="0.3">
      <c r="A91" s="171" t="s">
        <v>3155</v>
      </c>
      <c r="B91" s="37" t="s">
        <v>3169</v>
      </c>
      <c r="C91" s="9"/>
      <c r="D91" s="36"/>
    </row>
    <row r="92" spans="1:4" ht="14.4" x14ac:dyDescent="0.3">
      <c r="A92" s="246" t="s">
        <v>3155</v>
      </c>
      <c r="B92" s="12" t="s">
        <v>3170</v>
      </c>
      <c r="C92" s="22"/>
      <c r="D92" s="22"/>
    </row>
    <row r="93" spans="1:4" ht="14.4" x14ac:dyDescent="0.3">
      <c r="A93" s="171" t="s">
        <v>3155</v>
      </c>
      <c r="B93" s="37" t="s">
        <v>1050</v>
      </c>
      <c r="C93" s="9"/>
      <c r="D93" s="36"/>
    </row>
    <row r="94" spans="1:4" ht="41.4" x14ac:dyDescent="0.3">
      <c r="A94" s="246" t="s">
        <v>3171</v>
      </c>
      <c r="B94" s="12" t="s">
        <v>3172</v>
      </c>
      <c r="C94" s="12"/>
      <c r="D94" s="22"/>
    </row>
    <row r="95" spans="1:4" ht="14.4" x14ac:dyDescent="0.3">
      <c r="A95" s="171" t="s">
        <v>3171</v>
      </c>
      <c r="B95" s="37" t="s">
        <v>1051</v>
      </c>
      <c r="C95" s="9"/>
      <c r="D95" s="36"/>
    </row>
    <row r="96" spans="1:4" ht="27.6" x14ac:dyDescent="0.3">
      <c r="A96" s="246" t="s">
        <v>3173</v>
      </c>
      <c r="B96" s="12" t="s">
        <v>3174</v>
      </c>
      <c r="C96" s="12"/>
      <c r="D96" s="22"/>
    </row>
    <row r="97" spans="1:4" ht="28.2" x14ac:dyDescent="0.3">
      <c r="A97" s="171" t="s">
        <v>3173</v>
      </c>
      <c r="B97" s="37" t="s">
        <v>3175</v>
      </c>
      <c r="C97" s="9"/>
      <c r="D97" s="36"/>
    </row>
    <row r="98" spans="1:4" ht="14.4" x14ac:dyDescent="0.3">
      <c r="A98" s="171" t="s">
        <v>3173</v>
      </c>
      <c r="B98" s="37" t="s">
        <v>3176</v>
      </c>
      <c r="C98" s="9"/>
      <c r="D98" s="36"/>
    </row>
    <row r="99" spans="1:4" ht="14.4" x14ac:dyDescent="0.3">
      <c r="A99" s="171" t="s">
        <v>3173</v>
      </c>
      <c r="B99" s="37" t="s">
        <v>3177</v>
      </c>
      <c r="C99" s="9"/>
      <c r="D99" s="36"/>
    </row>
    <row r="100" spans="1:4" ht="14.4" x14ac:dyDescent="0.3">
      <c r="A100" s="171" t="s">
        <v>3173</v>
      </c>
      <c r="B100" s="37" t="s">
        <v>3178</v>
      </c>
      <c r="C100" s="9"/>
      <c r="D100" s="36"/>
    </row>
    <row r="101" spans="1:4" ht="14.4" x14ac:dyDescent="0.3">
      <c r="A101" s="171" t="s">
        <v>3173</v>
      </c>
      <c r="B101" s="37" t="s">
        <v>3179</v>
      </c>
      <c r="C101" s="9"/>
      <c r="D101" s="36"/>
    </row>
    <row r="102" spans="1:4" ht="14.4" x14ac:dyDescent="0.3">
      <c r="A102" s="171" t="s">
        <v>3173</v>
      </c>
      <c r="B102" s="37" t="s">
        <v>3180</v>
      </c>
      <c r="C102" s="9"/>
      <c r="D102" s="36"/>
    </row>
    <row r="103" spans="1:4" ht="14.4" x14ac:dyDescent="0.3">
      <c r="A103" s="171" t="s">
        <v>3173</v>
      </c>
      <c r="B103" s="37" t="s">
        <v>3181</v>
      </c>
      <c r="C103" s="9"/>
      <c r="D103" s="36"/>
    </row>
    <row r="104" spans="1:4" ht="14.4" x14ac:dyDescent="0.3">
      <c r="A104" s="246" t="s">
        <v>3173</v>
      </c>
      <c r="B104" s="12" t="s">
        <v>2281</v>
      </c>
      <c r="C104" s="12"/>
      <c r="D104" s="22"/>
    </row>
    <row r="105" spans="1:4" ht="14.4" x14ac:dyDescent="0.3">
      <c r="A105" s="171" t="s">
        <v>3173</v>
      </c>
      <c r="B105" s="37" t="s">
        <v>3182</v>
      </c>
      <c r="C105" s="9"/>
      <c r="D105" s="36"/>
    </row>
    <row r="106" spans="1:4" ht="14.4" x14ac:dyDescent="0.3">
      <c r="A106" s="171" t="s">
        <v>3173</v>
      </c>
      <c r="B106" s="66" t="s">
        <v>3183</v>
      </c>
      <c r="C106" s="249"/>
      <c r="D106" s="36"/>
    </row>
    <row r="107" spans="1:4" ht="14.4" x14ac:dyDescent="0.3">
      <c r="A107" s="246" t="s">
        <v>3173</v>
      </c>
      <c r="B107" s="12" t="s">
        <v>1734</v>
      </c>
      <c r="C107" s="12"/>
      <c r="D107" s="22"/>
    </row>
    <row r="108" spans="1:4" ht="14.4" x14ac:dyDescent="0.3">
      <c r="A108" s="50" t="s">
        <v>3173</v>
      </c>
      <c r="B108" s="37" t="s">
        <v>3184</v>
      </c>
      <c r="C108" s="36"/>
      <c r="D108" s="36"/>
    </row>
    <row r="109" spans="1:4" ht="14.4" x14ac:dyDescent="0.3">
      <c r="A109" s="120"/>
      <c r="B109" s="14"/>
      <c r="C109" s="17"/>
      <c r="D109" s="17"/>
    </row>
    <row r="110" spans="1:4" ht="14.4" x14ac:dyDescent="0.3">
      <c r="A110" s="120"/>
      <c r="B110" s="14"/>
      <c r="C110" s="17"/>
      <c r="D110" s="17"/>
    </row>
    <row r="111" spans="1:4" ht="14.4" x14ac:dyDescent="0.3">
      <c r="A111" s="120"/>
      <c r="B111" s="15" t="s">
        <v>75</v>
      </c>
      <c r="C111" s="2">
        <f>COUNTIF($C$4:$C$108,"C")</f>
        <v>1</v>
      </c>
      <c r="D111" s="17"/>
    </row>
    <row r="112" spans="1:4" ht="14.4" x14ac:dyDescent="0.3">
      <c r="A112" s="120"/>
      <c r="B112" s="15" t="s">
        <v>81</v>
      </c>
      <c r="C112" s="2">
        <f>COUNTIF($C$4:$C$108,"NC")</f>
        <v>1</v>
      </c>
      <c r="D112" s="17"/>
    </row>
    <row r="113" spans="2:3" ht="14.4" x14ac:dyDescent="0.3">
      <c r="B113" s="15" t="s">
        <v>84</v>
      </c>
      <c r="C113" s="2">
        <f>COUNTIF($C$4:$C$108,"NA")</f>
        <v>1</v>
      </c>
    </row>
  </sheetData>
  <conditionalFormatting sqref="C7:C10 C12:C15 C17:C19 C22:C31 C33 C36:C46 C48:C55 C57:C58 C60 C63 C65 C68:C91 C93 C95 C97:C103 C105:C106">
    <cfRule type="beginsWith" dxfId="29" priority="1" operator="beginsWith" text="C">
      <formula>LEFT((C7),LEN("C"))=("C")</formula>
    </cfRule>
    <cfRule type="beginsWith" dxfId="28" priority="2" operator="beginsWith" text="NC">
      <formula>LEFT((C7),LEN("NC"))=("NC")</formula>
    </cfRule>
    <cfRule type="beginsWith" dxfId="27" priority="3" operator="beginsWith" text="NA">
      <formula>LEFT((C7),LEN("NA"))=("NA")</formula>
    </cfRule>
  </conditionalFormatting>
  <dataValidations count="1">
    <dataValidation type="list" allowBlank="1" sqref="C7:C10 C12:C15 C17:C19 C22:C31 C33 C36:C46 C48:C55 C57:C58 C60 C63 C65 C68:C91 C93 C95 C97:C103 C105:C106 C108" xr:uid="{00000000-0002-0000-2500-000000000000}">
      <formula1>"C,NC,NA"</formula1>
    </dataValidation>
  </dataValidations>
  <hyperlinks>
    <hyperlink ref="B1" location="'Tabla de contenido'!A1" display="VOLVER A TABLA DE CONTENIDO" xr:uid="{00000000-0004-0000-2500-000000000000}"/>
  </hyperlinks>
  <pageMargins left="0.7" right="0.7" top="0.75" bottom="0.75" header="0" footer="0"/>
  <pageSetup orientation="portrait"/>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38761D"/>
  </sheetPr>
  <dimension ref="A1:D128"/>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29.5546875" customWidth="1" outlineLevel="1"/>
    <col min="5" max="5" width="4" customWidth="1"/>
    <col min="6" max="23" width="10.77734375" customWidth="1"/>
  </cols>
  <sheetData>
    <row r="1" spans="1:4" ht="14.4" x14ac:dyDescent="0.3">
      <c r="A1" s="269"/>
      <c r="B1" s="270" t="s">
        <v>0</v>
      </c>
      <c r="C1" s="269"/>
      <c r="D1" s="269"/>
    </row>
    <row r="2" spans="1:4" ht="14.4" x14ac:dyDescent="0.3">
      <c r="A2" s="74"/>
      <c r="B2" s="115" t="s">
        <v>2215</v>
      </c>
      <c r="C2" s="116"/>
      <c r="D2" s="77"/>
    </row>
    <row r="3" spans="1:4" ht="14.4" x14ac:dyDescent="0.3">
      <c r="A3" s="6"/>
      <c r="B3" s="40" t="s">
        <v>3185</v>
      </c>
      <c r="C3" s="117"/>
      <c r="D3" s="19"/>
    </row>
    <row r="4" spans="1:4" ht="14.4" x14ac:dyDescent="0.3">
      <c r="A4" s="6" t="s">
        <v>7</v>
      </c>
      <c r="B4" s="40" t="s">
        <v>9</v>
      </c>
      <c r="C4" s="6" t="s">
        <v>10</v>
      </c>
      <c r="D4" s="6" t="s">
        <v>11</v>
      </c>
    </row>
    <row r="5" spans="1:4" ht="14.4" x14ac:dyDescent="0.3">
      <c r="A5" s="246" t="s">
        <v>3186</v>
      </c>
      <c r="B5" s="21" t="s">
        <v>3187</v>
      </c>
      <c r="C5" s="22"/>
      <c r="D5" s="22"/>
    </row>
    <row r="6" spans="1:4" ht="14.4" x14ac:dyDescent="0.3">
      <c r="A6" s="246" t="s">
        <v>3186</v>
      </c>
      <c r="B6" s="21" t="s">
        <v>2674</v>
      </c>
      <c r="C6" s="22"/>
      <c r="D6" s="22"/>
    </row>
    <row r="7" spans="1:4" ht="28.2" x14ac:dyDescent="0.3">
      <c r="A7" s="171" t="s">
        <v>3186</v>
      </c>
      <c r="B7" s="47" t="s">
        <v>1418</v>
      </c>
      <c r="C7" s="9" t="s">
        <v>16</v>
      </c>
      <c r="D7" s="50"/>
    </row>
    <row r="8" spans="1:4" ht="55.2" x14ac:dyDescent="0.3">
      <c r="A8" s="171" t="s">
        <v>3186</v>
      </c>
      <c r="B8" s="47" t="s">
        <v>3188</v>
      </c>
      <c r="C8" s="9" t="s">
        <v>20</v>
      </c>
      <c r="D8" s="36"/>
    </row>
    <row r="9" spans="1:4" ht="41.4" x14ac:dyDescent="0.3">
      <c r="A9" s="171" t="s">
        <v>3186</v>
      </c>
      <c r="B9" s="47" t="s">
        <v>3189</v>
      </c>
      <c r="C9" s="9" t="s">
        <v>24</v>
      </c>
      <c r="D9" s="36"/>
    </row>
    <row r="10" spans="1:4" ht="14.4" x14ac:dyDescent="0.3">
      <c r="A10" s="171" t="s">
        <v>3186</v>
      </c>
      <c r="B10" s="47" t="s">
        <v>2891</v>
      </c>
      <c r="C10" s="9"/>
      <c r="D10" s="36"/>
    </row>
    <row r="11" spans="1:4" ht="27.6" x14ac:dyDescent="0.3">
      <c r="A11" s="171" t="s">
        <v>3186</v>
      </c>
      <c r="B11" s="47" t="s">
        <v>2894</v>
      </c>
      <c r="C11" s="9"/>
      <c r="D11" s="36"/>
    </row>
    <row r="12" spans="1:4" ht="14.4" x14ac:dyDescent="0.3">
      <c r="A12" s="246" t="s">
        <v>3186</v>
      </c>
      <c r="B12" s="21" t="s">
        <v>1335</v>
      </c>
      <c r="C12" s="22"/>
      <c r="D12" s="22"/>
    </row>
    <row r="13" spans="1:4" ht="27.6" x14ac:dyDescent="0.3">
      <c r="A13" s="171" t="s">
        <v>3186</v>
      </c>
      <c r="B13" s="48" t="s">
        <v>3190</v>
      </c>
      <c r="C13" s="9"/>
      <c r="D13" s="49"/>
    </row>
    <row r="14" spans="1:4" ht="27.6" x14ac:dyDescent="0.3">
      <c r="A14" s="171" t="s">
        <v>3186</v>
      </c>
      <c r="B14" s="47" t="s">
        <v>3191</v>
      </c>
      <c r="C14" s="9"/>
      <c r="D14" s="50"/>
    </row>
    <row r="15" spans="1:4" ht="27.6" x14ac:dyDescent="0.3">
      <c r="A15" s="171" t="s">
        <v>3186</v>
      </c>
      <c r="B15" s="47" t="s">
        <v>3192</v>
      </c>
      <c r="C15" s="9"/>
      <c r="D15" s="36"/>
    </row>
    <row r="16" spans="1:4" ht="14.4" x14ac:dyDescent="0.3">
      <c r="A16" s="171" t="s">
        <v>3186</v>
      </c>
      <c r="B16" s="47" t="s">
        <v>3193</v>
      </c>
      <c r="C16" s="9"/>
      <c r="D16" s="36"/>
    </row>
    <row r="17" spans="1:4" ht="14.4" x14ac:dyDescent="0.3">
      <c r="A17" s="171" t="s">
        <v>3186</v>
      </c>
      <c r="B17" s="47" t="s">
        <v>3194</v>
      </c>
      <c r="C17" s="9"/>
      <c r="D17" s="36"/>
    </row>
    <row r="18" spans="1:4" ht="69" x14ac:dyDescent="0.3">
      <c r="A18" s="171" t="s">
        <v>3186</v>
      </c>
      <c r="B18" s="47" t="s">
        <v>3195</v>
      </c>
      <c r="C18" s="9"/>
      <c r="D18" s="36"/>
    </row>
    <row r="19" spans="1:4" ht="82.8" x14ac:dyDescent="0.3">
      <c r="A19" s="171" t="s">
        <v>3186</v>
      </c>
      <c r="B19" s="47" t="s">
        <v>3196</v>
      </c>
      <c r="C19" s="9"/>
      <c r="D19" s="36"/>
    </row>
    <row r="20" spans="1:4" ht="14.4" x14ac:dyDescent="0.3">
      <c r="A20" s="246" t="s">
        <v>3186</v>
      </c>
      <c r="B20" s="21" t="s">
        <v>3197</v>
      </c>
      <c r="C20" s="22"/>
      <c r="D20" s="22"/>
    </row>
    <row r="21" spans="1:4" ht="14.4" x14ac:dyDescent="0.3">
      <c r="A21" s="171" t="s">
        <v>3186</v>
      </c>
      <c r="B21" s="47" t="s">
        <v>1843</v>
      </c>
      <c r="C21" s="9"/>
      <c r="D21" s="36"/>
    </row>
    <row r="22" spans="1:4" ht="69" x14ac:dyDescent="0.3">
      <c r="A22" s="171" t="s">
        <v>3186</v>
      </c>
      <c r="B22" s="47" t="s">
        <v>3198</v>
      </c>
      <c r="C22" s="9"/>
      <c r="D22" s="36"/>
    </row>
    <row r="23" spans="1:4" ht="55.2" x14ac:dyDescent="0.3">
      <c r="A23" s="171" t="s">
        <v>3186</v>
      </c>
      <c r="B23" s="47" t="s">
        <v>3199</v>
      </c>
      <c r="C23" s="9"/>
      <c r="D23" s="36"/>
    </row>
    <row r="24" spans="1:4" ht="55.2" x14ac:dyDescent="0.3">
      <c r="A24" s="171" t="s">
        <v>3186</v>
      </c>
      <c r="B24" s="47" t="s">
        <v>3200</v>
      </c>
      <c r="C24" s="9"/>
      <c r="D24" s="36"/>
    </row>
    <row r="25" spans="1:4" ht="14.4" x14ac:dyDescent="0.3">
      <c r="A25" s="246" t="s">
        <v>3201</v>
      </c>
      <c r="B25" s="21" t="s">
        <v>3187</v>
      </c>
      <c r="C25" s="22"/>
      <c r="D25" s="22"/>
    </row>
    <row r="26" spans="1:4" ht="14.4" x14ac:dyDescent="0.3">
      <c r="A26" s="246" t="s">
        <v>3201</v>
      </c>
      <c r="B26" s="21" t="s">
        <v>2674</v>
      </c>
      <c r="C26" s="22"/>
      <c r="D26" s="22"/>
    </row>
    <row r="27" spans="1:4" ht="14.4" x14ac:dyDescent="0.3">
      <c r="A27" s="171" t="s">
        <v>3201</v>
      </c>
      <c r="B27" s="47" t="s">
        <v>1147</v>
      </c>
      <c r="C27" s="9"/>
      <c r="D27" s="36"/>
    </row>
    <row r="28" spans="1:4" ht="28.2" x14ac:dyDescent="0.3">
      <c r="A28" s="171" t="s">
        <v>3201</v>
      </c>
      <c r="B28" s="47" t="s">
        <v>2146</v>
      </c>
      <c r="C28" s="9"/>
      <c r="D28" s="36"/>
    </row>
    <row r="29" spans="1:4" ht="27.6" x14ac:dyDescent="0.3">
      <c r="A29" s="171" t="s">
        <v>3201</v>
      </c>
      <c r="B29" s="47" t="s">
        <v>3202</v>
      </c>
      <c r="C29" s="9"/>
      <c r="D29" s="36"/>
    </row>
    <row r="30" spans="1:4" ht="14.4" x14ac:dyDescent="0.3">
      <c r="A30" s="171" t="s">
        <v>3201</v>
      </c>
      <c r="B30" s="47" t="s">
        <v>3203</v>
      </c>
      <c r="C30" s="9"/>
      <c r="D30" s="36"/>
    </row>
    <row r="31" spans="1:4" ht="14.4" x14ac:dyDescent="0.3">
      <c r="A31" s="171" t="s">
        <v>3201</v>
      </c>
      <c r="B31" s="47" t="s">
        <v>3204</v>
      </c>
      <c r="C31" s="9"/>
      <c r="D31" s="36"/>
    </row>
    <row r="32" spans="1:4" ht="14.4" x14ac:dyDescent="0.3">
      <c r="A32" s="171" t="s">
        <v>3201</v>
      </c>
      <c r="B32" s="47" t="s">
        <v>3205</v>
      </c>
      <c r="C32" s="9"/>
      <c r="D32" s="36"/>
    </row>
    <row r="33" spans="1:4" ht="14.4" x14ac:dyDescent="0.3">
      <c r="A33" s="171" t="s">
        <v>3201</v>
      </c>
      <c r="B33" s="47" t="s">
        <v>3206</v>
      </c>
      <c r="C33" s="9"/>
      <c r="D33" s="36"/>
    </row>
    <row r="34" spans="1:4" ht="14.4" x14ac:dyDescent="0.3">
      <c r="A34" s="171" t="s">
        <v>3201</v>
      </c>
      <c r="B34" s="47" t="s">
        <v>3207</v>
      </c>
      <c r="C34" s="9"/>
      <c r="D34" s="36"/>
    </row>
    <row r="35" spans="1:4" ht="14.4" x14ac:dyDescent="0.3">
      <c r="A35" s="171" t="s">
        <v>3201</v>
      </c>
      <c r="B35" s="47" t="s">
        <v>3208</v>
      </c>
      <c r="C35" s="9"/>
      <c r="D35" s="36"/>
    </row>
    <row r="36" spans="1:4" ht="41.4" x14ac:dyDescent="0.3">
      <c r="A36" s="171" t="s">
        <v>3201</v>
      </c>
      <c r="B36" s="47" t="s">
        <v>3209</v>
      </c>
      <c r="C36" s="9"/>
      <c r="D36" s="36"/>
    </row>
    <row r="37" spans="1:4" ht="27.6" x14ac:dyDescent="0.3">
      <c r="A37" s="171" t="s">
        <v>3201</v>
      </c>
      <c r="B37" s="47" t="s">
        <v>3210</v>
      </c>
      <c r="C37" s="9"/>
      <c r="D37" s="36"/>
    </row>
    <row r="38" spans="1:4" ht="41.4" x14ac:dyDescent="0.3">
      <c r="A38" s="171" t="s">
        <v>3201</v>
      </c>
      <c r="B38" s="47" t="s">
        <v>3211</v>
      </c>
      <c r="C38" s="9"/>
      <c r="D38" s="36"/>
    </row>
    <row r="39" spans="1:4" ht="14.4" x14ac:dyDescent="0.3">
      <c r="A39" s="246" t="s">
        <v>3201</v>
      </c>
      <c r="B39" s="21" t="s">
        <v>3197</v>
      </c>
      <c r="C39" s="22"/>
      <c r="D39" s="22"/>
    </row>
    <row r="40" spans="1:4" ht="27.6" x14ac:dyDescent="0.3">
      <c r="A40" s="171" t="s">
        <v>3201</v>
      </c>
      <c r="B40" s="47" t="s">
        <v>1009</v>
      </c>
      <c r="C40" s="9"/>
      <c r="D40" s="36"/>
    </row>
    <row r="41" spans="1:4" ht="14.4" x14ac:dyDescent="0.3">
      <c r="A41" s="246" t="s">
        <v>3212</v>
      </c>
      <c r="B41" s="21" t="s">
        <v>2674</v>
      </c>
      <c r="C41" s="22"/>
      <c r="D41" s="22"/>
    </row>
    <row r="42" spans="1:4" ht="42" x14ac:dyDescent="0.3">
      <c r="A42" s="171" t="s">
        <v>3212</v>
      </c>
      <c r="B42" s="47" t="s">
        <v>3213</v>
      </c>
      <c r="C42" s="9"/>
      <c r="D42" s="36"/>
    </row>
    <row r="43" spans="1:4" ht="14.4" x14ac:dyDescent="0.3">
      <c r="A43" s="171" t="s">
        <v>3212</v>
      </c>
      <c r="B43" s="47" t="s">
        <v>3214</v>
      </c>
      <c r="C43" s="9"/>
      <c r="D43" s="36"/>
    </row>
    <row r="44" spans="1:4" ht="14.4" x14ac:dyDescent="0.3">
      <c r="A44" s="171" t="s">
        <v>3212</v>
      </c>
      <c r="B44" s="47" t="s">
        <v>3215</v>
      </c>
      <c r="C44" s="9"/>
      <c r="D44" s="36"/>
    </row>
    <row r="45" spans="1:4" ht="14.4" x14ac:dyDescent="0.3">
      <c r="A45" s="171" t="s">
        <v>3212</v>
      </c>
      <c r="B45" s="47" t="s">
        <v>3216</v>
      </c>
      <c r="C45" s="9"/>
      <c r="D45" s="36"/>
    </row>
    <row r="46" spans="1:4" ht="27.6" x14ac:dyDescent="0.3">
      <c r="A46" s="171" t="s">
        <v>3212</v>
      </c>
      <c r="B46" s="47" t="s">
        <v>3217</v>
      </c>
      <c r="C46" s="9"/>
      <c r="D46" s="36"/>
    </row>
    <row r="47" spans="1:4" ht="14.4" x14ac:dyDescent="0.3">
      <c r="A47" s="171" t="s">
        <v>3212</v>
      </c>
      <c r="B47" s="47" t="s">
        <v>3218</v>
      </c>
      <c r="C47" s="9"/>
      <c r="D47" s="36"/>
    </row>
    <row r="48" spans="1:4" ht="14.4" x14ac:dyDescent="0.3">
      <c r="A48" s="171" t="s">
        <v>3212</v>
      </c>
      <c r="B48" s="47" t="s">
        <v>3219</v>
      </c>
      <c r="C48" s="9"/>
      <c r="D48" s="36"/>
    </row>
    <row r="49" spans="1:4" ht="14.4" x14ac:dyDescent="0.3">
      <c r="A49" s="171" t="s">
        <v>3212</v>
      </c>
      <c r="B49" s="47" t="s">
        <v>3220</v>
      </c>
      <c r="C49" s="9"/>
      <c r="D49" s="36"/>
    </row>
    <row r="50" spans="1:4" ht="27.6" x14ac:dyDescent="0.3">
      <c r="A50" s="171" t="s">
        <v>3212</v>
      </c>
      <c r="B50" s="47" t="s">
        <v>3221</v>
      </c>
      <c r="C50" s="9"/>
      <c r="D50" s="36"/>
    </row>
    <row r="51" spans="1:4" ht="27.6" x14ac:dyDescent="0.3">
      <c r="A51" s="171" t="s">
        <v>3212</v>
      </c>
      <c r="B51" s="47" t="s">
        <v>3222</v>
      </c>
      <c r="C51" s="9"/>
      <c r="D51" s="36"/>
    </row>
    <row r="52" spans="1:4" ht="14.4" x14ac:dyDescent="0.3">
      <c r="A52" s="171" t="s">
        <v>3212</v>
      </c>
      <c r="B52" s="47" t="s">
        <v>3223</v>
      </c>
      <c r="C52" s="9"/>
      <c r="D52" s="36"/>
    </row>
    <row r="53" spans="1:4" ht="14.4" x14ac:dyDescent="0.3">
      <c r="A53" s="246" t="s">
        <v>3212</v>
      </c>
      <c r="B53" s="21" t="s">
        <v>3224</v>
      </c>
      <c r="C53" s="22"/>
      <c r="D53" s="22"/>
    </row>
    <row r="54" spans="1:4" ht="14.4" x14ac:dyDescent="0.3">
      <c r="A54" s="171" t="s">
        <v>3212</v>
      </c>
      <c r="B54" s="47" t="s">
        <v>3225</v>
      </c>
      <c r="C54" s="9"/>
      <c r="D54" s="54"/>
    </row>
    <row r="55" spans="1:4" ht="14.4" x14ac:dyDescent="0.3">
      <c r="A55" s="171" t="s">
        <v>3212</v>
      </c>
      <c r="B55" s="47" t="s">
        <v>3226</v>
      </c>
      <c r="C55" s="9"/>
      <c r="D55" s="36"/>
    </row>
    <row r="56" spans="1:4" ht="55.2" x14ac:dyDescent="0.3">
      <c r="A56" s="171" t="s">
        <v>3212</v>
      </c>
      <c r="B56" s="47" t="s">
        <v>3227</v>
      </c>
      <c r="C56" s="9"/>
      <c r="D56" s="36"/>
    </row>
    <row r="57" spans="1:4" ht="14.4" x14ac:dyDescent="0.3">
      <c r="A57" s="246" t="s">
        <v>3212</v>
      </c>
      <c r="B57" s="21" t="s">
        <v>3197</v>
      </c>
      <c r="C57" s="22"/>
      <c r="D57" s="22"/>
    </row>
    <row r="58" spans="1:4" ht="14.4" x14ac:dyDescent="0.3">
      <c r="A58" s="171" t="s">
        <v>3212</v>
      </c>
      <c r="B58" s="47" t="s">
        <v>3228</v>
      </c>
      <c r="C58" s="9"/>
      <c r="D58" s="36"/>
    </row>
    <row r="59" spans="1:4" ht="14.4" x14ac:dyDescent="0.3">
      <c r="A59" s="246" t="s">
        <v>3229</v>
      </c>
      <c r="B59" s="21" t="s">
        <v>3187</v>
      </c>
      <c r="C59" s="22"/>
      <c r="D59" s="22"/>
    </row>
    <row r="60" spans="1:4" ht="14.4" x14ac:dyDescent="0.3">
      <c r="A60" s="246" t="s">
        <v>3229</v>
      </c>
      <c r="B60" s="21" t="s">
        <v>2674</v>
      </c>
      <c r="C60" s="22"/>
      <c r="D60" s="22"/>
    </row>
    <row r="61" spans="1:4" ht="27.6" x14ac:dyDescent="0.3">
      <c r="A61" s="171" t="s">
        <v>3229</v>
      </c>
      <c r="B61" s="47" t="s">
        <v>1117</v>
      </c>
      <c r="C61" s="9"/>
      <c r="D61" s="36"/>
    </row>
    <row r="62" spans="1:4" ht="14.4" x14ac:dyDescent="0.3">
      <c r="A62" s="246" t="s">
        <v>3229</v>
      </c>
      <c r="B62" s="21" t="s">
        <v>1145</v>
      </c>
      <c r="C62" s="22"/>
      <c r="D62" s="22"/>
    </row>
    <row r="63" spans="1:4" ht="27.6" x14ac:dyDescent="0.3">
      <c r="A63" s="171" t="s">
        <v>3229</v>
      </c>
      <c r="B63" s="47" t="s">
        <v>1051</v>
      </c>
      <c r="C63" s="9"/>
      <c r="D63" s="36"/>
    </row>
    <row r="64" spans="1:4" ht="14.4" x14ac:dyDescent="0.3">
      <c r="A64" s="246" t="s">
        <v>3230</v>
      </c>
      <c r="B64" s="21" t="s">
        <v>3187</v>
      </c>
      <c r="C64" s="22"/>
      <c r="D64" s="22"/>
    </row>
    <row r="65" spans="1:4" ht="14.4" x14ac:dyDescent="0.3">
      <c r="A65" s="246" t="s">
        <v>3230</v>
      </c>
      <c r="B65" s="21" t="s">
        <v>2674</v>
      </c>
      <c r="C65" s="22"/>
      <c r="D65" s="22"/>
    </row>
    <row r="66" spans="1:4" ht="27.6" x14ac:dyDescent="0.3">
      <c r="A66" s="171" t="s">
        <v>3230</v>
      </c>
      <c r="B66" s="47" t="s">
        <v>2175</v>
      </c>
      <c r="C66" s="9"/>
      <c r="D66" s="36"/>
    </row>
    <row r="67" spans="1:4" ht="14.4" x14ac:dyDescent="0.3">
      <c r="A67" s="171" t="s">
        <v>3230</v>
      </c>
      <c r="B67" s="47" t="s">
        <v>3231</v>
      </c>
      <c r="C67" s="9"/>
      <c r="D67" s="36"/>
    </row>
    <row r="68" spans="1:4" ht="14.4" x14ac:dyDescent="0.3">
      <c r="A68" s="171" t="s">
        <v>3230</v>
      </c>
      <c r="B68" s="47" t="s">
        <v>3232</v>
      </c>
      <c r="C68" s="9"/>
      <c r="D68" s="36"/>
    </row>
    <row r="69" spans="1:4" ht="14.4" x14ac:dyDescent="0.3">
      <c r="A69" s="171" t="s">
        <v>3230</v>
      </c>
      <c r="B69" s="47" t="s">
        <v>3233</v>
      </c>
      <c r="C69" s="9"/>
      <c r="D69" s="36"/>
    </row>
    <row r="70" spans="1:4" ht="14.4" x14ac:dyDescent="0.3">
      <c r="A70" s="171" t="s">
        <v>3230</v>
      </c>
      <c r="B70" s="47" t="s">
        <v>3235</v>
      </c>
      <c r="C70" s="9"/>
      <c r="D70" s="50"/>
    </row>
    <row r="71" spans="1:4" ht="14.4" x14ac:dyDescent="0.3">
      <c r="A71" s="171" t="s">
        <v>3230</v>
      </c>
      <c r="B71" s="47" t="s">
        <v>3236</v>
      </c>
      <c r="C71" s="9"/>
      <c r="D71" s="36"/>
    </row>
    <row r="72" spans="1:4" ht="14.4" x14ac:dyDescent="0.3">
      <c r="A72" s="171" t="s">
        <v>3230</v>
      </c>
      <c r="B72" s="47" t="s">
        <v>3238</v>
      </c>
      <c r="C72" s="9"/>
      <c r="D72" s="36"/>
    </row>
    <row r="73" spans="1:4" ht="14.4" x14ac:dyDescent="0.3">
      <c r="A73" s="171" t="s">
        <v>3230</v>
      </c>
      <c r="B73" s="47" t="s">
        <v>3240</v>
      </c>
      <c r="C73" s="9"/>
      <c r="D73" s="36"/>
    </row>
    <row r="74" spans="1:4" ht="14.4" x14ac:dyDescent="0.3">
      <c r="A74" s="171" t="s">
        <v>3230</v>
      </c>
      <c r="B74" s="47" t="s">
        <v>3241</v>
      </c>
      <c r="C74" s="9"/>
      <c r="D74" s="47"/>
    </row>
    <row r="75" spans="1:4" ht="14.4" x14ac:dyDescent="0.3">
      <c r="A75" s="171" t="s">
        <v>3230</v>
      </c>
      <c r="B75" s="47" t="s">
        <v>3243</v>
      </c>
      <c r="C75" s="9"/>
      <c r="D75" s="47"/>
    </row>
    <row r="76" spans="1:4" ht="14.4" x14ac:dyDescent="0.3">
      <c r="A76" s="171" t="s">
        <v>3230</v>
      </c>
      <c r="B76" s="47" t="s">
        <v>3244</v>
      </c>
      <c r="C76" s="9"/>
      <c r="D76" s="47"/>
    </row>
    <row r="77" spans="1:4" ht="14.4" x14ac:dyDescent="0.3">
      <c r="A77" s="171" t="s">
        <v>3230</v>
      </c>
      <c r="B77" s="47" t="s">
        <v>3246</v>
      </c>
      <c r="C77" s="9"/>
      <c r="D77" s="47"/>
    </row>
    <row r="78" spans="1:4" ht="14.4" x14ac:dyDescent="0.3">
      <c r="A78" s="171" t="s">
        <v>3230</v>
      </c>
      <c r="B78" s="47" t="s">
        <v>3247</v>
      </c>
      <c r="C78" s="9"/>
      <c r="D78" s="47"/>
    </row>
    <row r="79" spans="1:4" ht="27.6" x14ac:dyDescent="0.3">
      <c r="A79" s="171" t="s">
        <v>3230</v>
      </c>
      <c r="B79" s="47" t="s">
        <v>3248</v>
      </c>
      <c r="C79" s="9"/>
      <c r="D79" s="47"/>
    </row>
    <row r="80" spans="1:4" ht="14.4" x14ac:dyDescent="0.3">
      <c r="A80" s="171" t="s">
        <v>3230</v>
      </c>
      <c r="B80" s="47" t="s">
        <v>3250</v>
      </c>
      <c r="C80" s="9"/>
      <c r="D80" s="47"/>
    </row>
    <row r="81" spans="1:4" ht="14.4" x14ac:dyDescent="0.3">
      <c r="A81" s="171" t="s">
        <v>3230</v>
      </c>
      <c r="B81" s="47" t="s">
        <v>3252</v>
      </c>
      <c r="C81" s="9"/>
      <c r="D81" s="47"/>
    </row>
    <row r="82" spans="1:4" ht="41.4" x14ac:dyDescent="0.3">
      <c r="A82" s="171" t="s">
        <v>3230</v>
      </c>
      <c r="B82" s="47" t="s">
        <v>3254</v>
      </c>
      <c r="C82" s="9"/>
      <c r="D82" s="47"/>
    </row>
    <row r="83" spans="1:4" ht="27.6" x14ac:dyDescent="0.3">
      <c r="A83" s="171" t="s">
        <v>3230</v>
      </c>
      <c r="B83" s="47" t="s">
        <v>3255</v>
      </c>
      <c r="C83" s="9"/>
      <c r="D83" s="47"/>
    </row>
    <row r="84" spans="1:4" ht="14.4" x14ac:dyDescent="0.3">
      <c r="A84" s="171" t="s">
        <v>3230</v>
      </c>
      <c r="B84" s="47" t="s">
        <v>3257</v>
      </c>
      <c r="C84" s="9"/>
      <c r="D84" s="47"/>
    </row>
    <row r="85" spans="1:4" ht="14.4" x14ac:dyDescent="0.3">
      <c r="A85" s="171" t="s">
        <v>3230</v>
      </c>
      <c r="B85" s="47" t="s">
        <v>3259</v>
      </c>
      <c r="C85" s="9"/>
      <c r="D85" s="47"/>
    </row>
    <row r="86" spans="1:4" ht="14.4" x14ac:dyDescent="0.3">
      <c r="A86" s="171" t="s">
        <v>3230</v>
      </c>
      <c r="B86" s="47" t="s">
        <v>3261</v>
      </c>
      <c r="C86" s="9"/>
      <c r="D86" s="47"/>
    </row>
    <row r="87" spans="1:4" ht="14.4" x14ac:dyDescent="0.3">
      <c r="A87" s="171" t="s">
        <v>3230</v>
      </c>
      <c r="B87" s="47" t="s">
        <v>3263</v>
      </c>
      <c r="C87" s="9"/>
      <c r="D87" s="47"/>
    </row>
    <row r="88" spans="1:4" ht="27.6" x14ac:dyDescent="0.3">
      <c r="A88" s="171" t="s">
        <v>3230</v>
      </c>
      <c r="B88" s="47" t="s">
        <v>3265</v>
      </c>
      <c r="C88" s="9"/>
      <c r="D88" s="47"/>
    </row>
    <row r="89" spans="1:4" ht="14.4" x14ac:dyDescent="0.3">
      <c r="A89" s="171" t="s">
        <v>3230</v>
      </c>
      <c r="B89" s="47" t="s">
        <v>3267</v>
      </c>
      <c r="C89" s="9"/>
      <c r="D89" s="47"/>
    </row>
    <row r="90" spans="1:4" ht="14.4" x14ac:dyDescent="0.3">
      <c r="A90" s="171" t="s">
        <v>3230</v>
      </c>
      <c r="B90" s="47" t="s">
        <v>3268</v>
      </c>
      <c r="C90" s="9"/>
      <c r="D90" s="47"/>
    </row>
    <row r="91" spans="1:4" ht="14.4" x14ac:dyDescent="0.3">
      <c r="A91" s="171" t="s">
        <v>3230</v>
      </c>
      <c r="B91" s="47" t="s">
        <v>3269</v>
      </c>
      <c r="C91" s="9"/>
      <c r="D91" s="47"/>
    </row>
    <row r="92" spans="1:4" ht="14.4" x14ac:dyDescent="0.3">
      <c r="A92" s="171" t="s">
        <v>3230</v>
      </c>
      <c r="B92" s="47" t="s">
        <v>3272</v>
      </c>
      <c r="C92" s="9"/>
      <c r="D92" s="47"/>
    </row>
    <row r="93" spans="1:4" ht="14.4" x14ac:dyDescent="0.3">
      <c r="A93" s="171" t="s">
        <v>3230</v>
      </c>
      <c r="B93" s="47" t="s">
        <v>3274</v>
      </c>
      <c r="C93" s="9"/>
      <c r="D93" s="47"/>
    </row>
    <row r="94" spans="1:4" ht="14.4" x14ac:dyDescent="0.3">
      <c r="A94" s="171" t="s">
        <v>3230</v>
      </c>
      <c r="B94" s="47" t="s">
        <v>3275</v>
      </c>
      <c r="C94" s="9"/>
      <c r="D94" s="47"/>
    </row>
    <row r="95" spans="1:4" ht="14.4" x14ac:dyDescent="0.3">
      <c r="A95" s="171" t="s">
        <v>3230</v>
      </c>
      <c r="B95" s="47" t="s">
        <v>3276</v>
      </c>
      <c r="C95" s="9"/>
      <c r="D95" s="47"/>
    </row>
    <row r="96" spans="1:4" ht="14.4" x14ac:dyDescent="0.3">
      <c r="A96" s="171" t="s">
        <v>3230</v>
      </c>
      <c r="B96" s="47" t="s">
        <v>3278</v>
      </c>
      <c r="C96" s="9"/>
      <c r="D96" s="47"/>
    </row>
    <row r="97" spans="1:4" ht="14.4" x14ac:dyDescent="0.3">
      <c r="A97" s="171" t="s">
        <v>3230</v>
      </c>
      <c r="B97" s="47" t="s">
        <v>3280</v>
      </c>
      <c r="C97" s="9"/>
      <c r="D97" s="47"/>
    </row>
    <row r="98" spans="1:4" ht="14.4" x14ac:dyDescent="0.3">
      <c r="A98" s="171" t="s">
        <v>3230</v>
      </c>
      <c r="B98" s="47" t="s">
        <v>3282</v>
      </c>
      <c r="C98" s="9"/>
      <c r="D98" s="47"/>
    </row>
    <row r="99" spans="1:4" ht="14.4" x14ac:dyDescent="0.3">
      <c r="A99" s="171" t="s">
        <v>3230</v>
      </c>
      <c r="B99" s="47" t="s">
        <v>3283</v>
      </c>
      <c r="C99" s="9"/>
      <c r="D99" s="47"/>
    </row>
    <row r="100" spans="1:4" ht="28.8" x14ac:dyDescent="0.3">
      <c r="A100" s="171" t="s">
        <v>3230</v>
      </c>
      <c r="B100" s="47" t="s">
        <v>3285</v>
      </c>
      <c r="C100" s="9"/>
      <c r="D100" s="47"/>
    </row>
    <row r="101" spans="1:4" ht="14.4" x14ac:dyDescent="0.3">
      <c r="A101" s="171" t="s">
        <v>3230</v>
      </c>
      <c r="B101" s="47" t="s">
        <v>3287</v>
      </c>
      <c r="C101" s="9"/>
      <c r="D101" s="47"/>
    </row>
    <row r="102" spans="1:4" ht="41.4" x14ac:dyDescent="0.3">
      <c r="A102" s="171" t="s">
        <v>3230</v>
      </c>
      <c r="B102" s="47" t="s">
        <v>3288</v>
      </c>
      <c r="C102" s="9"/>
      <c r="D102" s="47"/>
    </row>
    <row r="103" spans="1:4" ht="14.4" x14ac:dyDescent="0.3">
      <c r="A103" s="246" t="s">
        <v>3230</v>
      </c>
      <c r="B103" s="21" t="s">
        <v>1145</v>
      </c>
      <c r="C103" s="22"/>
      <c r="D103" s="22"/>
    </row>
    <row r="104" spans="1:4" ht="27.6" x14ac:dyDescent="0.3">
      <c r="A104" s="171" t="s">
        <v>3230</v>
      </c>
      <c r="B104" s="47" t="s">
        <v>1406</v>
      </c>
      <c r="C104" s="9"/>
      <c r="D104" s="47"/>
    </row>
    <row r="105" spans="1:4" ht="14.4" x14ac:dyDescent="0.3">
      <c r="A105" s="246" t="s">
        <v>3290</v>
      </c>
      <c r="B105" s="21" t="s">
        <v>3187</v>
      </c>
      <c r="C105" s="22"/>
      <c r="D105" s="22"/>
    </row>
    <row r="106" spans="1:4" ht="27.6" x14ac:dyDescent="0.3">
      <c r="A106" s="246" t="s">
        <v>3290</v>
      </c>
      <c r="B106" s="21" t="s">
        <v>1962</v>
      </c>
      <c r="C106" s="22"/>
      <c r="D106" s="22"/>
    </row>
    <row r="107" spans="1:4" ht="27.6" x14ac:dyDescent="0.3">
      <c r="A107" s="255" t="s">
        <v>3290</v>
      </c>
      <c r="B107" s="47" t="s">
        <v>1059</v>
      </c>
      <c r="C107" s="9"/>
      <c r="D107" s="47"/>
    </row>
    <row r="108" spans="1:4" ht="14.4" x14ac:dyDescent="0.3">
      <c r="A108" s="246" t="s">
        <v>3295</v>
      </c>
      <c r="B108" s="21" t="s">
        <v>3187</v>
      </c>
      <c r="C108" s="22"/>
      <c r="D108" s="22"/>
    </row>
    <row r="109" spans="1:4" ht="14.4" x14ac:dyDescent="0.3">
      <c r="A109" s="246" t="s">
        <v>3295</v>
      </c>
      <c r="B109" s="21" t="s">
        <v>720</v>
      </c>
      <c r="C109" s="22"/>
      <c r="D109" s="22"/>
    </row>
    <row r="110" spans="1:4" ht="28.2" x14ac:dyDescent="0.3">
      <c r="A110" s="171" t="s">
        <v>3295</v>
      </c>
      <c r="B110" s="47" t="s">
        <v>3299</v>
      </c>
      <c r="C110" s="9"/>
      <c r="D110" s="47"/>
    </row>
    <row r="111" spans="1:4" ht="14.4" x14ac:dyDescent="0.3">
      <c r="A111" s="171" t="s">
        <v>3295</v>
      </c>
      <c r="B111" s="47" t="s">
        <v>3300</v>
      </c>
      <c r="C111" s="9"/>
      <c r="D111" s="47"/>
    </row>
    <row r="112" spans="1:4" ht="14.4" x14ac:dyDescent="0.3">
      <c r="A112" s="171" t="s">
        <v>3295</v>
      </c>
      <c r="B112" s="47" t="s">
        <v>3302</v>
      </c>
      <c r="C112" s="9"/>
      <c r="D112" s="47"/>
    </row>
    <row r="113" spans="1:4" ht="14.4" x14ac:dyDescent="0.3">
      <c r="A113" s="171" t="s">
        <v>3295</v>
      </c>
      <c r="B113" s="47" t="s">
        <v>3304</v>
      </c>
      <c r="C113" s="9"/>
      <c r="D113" s="47"/>
    </row>
    <row r="114" spans="1:4" ht="14.4" x14ac:dyDescent="0.3">
      <c r="A114" s="171" t="s">
        <v>3295</v>
      </c>
      <c r="B114" s="47" t="s">
        <v>3306</v>
      </c>
      <c r="C114" s="9"/>
      <c r="D114" s="47"/>
    </row>
    <row r="115" spans="1:4" ht="14.4" x14ac:dyDescent="0.3">
      <c r="A115" s="171" t="s">
        <v>3295</v>
      </c>
      <c r="B115" s="47" t="s">
        <v>3307</v>
      </c>
      <c r="C115" s="9"/>
      <c r="D115" s="47"/>
    </row>
    <row r="116" spans="1:4" ht="14.4" x14ac:dyDescent="0.3">
      <c r="A116" s="171" t="s">
        <v>3295</v>
      </c>
      <c r="B116" s="47" t="s">
        <v>3309</v>
      </c>
      <c r="C116" s="9"/>
      <c r="D116" s="47"/>
    </row>
    <row r="117" spans="1:4" ht="14.4" x14ac:dyDescent="0.3">
      <c r="A117" s="171" t="s">
        <v>3295</v>
      </c>
      <c r="B117" s="47" t="s">
        <v>3311</v>
      </c>
      <c r="C117" s="9"/>
      <c r="D117" s="47"/>
    </row>
    <row r="118" spans="1:4" ht="14.4" x14ac:dyDescent="0.3">
      <c r="A118" s="246" t="s">
        <v>3295</v>
      </c>
      <c r="B118" s="21" t="s">
        <v>3313</v>
      </c>
      <c r="C118" s="22"/>
      <c r="D118" s="22"/>
    </row>
    <row r="119" spans="1:4" ht="14.4" x14ac:dyDescent="0.3">
      <c r="A119" s="171" t="s">
        <v>3295</v>
      </c>
      <c r="B119" s="47" t="s">
        <v>3314</v>
      </c>
      <c r="C119" s="9"/>
      <c r="D119" s="47"/>
    </row>
    <row r="120" spans="1:4" ht="14.4" x14ac:dyDescent="0.3">
      <c r="A120" s="171" t="s">
        <v>3295</v>
      </c>
      <c r="B120" s="47" t="s">
        <v>3315</v>
      </c>
      <c r="C120" s="9"/>
      <c r="D120" s="47"/>
    </row>
    <row r="121" spans="1:4" ht="27.6" x14ac:dyDescent="0.3">
      <c r="A121" s="171" t="s">
        <v>3295</v>
      </c>
      <c r="B121" s="47" t="s">
        <v>3317</v>
      </c>
      <c r="C121" s="9"/>
      <c r="D121" s="47"/>
    </row>
    <row r="122" spans="1:4" ht="27.6" x14ac:dyDescent="0.3">
      <c r="A122" s="246" t="s">
        <v>3295</v>
      </c>
      <c r="B122" s="21" t="s">
        <v>1734</v>
      </c>
      <c r="C122" s="22"/>
      <c r="D122" s="22"/>
    </row>
    <row r="123" spans="1:4" ht="14.4" x14ac:dyDescent="0.3">
      <c r="A123" s="256" t="s">
        <v>3295</v>
      </c>
      <c r="B123" s="47" t="s">
        <v>3320</v>
      </c>
      <c r="C123" s="9"/>
      <c r="D123" s="47"/>
    </row>
    <row r="124" spans="1:4" ht="14.4" x14ac:dyDescent="0.3">
      <c r="A124" s="120"/>
      <c r="B124" s="46"/>
      <c r="C124" s="17"/>
      <c r="D124" s="17"/>
    </row>
    <row r="125" spans="1:4" ht="14.4" x14ac:dyDescent="0.3">
      <c r="A125" s="120"/>
      <c r="B125" s="46"/>
      <c r="C125" s="17"/>
      <c r="D125" s="17"/>
    </row>
    <row r="126" spans="1:4" ht="14.4" x14ac:dyDescent="0.3">
      <c r="A126" s="120"/>
      <c r="B126" s="15" t="s">
        <v>75</v>
      </c>
      <c r="C126" s="2">
        <f>COUNTIF($C$4:$C$123,"C")</f>
        <v>1</v>
      </c>
      <c r="D126" s="17"/>
    </row>
    <row r="127" spans="1:4" ht="14.4" x14ac:dyDescent="0.3">
      <c r="A127" s="120"/>
      <c r="B127" s="15" t="s">
        <v>81</v>
      </c>
      <c r="C127" s="2">
        <f>COUNTIF($C$4:$C$123,"NC")</f>
        <v>1</v>
      </c>
      <c r="D127" s="17"/>
    </row>
    <row r="128" spans="1:4" ht="14.4" x14ac:dyDescent="0.3">
      <c r="A128" s="120"/>
      <c r="B128" s="15" t="s">
        <v>84</v>
      </c>
      <c r="C128" s="2">
        <f>COUNTIF($C$4:$C$123,"NA")</f>
        <v>1</v>
      </c>
      <c r="D128" s="17"/>
    </row>
  </sheetData>
  <conditionalFormatting sqref="C7:C11 C13:C19 C21:C24 C27:C38 C40 C42:C52 C54:C56 C58 C61 C63 C66:C102 C104 C107 C110:C117 C119:C121 C123">
    <cfRule type="beginsWith" dxfId="26" priority="1" operator="beginsWith" text="C">
      <formula>LEFT((C7),LEN("C"))=("C")</formula>
    </cfRule>
    <cfRule type="beginsWith" dxfId="25" priority="2" operator="beginsWith" text="NC">
      <formula>LEFT((C7),LEN("NC"))=("NC")</formula>
    </cfRule>
    <cfRule type="beginsWith" dxfId="24" priority="3" operator="beginsWith" text="NA">
      <formula>LEFT((C7),LEN("NA"))=("NA")</formula>
    </cfRule>
  </conditionalFormatting>
  <dataValidations count="1">
    <dataValidation type="list" allowBlank="1" sqref="C7:C11 C13:C19 C21:C24 C27:C38 C40 C42:C52 C54:C56 C58 C61 C63 C66:C102 C104 C107 C110:C117 C119:C121 C123" xr:uid="{00000000-0002-0000-2600-000000000000}">
      <formula1>"C,NC,NA"</formula1>
    </dataValidation>
  </dataValidations>
  <hyperlinks>
    <hyperlink ref="B1" location="'Tabla de contenido'!A1" display="VOLVER A TABLA DE CONTENIDO" xr:uid="{00000000-0004-0000-2600-000000000000}"/>
  </hyperlinks>
  <pageMargins left="0.7" right="0.7" top="0.75" bottom="0.75" header="0" footer="0"/>
  <pageSetup orientation="portrait"/>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6AA84F"/>
  </sheetPr>
  <dimension ref="A1:D140"/>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29.5546875" customWidth="1" outlineLevel="1"/>
    <col min="5" max="5" width="4" customWidth="1"/>
    <col min="6" max="23" width="10.77734375" customWidth="1"/>
  </cols>
  <sheetData>
    <row r="1" spans="1:4" ht="14.4" x14ac:dyDescent="0.3">
      <c r="A1" s="269"/>
      <c r="B1" s="270" t="s">
        <v>0</v>
      </c>
      <c r="C1" s="269"/>
      <c r="D1" s="269"/>
    </row>
    <row r="2" spans="1:4" ht="14.4" x14ac:dyDescent="0.3">
      <c r="A2" s="74"/>
      <c r="B2" s="115" t="s">
        <v>2215</v>
      </c>
      <c r="C2" s="116"/>
      <c r="D2" s="77"/>
    </row>
    <row r="3" spans="1:4" ht="27.6" x14ac:dyDescent="0.3">
      <c r="A3" s="6"/>
      <c r="B3" s="40" t="s">
        <v>3234</v>
      </c>
      <c r="C3" s="117"/>
      <c r="D3" s="19"/>
    </row>
    <row r="4" spans="1:4" ht="14.4" x14ac:dyDescent="0.3">
      <c r="A4" s="6" t="s">
        <v>7</v>
      </c>
      <c r="B4" s="250" t="s">
        <v>9</v>
      </c>
      <c r="C4" s="6" t="s">
        <v>10</v>
      </c>
      <c r="D4" s="6" t="s">
        <v>11</v>
      </c>
    </row>
    <row r="5" spans="1:4" ht="14.4" x14ac:dyDescent="0.3">
      <c r="A5" s="251" t="s">
        <v>3237</v>
      </c>
      <c r="B5" s="12" t="s">
        <v>3239</v>
      </c>
      <c r="C5" s="22"/>
      <c r="D5" s="22"/>
    </row>
    <row r="6" spans="1:4" ht="14.4" x14ac:dyDescent="0.3">
      <c r="A6" s="251" t="s">
        <v>3237</v>
      </c>
      <c r="B6" s="12" t="s">
        <v>1136</v>
      </c>
      <c r="C6" s="22"/>
      <c r="D6" s="22"/>
    </row>
    <row r="7" spans="1:4" ht="27.6" x14ac:dyDescent="0.3">
      <c r="A7" s="252" t="s">
        <v>3237</v>
      </c>
      <c r="B7" s="37" t="s">
        <v>3242</v>
      </c>
      <c r="C7" s="172" t="s">
        <v>16</v>
      </c>
      <c r="D7" s="50"/>
    </row>
    <row r="8" spans="1:4" ht="14.4" x14ac:dyDescent="0.3">
      <c r="A8" s="252" t="s">
        <v>3237</v>
      </c>
      <c r="B8" s="37" t="s">
        <v>3245</v>
      </c>
      <c r="C8" s="172" t="s">
        <v>20</v>
      </c>
      <c r="D8" s="36"/>
    </row>
    <row r="9" spans="1:4" ht="14.4" x14ac:dyDescent="0.3">
      <c r="A9" s="252" t="s">
        <v>3237</v>
      </c>
      <c r="B9" s="37" t="s">
        <v>2680</v>
      </c>
      <c r="C9" s="172" t="s">
        <v>24</v>
      </c>
      <c r="D9" s="36"/>
    </row>
    <row r="10" spans="1:4" ht="14.4" x14ac:dyDescent="0.3">
      <c r="A10" s="252" t="s">
        <v>3237</v>
      </c>
      <c r="B10" s="37" t="s">
        <v>2682</v>
      </c>
      <c r="C10" s="172"/>
      <c r="D10" s="36"/>
    </row>
    <row r="11" spans="1:4" ht="14.4" x14ac:dyDescent="0.3">
      <c r="A11" s="251" t="s">
        <v>3237</v>
      </c>
      <c r="B11" s="12" t="s">
        <v>3249</v>
      </c>
      <c r="C11" s="22"/>
      <c r="D11" s="22"/>
    </row>
    <row r="12" spans="1:4" ht="55.2" x14ac:dyDescent="0.3">
      <c r="A12" s="252" t="s">
        <v>3237</v>
      </c>
      <c r="B12" s="37" t="s">
        <v>3251</v>
      </c>
      <c r="C12" s="172"/>
      <c r="D12" s="36"/>
    </row>
    <row r="13" spans="1:4" ht="41.4" x14ac:dyDescent="0.3">
      <c r="A13" s="252" t="s">
        <v>3237</v>
      </c>
      <c r="B13" s="37" t="s">
        <v>3253</v>
      </c>
      <c r="C13" s="172"/>
      <c r="D13" s="49"/>
    </row>
    <row r="14" spans="1:4" ht="14.4" x14ac:dyDescent="0.3">
      <c r="A14" s="252" t="s">
        <v>3237</v>
      </c>
      <c r="B14" s="37" t="s">
        <v>3113</v>
      </c>
      <c r="C14" s="172"/>
      <c r="D14" s="50"/>
    </row>
    <row r="15" spans="1:4" ht="14.4" x14ac:dyDescent="0.3">
      <c r="A15" s="252" t="s">
        <v>3237</v>
      </c>
      <c r="B15" s="37" t="s">
        <v>3256</v>
      </c>
      <c r="C15" s="172"/>
      <c r="D15" s="36"/>
    </row>
    <row r="16" spans="1:4" ht="14.4" x14ac:dyDescent="0.3">
      <c r="A16" s="252" t="s">
        <v>3237</v>
      </c>
      <c r="B16" s="37" t="s">
        <v>3258</v>
      </c>
      <c r="C16" s="172"/>
      <c r="D16" s="36"/>
    </row>
    <row r="17" spans="1:4" ht="14.4" x14ac:dyDescent="0.3">
      <c r="A17" s="252" t="s">
        <v>3237</v>
      </c>
      <c r="B17" s="37" t="s">
        <v>3260</v>
      </c>
      <c r="C17" s="172"/>
      <c r="D17" s="36"/>
    </row>
    <row r="18" spans="1:4" ht="14.4" x14ac:dyDescent="0.3">
      <c r="A18" s="251" t="s">
        <v>3237</v>
      </c>
      <c r="B18" s="12" t="s">
        <v>3262</v>
      </c>
      <c r="C18" s="22"/>
      <c r="D18" s="22"/>
    </row>
    <row r="19" spans="1:4" ht="41.4" x14ac:dyDescent="0.3">
      <c r="A19" s="252" t="s">
        <v>3237</v>
      </c>
      <c r="B19" s="37" t="s">
        <v>3264</v>
      </c>
      <c r="C19" s="172"/>
      <c r="D19" s="36"/>
    </row>
    <row r="20" spans="1:4" ht="41.4" x14ac:dyDescent="0.3">
      <c r="A20" s="252" t="s">
        <v>3237</v>
      </c>
      <c r="B20" s="37" t="s">
        <v>3266</v>
      </c>
      <c r="C20" s="172"/>
      <c r="D20" s="36"/>
    </row>
    <row r="21" spans="1:4" ht="14.4" x14ac:dyDescent="0.3">
      <c r="A21" s="251" t="s">
        <v>3237</v>
      </c>
      <c r="B21" s="12" t="s">
        <v>1145</v>
      </c>
      <c r="C21" s="22"/>
      <c r="D21" s="22"/>
    </row>
    <row r="22" spans="1:4" ht="14.4" x14ac:dyDescent="0.3">
      <c r="A22" s="252" t="s">
        <v>3237</v>
      </c>
      <c r="B22" s="37" t="s">
        <v>2023</v>
      </c>
      <c r="C22" s="37"/>
      <c r="D22" s="37"/>
    </row>
    <row r="23" spans="1:4" ht="55.2" x14ac:dyDescent="0.3">
      <c r="A23" s="252" t="s">
        <v>3237</v>
      </c>
      <c r="B23" s="37" t="s">
        <v>3270</v>
      </c>
      <c r="C23" s="37"/>
      <c r="D23" s="37"/>
    </row>
    <row r="24" spans="1:4" ht="69" x14ac:dyDescent="0.3">
      <c r="A24" s="252" t="s">
        <v>3237</v>
      </c>
      <c r="B24" s="37" t="s">
        <v>3271</v>
      </c>
      <c r="C24" s="37"/>
      <c r="D24" s="37"/>
    </row>
    <row r="25" spans="1:4" ht="55.2" x14ac:dyDescent="0.3">
      <c r="A25" s="252" t="s">
        <v>3237</v>
      </c>
      <c r="B25" s="37" t="s">
        <v>3273</v>
      </c>
      <c r="C25" s="37"/>
      <c r="D25" s="37"/>
    </row>
    <row r="26" spans="1:4" ht="14.4" x14ac:dyDescent="0.3">
      <c r="A26" s="251" t="s">
        <v>3237</v>
      </c>
      <c r="B26" s="12" t="s">
        <v>1217</v>
      </c>
      <c r="C26" s="22"/>
      <c r="D26" s="22"/>
    </row>
    <row r="27" spans="1:4" ht="41.4" x14ac:dyDescent="0.3">
      <c r="A27" s="252" t="s">
        <v>3237</v>
      </c>
      <c r="B27" s="37" t="s">
        <v>3277</v>
      </c>
      <c r="C27" s="37"/>
      <c r="D27" s="37"/>
    </row>
    <row r="28" spans="1:4" ht="27.6" x14ac:dyDescent="0.3">
      <c r="A28" s="252" t="s">
        <v>3237</v>
      </c>
      <c r="B28" s="37" t="s">
        <v>3279</v>
      </c>
      <c r="C28" s="37"/>
      <c r="D28" s="37"/>
    </row>
    <row r="29" spans="1:4" ht="14.4" x14ac:dyDescent="0.3">
      <c r="A29" s="251" t="s">
        <v>3237</v>
      </c>
      <c r="B29" s="12" t="s">
        <v>3281</v>
      </c>
      <c r="C29" s="22"/>
      <c r="D29" s="22"/>
    </row>
    <row r="30" spans="1:4" ht="14.4" x14ac:dyDescent="0.3">
      <c r="A30" s="252" t="s">
        <v>3237</v>
      </c>
      <c r="B30" s="37" t="s">
        <v>2142</v>
      </c>
      <c r="C30" s="37"/>
      <c r="D30" s="37"/>
    </row>
    <row r="31" spans="1:4" ht="55.2" x14ac:dyDescent="0.3">
      <c r="A31" s="252" t="s">
        <v>3237</v>
      </c>
      <c r="B31" s="37" t="s">
        <v>3284</v>
      </c>
      <c r="C31" s="37"/>
      <c r="D31" s="37"/>
    </row>
    <row r="32" spans="1:4" ht="14.4" x14ac:dyDescent="0.3">
      <c r="A32" s="253" t="s">
        <v>3286</v>
      </c>
      <c r="B32" s="12" t="s">
        <v>1106</v>
      </c>
      <c r="C32" s="22"/>
      <c r="D32" s="22"/>
    </row>
    <row r="33" spans="1:4" ht="14.4" x14ac:dyDescent="0.3">
      <c r="A33" s="253" t="s">
        <v>3286</v>
      </c>
      <c r="B33" s="12" t="s">
        <v>1136</v>
      </c>
      <c r="C33" s="22"/>
      <c r="D33" s="22"/>
    </row>
    <row r="34" spans="1:4" ht="27.6" x14ac:dyDescent="0.3">
      <c r="A34" s="254" t="s">
        <v>3286</v>
      </c>
      <c r="B34" s="37" t="s">
        <v>1034</v>
      </c>
      <c r="C34" s="172"/>
      <c r="D34" s="36"/>
    </row>
    <row r="35" spans="1:4" ht="41.4" x14ac:dyDescent="0.3">
      <c r="A35" s="254" t="s">
        <v>3286</v>
      </c>
      <c r="B35" s="37" t="s">
        <v>3289</v>
      </c>
      <c r="C35" s="172"/>
      <c r="D35" s="36"/>
    </row>
    <row r="36" spans="1:4" ht="14.4" x14ac:dyDescent="0.3">
      <c r="A36" s="251" t="s">
        <v>3286</v>
      </c>
      <c r="B36" s="12" t="s">
        <v>3291</v>
      </c>
      <c r="C36" s="22"/>
      <c r="D36" s="22"/>
    </row>
    <row r="37" spans="1:4" ht="14.4" x14ac:dyDescent="0.3">
      <c r="A37" s="254" t="s">
        <v>3286</v>
      </c>
      <c r="B37" s="37" t="s">
        <v>3292</v>
      </c>
      <c r="C37" s="172"/>
      <c r="D37" s="36"/>
    </row>
    <row r="38" spans="1:4" ht="14.4" x14ac:dyDescent="0.3">
      <c r="A38" s="254" t="s">
        <v>3286</v>
      </c>
      <c r="B38" s="37" t="s">
        <v>3293</v>
      </c>
      <c r="C38" s="172"/>
      <c r="D38" s="36"/>
    </row>
    <row r="39" spans="1:4" ht="14.4" x14ac:dyDescent="0.3">
      <c r="A39" s="254" t="s">
        <v>3286</v>
      </c>
      <c r="B39" s="37" t="s">
        <v>3294</v>
      </c>
      <c r="C39" s="172"/>
      <c r="D39" s="36"/>
    </row>
    <row r="40" spans="1:4" ht="27.6" x14ac:dyDescent="0.3">
      <c r="A40" s="254" t="s">
        <v>3286</v>
      </c>
      <c r="B40" s="37" t="s">
        <v>3296</v>
      </c>
      <c r="C40" s="172"/>
      <c r="D40" s="36"/>
    </row>
    <row r="41" spans="1:4" ht="27.6" x14ac:dyDescent="0.3">
      <c r="A41" s="254" t="s">
        <v>3286</v>
      </c>
      <c r="B41" s="37" t="s">
        <v>3297</v>
      </c>
      <c r="C41" s="172"/>
      <c r="D41" s="36"/>
    </row>
    <row r="42" spans="1:4" ht="27.6" x14ac:dyDescent="0.3">
      <c r="A42" s="254" t="s">
        <v>3286</v>
      </c>
      <c r="B42" s="37" t="s">
        <v>3298</v>
      </c>
      <c r="C42" s="172"/>
      <c r="D42" s="36"/>
    </row>
    <row r="43" spans="1:4" ht="27.6" x14ac:dyDescent="0.3">
      <c r="A43" s="254" t="s">
        <v>3286</v>
      </c>
      <c r="B43" s="37" t="s">
        <v>3301</v>
      </c>
      <c r="C43" s="172"/>
      <c r="D43" s="36"/>
    </row>
    <row r="44" spans="1:4" ht="27.6" x14ac:dyDescent="0.3">
      <c r="A44" s="254" t="s">
        <v>3286</v>
      </c>
      <c r="B44" s="37" t="s">
        <v>3303</v>
      </c>
      <c r="C44" s="172"/>
      <c r="D44" s="36"/>
    </row>
    <row r="45" spans="1:4" ht="27.6" x14ac:dyDescent="0.3">
      <c r="A45" s="254" t="s">
        <v>3286</v>
      </c>
      <c r="B45" s="37" t="s">
        <v>3305</v>
      </c>
      <c r="C45" s="172"/>
      <c r="D45" s="36"/>
    </row>
    <row r="46" spans="1:4" ht="55.2" x14ac:dyDescent="0.3">
      <c r="A46" s="254" t="s">
        <v>3286</v>
      </c>
      <c r="B46" s="37" t="s">
        <v>3308</v>
      </c>
      <c r="C46" s="172"/>
      <c r="D46" s="36"/>
    </row>
    <row r="47" spans="1:4" ht="27.6" x14ac:dyDescent="0.3">
      <c r="A47" s="254" t="s">
        <v>3286</v>
      </c>
      <c r="B47" s="37" t="s">
        <v>3310</v>
      </c>
      <c r="C47" s="172"/>
      <c r="D47" s="36"/>
    </row>
    <row r="48" spans="1:4" ht="41.4" x14ac:dyDescent="0.3">
      <c r="A48" s="254" t="s">
        <v>3286</v>
      </c>
      <c r="B48" s="37" t="s">
        <v>3312</v>
      </c>
      <c r="C48" s="172"/>
      <c r="D48" s="36"/>
    </row>
    <row r="49" spans="1:4" ht="14.4" x14ac:dyDescent="0.3">
      <c r="A49" s="251" t="s">
        <v>3286</v>
      </c>
      <c r="B49" s="12" t="s">
        <v>2986</v>
      </c>
      <c r="C49" s="22"/>
      <c r="D49" s="22"/>
    </row>
    <row r="50" spans="1:4" ht="14.4" x14ac:dyDescent="0.3">
      <c r="A50" s="254" t="s">
        <v>3286</v>
      </c>
      <c r="B50" s="37" t="s">
        <v>3316</v>
      </c>
      <c r="C50" s="172"/>
      <c r="D50" s="36"/>
    </row>
    <row r="51" spans="1:4" ht="14.4" x14ac:dyDescent="0.3">
      <c r="A51" s="254" t="s">
        <v>3286</v>
      </c>
      <c r="B51" s="37" t="s">
        <v>3318</v>
      </c>
      <c r="C51" s="172"/>
      <c r="D51" s="36"/>
    </row>
    <row r="52" spans="1:4" ht="14.4" x14ac:dyDescent="0.3">
      <c r="A52" s="254" t="s">
        <v>3286</v>
      </c>
      <c r="B52" s="37" t="s">
        <v>3319</v>
      </c>
      <c r="C52" s="172"/>
      <c r="D52" s="36"/>
    </row>
    <row r="53" spans="1:4" ht="14.4" x14ac:dyDescent="0.3">
      <c r="A53" s="254" t="s">
        <v>3286</v>
      </c>
      <c r="B53" s="37" t="s">
        <v>3321</v>
      </c>
      <c r="C53" s="172"/>
      <c r="D53" s="36"/>
    </row>
    <row r="54" spans="1:4" ht="14.4" x14ac:dyDescent="0.3">
      <c r="A54" s="254" t="s">
        <v>3286</v>
      </c>
      <c r="B54" s="37" t="s">
        <v>3322</v>
      </c>
      <c r="C54" s="172"/>
      <c r="D54" s="36"/>
    </row>
    <row r="55" spans="1:4" ht="14.4" x14ac:dyDescent="0.3">
      <c r="A55" s="254" t="s">
        <v>3286</v>
      </c>
      <c r="B55" s="37" t="s">
        <v>3323</v>
      </c>
      <c r="C55" s="172"/>
      <c r="D55" s="36"/>
    </row>
    <row r="56" spans="1:4" ht="27.6" x14ac:dyDescent="0.3">
      <c r="A56" s="254" t="s">
        <v>3286</v>
      </c>
      <c r="B56" s="37" t="s">
        <v>3324</v>
      </c>
      <c r="C56" s="172"/>
      <c r="D56" s="36"/>
    </row>
    <row r="57" spans="1:4" ht="14.4" x14ac:dyDescent="0.3">
      <c r="A57" s="251" t="s">
        <v>3286</v>
      </c>
      <c r="B57" s="12" t="s">
        <v>1145</v>
      </c>
      <c r="C57" s="22"/>
      <c r="D57" s="22"/>
    </row>
    <row r="58" spans="1:4" ht="27.6" x14ac:dyDescent="0.3">
      <c r="A58" s="254" t="s">
        <v>3286</v>
      </c>
      <c r="B58" s="37" t="s">
        <v>1501</v>
      </c>
      <c r="C58" s="172"/>
      <c r="D58" s="36"/>
    </row>
    <row r="59" spans="1:4" ht="14.4" x14ac:dyDescent="0.3">
      <c r="A59" s="253" t="s">
        <v>3325</v>
      </c>
      <c r="B59" s="12" t="s">
        <v>1106</v>
      </c>
      <c r="C59" s="22"/>
      <c r="D59" s="22"/>
    </row>
    <row r="60" spans="1:4" ht="27.6" x14ac:dyDescent="0.3">
      <c r="A60" s="254" t="s">
        <v>3325</v>
      </c>
      <c r="B60" s="37" t="s">
        <v>3326</v>
      </c>
      <c r="C60" s="172"/>
      <c r="D60" s="36"/>
    </row>
    <row r="61" spans="1:4" ht="14.4" x14ac:dyDescent="0.3">
      <c r="A61" s="254" t="s">
        <v>3325</v>
      </c>
      <c r="B61" s="37" t="s">
        <v>3327</v>
      </c>
      <c r="C61" s="172"/>
      <c r="D61" s="36"/>
    </row>
    <row r="62" spans="1:4" ht="27.6" x14ac:dyDescent="0.3">
      <c r="A62" s="254" t="s">
        <v>3325</v>
      </c>
      <c r="B62" s="37" t="s">
        <v>3328</v>
      </c>
      <c r="C62" s="172"/>
      <c r="D62" s="36"/>
    </row>
    <row r="63" spans="1:4" ht="14.4" x14ac:dyDescent="0.3">
      <c r="A63" s="254" t="s">
        <v>3325</v>
      </c>
      <c r="B63" s="37" t="s">
        <v>3329</v>
      </c>
      <c r="C63" s="172"/>
      <c r="D63" s="36"/>
    </row>
    <row r="64" spans="1:4" ht="14.4" x14ac:dyDescent="0.3">
      <c r="A64" s="254" t="s">
        <v>3325</v>
      </c>
      <c r="B64" s="37" t="s">
        <v>3330</v>
      </c>
      <c r="C64" s="172"/>
      <c r="D64" s="50"/>
    </row>
    <row r="65" spans="1:4" ht="27.6" x14ac:dyDescent="0.3">
      <c r="A65" s="254" t="s">
        <v>3325</v>
      </c>
      <c r="B65" s="37" t="s">
        <v>3331</v>
      </c>
      <c r="C65" s="172"/>
      <c r="D65" s="36"/>
    </row>
    <row r="66" spans="1:4" ht="27.6" x14ac:dyDescent="0.3">
      <c r="A66" s="254" t="s">
        <v>3325</v>
      </c>
      <c r="B66" s="37" t="s">
        <v>3332</v>
      </c>
      <c r="C66" s="172"/>
      <c r="D66" s="36"/>
    </row>
    <row r="67" spans="1:4" ht="41.4" x14ac:dyDescent="0.3">
      <c r="A67" s="254" t="s">
        <v>3325</v>
      </c>
      <c r="B67" s="37" t="s">
        <v>3333</v>
      </c>
      <c r="C67" s="172"/>
      <c r="D67" s="36"/>
    </row>
    <row r="68" spans="1:4" ht="27.6" x14ac:dyDescent="0.3">
      <c r="A68" s="254" t="s">
        <v>3325</v>
      </c>
      <c r="B68" s="37" t="s">
        <v>3334</v>
      </c>
      <c r="C68" s="172"/>
      <c r="D68" s="50"/>
    </row>
    <row r="69" spans="1:4" ht="27.6" x14ac:dyDescent="0.3">
      <c r="A69" s="254" t="s">
        <v>3325</v>
      </c>
      <c r="B69" s="37" t="s">
        <v>3335</v>
      </c>
      <c r="C69" s="172"/>
      <c r="D69" s="50"/>
    </row>
    <row r="70" spans="1:4" ht="14.4" x14ac:dyDescent="0.3">
      <c r="A70" s="254" t="s">
        <v>3325</v>
      </c>
      <c r="B70" s="37" t="s">
        <v>3336</v>
      </c>
      <c r="C70" s="172"/>
      <c r="D70" s="36"/>
    </row>
    <row r="71" spans="1:4" ht="27.6" x14ac:dyDescent="0.3">
      <c r="A71" s="254" t="s">
        <v>3325</v>
      </c>
      <c r="B71" s="37" t="s">
        <v>3337</v>
      </c>
      <c r="C71" s="172"/>
      <c r="D71" s="50"/>
    </row>
    <row r="72" spans="1:4" ht="14.4" x14ac:dyDescent="0.3">
      <c r="A72" s="253" t="s">
        <v>3325</v>
      </c>
      <c r="B72" s="12" t="s">
        <v>3338</v>
      </c>
      <c r="C72" s="22"/>
      <c r="D72" s="22"/>
    </row>
    <row r="73" spans="1:4" ht="14.4" x14ac:dyDescent="0.3">
      <c r="A73" s="254" t="s">
        <v>3325</v>
      </c>
      <c r="B73" s="37" t="s">
        <v>3339</v>
      </c>
      <c r="C73" s="172"/>
      <c r="D73" s="36"/>
    </row>
    <row r="74" spans="1:4" ht="14.4" x14ac:dyDescent="0.3">
      <c r="A74" s="254" t="s">
        <v>3325</v>
      </c>
      <c r="B74" s="37" t="s">
        <v>3340</v>
      </c>
      <c r="C74" s="172"/>
      <c r="D74" s="36"/>
    </row>
    <row r="75" spans="1:4" ht="14.4" x14ac:dyDescent="0.3">
      <c r="A75" s="253" t="s">
        <v>3325</v>
      </c>
      <c r="B75" s="12" t="s">
        <v>1145</v>
      </c>
      <c r="C75" s="22"/>
      <c r="D75" s="22"/>
    </row>
    <row r="76" spans="1:4" ht="27.6" x14ac:dyDescent="0.3">
      <c r="A76" s="254" t="s">
        <v>3325</v>
      </c>
      <c r="B76" s="37" t="s">
        <v>1051</v>
      </c>
      <c r="C76" s="172"/>
      <c r="D76" s="36"/>
    </row>
    <row r="77" spans="1:4" ht="14.4" x14ac:dyDescent="0.3">
      <c r="A77" s="253" t="s">
        <v>3341</v>
      </c>
      <c r="B77" s="12" t="s">
        <v>1106</v>
      </c>
      <c r="C77" s="22"/>
      <c r="D77" s="22"/>
    </row>
    <row r="78" spans="1:4" ht="14.4" x14ac:dyDescent="0.3">
      <c r="A78" s="253" t="s">
        <v>3341</v>
      </c>
      <c r="B78" s="12" t="s">
        <v>1136</v>
      </c>
      <c r="C78" s="22"/>
      <c r="D78" s="22"/>
    </row>
    <row r="79" spans="1:4" ht="27.6" x14ac:dyDescent="0.3">
      <c r="A79" s="252" t="s">
        <v>3341</v>
      </c>
      <c r="B79" s="37" t="s">
        <v>2262</v>
      </c>
      <c r="C79" s="172"/>
      <c r="D79" s="36"/>
    </row>
    <row r="80" spans="1:4" ht="27.6" x14ac:dyDescent="0.3">
      <c r="A80" s="252" t="s">
        <v>3341</v>
      </c>
      <c r="B80" s="37" t="s">
        <v>3342</v>
      </c>
      <c r="C80" s="172"/>
      <c r="D80" s="36"/>
    </row>
    <row r="81" spans="1:4" ht="27.6" x14ac:dyDescent="0.3">
      <c r="A81" s="252" t="s">
        <v>3341</v>
      </c>
      <c r="B81" s="37" t="s">
        <v>3343</v>
      </c>
      <c r="C81" s="172"/>
      <c r="D81" s="36"/>
    </row>
    <row r="82" spans="1:4" ht="41.4" x14ac:dyDescent="0.3">
      <c r="A82" s="252" t="s">
        <v>3341</v>
      </c>
      <c r="B82" s="37" t="s">
        <v>3344</v>
      </c>
      <c r="C82" s="172"/>
      <c r="D82" s="36"/>
    </row>
    <row r="83" spans="1:4" ht="14.4" x14ac:dyDescent="0.3">
      <c r="A83" s="252" t="s">
        <v>3341</v>
      </c>
      <c r="B83" s="37" t="s">
        <v>3345</v>
      </c>
      <c r="C83" s="172"/>
      <c r="D83" s="36"/>
    </row>
    <row r="84" spans="1:4" ht="14.4" x14ac:dyDescent="0.3">
      <c r="A84" s="253" t="s">
        <v>3341</v>
      </c>
      <c r="B84" s="12" t="s">
        <v>1145</v>
      </c>
      <c r="C84" s="22"/>
      <c r="D84" s="22"/>
    </row>
    <row r="85" spans="1:4" ht="27.6" x14ac:dyDescent="0.3">
      <c r="A85" s="252" t="s">
        <v>3341</v>
      </c>
      <c r="B85" s="37" t="s">
        <v>1055</v>
      </c>
      <c r="C85" s="172"/>
      <c r="D85" s="36"/>
    </row>
    <row r="86" spans="1:4" ht="14.4" x14ac:dyDescent="0.3">
      <c r="A86" s="253" t="s">
        <v>3346</v>
      </c>
      <c r="B86" s="12" t="s">
        <v>1106</v>
      </c>
      <c r="C86" s="22"/>
      <c r="D86" s="22"/>
    </row>
    <row r="87" spans="1:4" ht="14.4" x14ac:dyDescent="0.3">
      <c r="A87" s="253" t="s">
        <v>3346</v>
      </c>
      <c r="B87" s="12" t="s">
        <v>1136</v>
      </c>
      <c r="C87" s="22"/>
      <c r="D87" s="22"/>
    </row>
    <row r="88" spans="1:4" ht="27.6" x14ac:dyDescent="0.3">
      <c r="A88" s="252" t="s">
        <v>3346</v>
      </c>
      <c r="B88" s="37" t="s">
        <v>3347</v>
      </c>
      <c r="C88" s="172"/>
      <c r="D88" s="36"/>
    </row>
    <row r="89" spans="1:4" ht="14.4" x14ac:dyDescent="0.3">
      <c r="A89" s="252" t="s">
        <v>3346</v>
      </c>
      <c r="B89" s="37" t="s">
        <v>3348</v>
      </c>
      <c r="C89" s="172"/>
      <c r="D89" s="36"/>
    </row>
    <row r="90" spans="1:4" ht="14.4" x14ac:dyDescent="0.3">
      <c r="A90" s="252" t="s">
        <v>3346</v>
      </c>
      <c r="B90" s="37" t="s">
        <v>3349</v>
      </c>
      <c r="C90" s="172"/>
      <c r="D90" s="47"/>
    </row>
    <row r="91" spans="1:4" ht="14.4" x14ac:dyDescent="0.3">
      <c r="A91" s="252" t="s">
        <v>3346</v>
      </c>
      <c r="B91" s="37" t="s">
        <v>3350</v>
      </c>
      <c r="C91" s="172"/>
      <c r="D91" s="47"/>
    </row>
    <row r="92" spans="1:4" ht="14.4" x14ac:dyDescent="0.3">
      <c r="A92" s="252" t="s">
        <v>3346</v>
      </c>
      <c r="B92" s="37" t="s">
        <v>3351</v>
      </c>
      <c r="C92" s="172"/>
      <c r="D92" s="47"/>
    </row>
    <row r="93" spans="1:4" ht="14.4" x14ac:dyDescent="0.3">
      <c r="A93" s="252" t="s">
        <v>3346</v>
      </c>
      <c r="B93" s="37" t="s">
        <v>3352</v>
      </c>
      <c r="C93" s="172"/>
      <c r="D93" s="47"/>
    </row>
    <row r="94" spans="1:4" ht="14.4" x14ac:dyDescent="0.3">
      <c r="A94" s="252" t="s">
        <v>3346</v>
      </c>
      <c r="B94" s="37" t="s">
        <v>3353</v>
      </c>
      <c r="C94" s="172"/>
      <c r="D94" s="47"/>
    </row>
    <row r="95" spans="1:4" ht="14.4" x14ac:dyDescent="0.3">
      <c r="A95" s="252" t="s">
        <v>3346</v>
      </c>
      <c r="B95" s="37" t="s">
        <v>3354</v>
      </c>
      <c r="C95" s="172"/>
      <c r="D95" s="47"/>
    </row>
    <row r="96" spans="1:4" ht="14.4" x14ac:dyDescent="0.3">
      <c r="A96" s="252" t="s">
        <v>3346</v>
      </c>
      <c r="B96" s="37" t="s">
        <v>3355</v>
      </c>
      <c r="C96" s="172"/>
      <c r="D96" s="47"/>
    </row>
    <row r="97" spans="1:4" ht="14.4" x14ac:dyDescent="0.3">
      <c r="A97" s="252" t="s">
        <v>3346</v>
      </c>
      <c r="B97" s="37" t="s">
        <v>3356</v>
      </c>
      <c r="C97" s="172"/>
      <c r="D97" s="47"/>
    </row>
    <row r="98" spans="1:4" ht="27.6" x14ac:dyDescent="0.3">
      <c r="A98" s="252" t="s">
        <v>3346</v>
      </c>
      <c r="B98" s="37" t="s">
        <v>3357</v>
      </c>
      <c r="C98" s="172"/>
      <c r="D98" s="47"/>
    </row>
    <row r="99" spans="1:4" ht="41.4" x14ac:dyDescent="0.3">
      <c r="A99" s="252" t="s">
        <v>3346</v>
      </c>
      <c r="B99" s="37" t="s">
        <v>3358</v>
      </c>
      <c r="C99" s="172"/>
      <c r="D99" s="47"/>
    </row>
    <row r="100" spans="1:4" ht="41.4" x14ac:dyDescent="0.3">
      <c r="A100" s="252" t="s">
        <v>3346</v>
      </c>
      <c r="B100" s="37" t="s">
        <v>3359</v>
      </c>
      <c r="C100" s="172"/>
      <c r="D100" s="47"/>
    </row>
    <row r="101" spans="1:4" ht="27.6" x14ac:dyDescent="0.3">
      <c r="A101" s="252" t="s">
        <v>3346</v>
      </c>
      <c r="B101" s="37" t="s">
        <v>3360</v>
      </c>
      <c r="C101" s="172"/>
      <c r="D101" s="47"/>
    </row>
    <row r="102" spans="1:4" ht="14.4" x14ac:dyDescent="0.3">
      <c r="A102" s="252" t="s">
        <v>3346</v>
      </c>
      <c r="B102" s="37" t="s">
        <v>3361</v>
      </c>
      <c r="C102" s="172"/>
      <c r="D102" s="47"/>
    </row>
    <row r="103" spans="1:4" ht="41.4" x14ac:dyDescent="0.3">
      <c r="A103" s="252" t="s">
        <v>3346</v>
      </c>
      <c r="B103" s="37" t="s">
        <v>3362</v>
      </c>
      <c r="C103" s="172"/>
      <c r="D103" s="47"/>
    </row>
    <row r="104" spans="1:4" ht="27.6" x14ac:dyDescent="0.3">
      <c r="A104" s="252" t="s">
        <v>3346</v>
      </c>
      <c r="B104" s="37" t="s">
        <v>3363</v>
      </c>
      <c r="C104" s="172"/>
      <c r="D104" s="47"/>
    </row>
    <row r="105" spans="1:4" ht="14.4" x14ac:dyDescent="0.3">
      <c r="A105" s="252" t="s">
        <v>3346</v>
      </c>
      <c r="B105" s="37" t="s">
        <v>3364</v>
      </c>
      <c r="C105" s="172"/>
      <c r="D105" s="47"/>
    </row>
    <row r="106" spans="1:4" ht="27.6" x14ac:dyDescent="0.3">
      <c r="A106" s="252" t="s">
        <v>3346</v>
      </c>
      <c r="B106" s="37" t="s">
        <v>3365</v>
      </c>
      <c r="C106" s="172"/>
      <c r="D106" s="47"/>
    </row>
    <row r="107" spans="1:4" ht="27.6" x14ac:dyDescent="0.3">
      <c r="A107" s="252" t="s">
        <v>3346</v>
      </c>
      <c r="B107" s="37" t="s">
        <v>3366</v>
      </c>
      <c r="C107" s="172"/>
      <c r="D107" s="47"/>
    </row>
    <row r="108" spans="1:4" ht="14.4" x14ac:dyDescent="0.3">
      <c r="A108" s="252" t="s">
        <v>3346</v>
      </c>
      <c r="B108" s="37" t="s">
        <v>3367</v>
      </c>
      <c r="C108" s="172"/>
      <c r="D108" s="47"/>
    </row>
    <row r="109" spans="1:4" ht="27.6" x14ac:dyDescent="0.3">
      <c r="A109" s="252" t="s">
        <v>3346</v>
      </c>
      <c r="B109" s="37" t="s">
        <v>3368</v>
      </c>
      <c r="C109" s="172"/>
      <c r="D109" s="47"/>
    </row>
    <row r="110" spans="1:4" ht="27.6" x14ac:dyDescent="0.3">
      <c r="A110" s="252" t="s">
        <v>3346</v>
      </c>
      <c r="B110" s="37" t="s">
        <v>3369</v>
      </c>
      <c r="C110" s="172"/>
      <c r="D110" s="47"/>
    </row>
    <row r="111" spans="1:4" ht="27.6" x14ac:dyDescent="0.3">
      <c r="A111" s="252" t="s">
        <v>3346</v>
      </c>
      <c r="B111" s="37" t="s">
        <v>3370</v>
      </c>
      <c r="C111" s="172"/>
      <c r="D111" s="47"/>
    </row>
    <row r="112" spans="1:4" ht="41.4" x14ac:dyDescent="0.3">
      <c r="A112" s="252" t="s">
        <v>3346</v>
      </c>
      <c r="B112" s="37" t="s">
        <v>3371</v>
      </c>
      <c r="C112" s="172"/>
      <c r="D112" s="47"/>
    </row>
    <row r="113" spans="1:4" ht="14.4" x14ac:dyDescent="0.3">
      <c r="A113" s="252" t="s">
        <v>3346</v>
      </c>
      <c r="B113" s="37" t="s">
        <v>3372</v>
      </c>
      <c r="C113" s="172"/>
      <c r="D113" s="47"/>
    </row>
    <row r="114" spans="1:4" ht="27.6" x14ac:dyDescent="0.3">
      <c r="A114" s="252" t="s">
        <v>3346</v>
      </c>
      <c r="B114" s="37" t="s">
        <v>3373</v>
      </c>
      <c r="C114" s="172"/>
      <c r="D114" s="47"/>
    </row>
    <row r="115" spans="1:4" ht="14.4" x14ac:dyDescent="0.3">
      <c r="A115" s="252" t="s">
        <v>3346</v>
      </c>
      <c r="B115" s="37" t="s">
        <v>3374</v>
      </c>
      <c r="C115" s="172"/>
      <c r="D115" s="47"/>
    </row>
    <row r="116" spans="1:4" ht="14.4" x14ac:dyDescent="0.3">
      <c r="A116" s="252" t="s">
        <v>3346</v>
      </c>
      <c r="B116" s="37" t="s">
        <v>3375</v>
      </c>
      <c r="C116" s="172"/>
      <c r="D116" s="47"/>
    </row>
    <row r="117" spans="1:4" ht="27.6" x14ac:dyDescent="0.3">
      <c r="A117" s="252" t="s">
        <v>3346</v>
      </c>
      <c r="B117" s="37" t="s">
        <v>3376</v>
      </c>
      <c r="C117" s="172"/>
      <c r="D117" s="47"/>
    </row>
    <row r="118" spans="1:4" ht="27.6" x14ac:dyDescent="0.3">
      <c r="A118" s="252" t="s">
        <v>3346</v>
      </c>
      <c r="B118" s="37" t="s">
        <v>3377</v>
      </c>
      <c r="C118" s="172"/>
      <c r="D118" s="47"/>
    </row>
    <row r="119" spans="1:4" ht="27.6" x14ac:dyDescent="0.3">
      <c r="A119" s="252" t="s">
        <v>3346</v>
      </c>
      <c r="B119" s="37" t="s">
        <v>3378</v>
      </c>
      <c r="C119" s="172"/>
      <c r="D119" s="47"/>
    </row>
    <row r="120" spans="1:4" ht="27.6" x14ac:dyDescent="0.3">
      <c r="A120" s="252" t="s">
        <v>3346</v>
      </c>
      <c r="B120" s="37" t="s">
        <v>3379</v>
      </c>
      <c r="C120" s="172"/>
      <c r="D120" s="47"/>
    </row>
    <row r="121" spans="1:4" ht="14.4" x14ac:dyDescent="0.3">
      <c r="A121" s="253" t="s">
        <v>3346</v>
      </c>
      <c r="B121" s="12" t="s">
        <v>1145</v>
      </c>
      <c r="C121" s="22"/>
      <c r="D121" s="22"/>
    </row>
    <row r="122" spans="1:4" ht="14.4" x14ac:dyDescent="0.3">
      <c r="A122" s="252" t="s">
        <v>3346</v>
      </c>
      <c r="B122" s="37" t="s">
        <v>3380</v>
      </c>
      <c r="C122" s="172"/>
      <c r="D122" s="47"/>
    </row>
    <row r="123" spans="1:4" ht="14.4" x14ac:dyDescent="0.3">
      <c r="A123" s="253" t="s">
        <v>3381</v>
      </c>
      <c r="B123" s="12" t="s">
        <v>1106</v>
      </c>
      <c r="C123" s="22"/>
      <c r="D123" s="22"/>
    </row>
    <row r="124" spans="1:4" ht="27.6" x14ac:dyDescent="0.3">
      <c r="A124" s="253" t="s">
        <v>3381</v>
      </c>
      <c r="B124" s="12" t="s">
        <v>3094</v>
      </c>
      <c r="C124" s="22"/>
      <c r="D124" s="22"/>
    </row>
    <row r="125" spans="1:4" ht="27.6" x14ac:dyDescent="0.3">
      <c r="A125" s="257" t="s">
        <v>3381</v>
      </c>
      <c r="B125" s="37" t="s">
        <v>2293</v>
      </c>
      <c r="C125" s="172"/>
      <c r="D125" s="47"/>
    </row>
    <row r="126" spans="1:4" ht="14.4" x14ac:dyDescent="0.3">
      <c r="A126" s="253" t="s">
        <v>3382</v>
      </c>
      <c r="B126" s="12" t="s">
        <v>3383</v>
      </c>
      <c r="C126" s="22"/>
      <c r="D126" s="22"/>
    </row>
    <row r="127" spans="1:4" ht="14.4" x14ac:dyDescent="0.3">
      <c r="A127" s="253" t="s">
        <v>3382</v>
      </c>
      <c r="B127" s="12" t="s">
        <v>720</v>
      </c>
      <c r="C127" s="22"/>
      <c r="D127" s="22"/>
    </row>
    <row r="128" spans="1:4" ht="27.6" x14ac:dyDescent="0.3">
      <c r="A128" s="252" t="s">
        <v>3382</v>
      </c>
      <c r="B128" s="37" t="s">
        <v>2202</v>
      </c>
      <c r="C128" s="172"/>
      <c r="D128" s="47"/>
    </row>
    <row r="129" spans="1:4" ht="14.4" x14ac:dyDescent="0.3">
      <c r="A129" s="252" t="s">
        <v>3382</v>
      </c>
      <c r="B129" s="37" t="s">
        <v>3384</v>
      </c>
      <c r="C129" s="172"/>
      <c r="D129" s="47"/>
    </row>
    <row r="130" spans="1:4" ht="14.4" x14ac:dyDescent="0.3">
      <c r="A130" s="253" t="s">
        <v>3382</v>
      </c>
      <c r="B130" s="12" t="s">
        <v>2297</v>
      </c>
      <c r="C130" s="22"/>
      <c r="D130" s="22"/>
    </row>
    <row r="131" spans="1:4" ht="14.4" x14ac:dyDescent="0.3">
      <c r="A131" s="252" t="s">
        <v>3382</v>
      </c>
      <c r="B131" s="37" t="s">
        <v>3385</v>
      </c>
      <c r="C131" s="172"/>
      <c r="D131" s="47"/>
    </row>
    <row r="132" spans="1:4" ht="14.4" x14ac:dyDescent="0.3">
      <c r="A132" s="252" t="s">
        <v>3382</v>
      </c>
      <c r="B132" s="37" t="s">
        <v>3386</v>
      </c>
      <c r="C132" s="172"/>
      <c r="D132" s="47"/>
    </row>
    <row r="133" spans="1:4" ht="14.4" x14ac:dyDescent="0.3">
      <c r="A133" s="252" t="s">
        <v>3382</v>
      </c>
      <c r="B133" s="37" t="s">
        <v>3387</v>
      </c>
      <c r="C133" s="172"/>
      <c r="D133" s="47"/>
    </row>
    <row r="134" spans="1:4" ht="14.4" x14ac:dyDescent="0.3">
      <c r="A134" s="253" t="s">
        <v>3382</v>
      </c>
      <c r="B134" s="12" t="s">
        <v>2689</v>
      </c>
      <c r="C134" s="22"/>
      <c r="D134" s="22"/>
    </row>
    <row r="135" spans="1:4" ht="14.4" x14ac:dyDescent="0.3">
      <c r="A135" s="256" t="s">
        <v>3382</v>
      </c>
      <c r="B135" s="37" t="s">
        <v>3320</v>
      </c>
      <c r="C135" s="172"/>
      <c r="D135" s="47"/>
    </row>
    <row r="136" spans="1:4" ht="14.4" x14ac:dyDescent="0.3">
      <c r="A136" s="120"/>
      <c r="B136" s="46"/>
      <c r="C136" s="17"/>
      <c r="D136" s="17"/>
    </row>
    <row r="137" spans="1:4" ht="14.4" x14ac:dyDescent="0.3">
      <c r="A137" s="120"/>
      <c r="B137" s="46"/>
      <c r="C137" s="17"/>
      <c r="D137" s="17"/>
    </row>
    <row r="138" spans="1:4" ht="14.4" x14ac:dyDescent="0.3">
      <c r="A138" s="120"/>
      <c r="B138" s="15" t="s">
        <v>75</v>
      </c>
      <c r="C138" s="2">
        <f>COUNTIF($C$4:$C$135,"C")</f>
        <v>1</v>
      </c>
      <c r="D138" s="17"/>
    </row>
    <row r="139" spans="1:4" ht="14.4" x14ac:dyDescent="0.3">
      <c r="A139" s="120"/>
      <c r="B139" s="15" t="s">
        <v>81</v>
      </c>
      <c r="C139" s="2">
        <f>COUNTIF($C$4:$C$135,"NC")</f>
        <v>1</v>
      </c>
      <c r="D139" s="17"/>
    </row>
    <row r="140" spans="1:4" ht="14.4" x14ac:dyDescent="0.3">
      <c r="A140" s="120"/>
      <c r="B140" s="15" t="s">
        <v>84</v>
      </c>
      <c r="C140" s="2">
        <f>COUNTIF($C$4:$C$135,"NA")</f>
        <v>1</v>
      </c>
      <c r="D140" s="17"/>
    </row>
  </sheetData>
  <conditionalFormatting sqref="C7:C10 C12:C17 C19:C20 C34:C35 C37:C48 C50:C56 C58 C60:C71 C73:C74 C76 C79:C83 C85 C88:C120 C122 C125 C128:C129 C131:C133 C135">
    <cfRule type="beginsWith" dxfId="23" priority="1" operator="beginsWith" text="C">
      <formula>LEFT((C7),LEN("C"))=("C")</formula>
    </cfRule>
    <cfRule type="beginsWith" dxfId="22" priority="2" operator="beginsWith" text="NC">
      <formula>LEFT((C7),LEN("NC"))=("NC")</formula>
    </cfRule>
    <cfRule type="beginsWith" dxfId="21" priority="3" operator="beginsWith" text="NA">
      <formula>LEFT((C7),LEN("NA"))=("NA")</formula>
    </cfRule>
  </conditionalFormatting>
  <dataValidations count="1">
    <dataValidation type="list" allowBlank="1" sqref="C7:C10 C12:C17 C19:C20 C22:C25 C27:C28 C30:C31 C34:C35 C37:C48 C50:C56 C58 C60:C71 C73:C74 C76 C79:C83 C85 C88:C120 C122 C125 C128:C129 C131:C133 C135" xr:uid="{00000000-0002-0000-2700-000000000000}">
      <formula1>"C,NC,NA"</formula1>
    </dataValidation>
  </dataValidations>
  <hyperlinks>
    <hyperlink ref="B1" location="'Tabla de contenido'!A1" display="VOLVER A TABLA DE CONTENIDO" xr:uid="{00000000-0004-0000-2700-000000000000}"/>
  </hyperlinks>
  <pageMargins left="0.7" right="0.7" top="0.75" bottom="0.75" header="0" footer="0"/>
  <pageSetup orientation="portrai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3C47D"/>
  </sheetPr>
  <dimension ref="A1:D178"/>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29.5546875" customWidth="1" outlineLevel="1"/>
    <col min="5" max="5" width="4" customWidth="1"/>
    <col min="6" max="23" width="10.77734375" customWidth="1"/>
  </cols>
  <sheetData>
    <row r="1" spans="1:4" ht="14.4" x14ac:dyDescent="0.3">
      <c r="A1" s="269"/>
      <c r="B1" s="270" t="s">
        <v>0</v>
      </c>
      <c r="C1" s="269"/>
      <c r="D1" s="269"/>
    </row>
    <row r="2" spans="1:4" ht="14.4" x14ac:dyDescent="0.3">
      <c r="A2" s="74"/>
      <c r="B2" s="115" t="s">
        <v>2215</v>
      </c>
      <c r="C2" s="116"/>
      <c r="D2" s="77"/>
    </row>
    <row r="3" spans="1:4" ht="14.4" x14ac:dyDescent="0.3">
      <c r="A3" s="6"/>
      <c r="B3" s="40" t="s">
        <v>3388</v>
      </c>
      <c r="C3" s="117"/>
      <c r="D3" s="19"/>
    </row>
    <row r="4" spans="1:4" ht="14.4" x14ac:dyDescent="0.3">
      <c r="A4" s="6" t="s">
        <v>7</v>
      </c>
      <c r="B4" s="250" t="s">
        <v>9</v>
      </c>
      <c r="C4" s="6" t="s">
        <v>10</v>
      </c>
      <c r="D4" s="6" t="s">
        <v>11</v>
      </c>
    </row>
    <row r="5" spans="1:4" ht="14.4" x14ac:dyDescent="0.3">
      <c r="A5" s="22" t="s">
        <v>3389</v>
      </c>
      <c r="B5" s="21" t="s">
        <v>922</v>
      </c>
      <c r="C5" s="22"/>
      <c r="D5" s="22"/>
    </row>
    <row r="6" spans="1:4" ht="27.6" x14ac:dyDescent="0.3">
      <c r="A6" s="22" t="s">
        <v>3389</v>
      </c>
      <c r="B6" s="21" t="s">
        <v>3390</v>
      </c>
      <c r="C6" s="26"/>
      <c r="D6" s="26"/>
    </row>
    <row r="7" spans="1:4" ht="14.4" x14ac:dyDescent="0.3">
      <c r="A7" s="22" t="s">
        <v>3389</v>
      </c>
      <c r="B7" s="21" t="s">
        <v>1136</v>
      </c>
      <c r="C7" s="26"/>
      <c r="D7" s="26"/>
    </row>
    <row r="8" spans="1:4" ht="14.4" x14ac:dyDescent="0.3">
      <c r="A8" s="22" t="s">
        <v>3389</v>
      </c>
      <c r="B8" s="21" t="s">
        <v>3391</v>
      </c>
      <c r="C8" s="26"/>
      <c r="D8" s="26"/>
    </row>
    <row r="9" spans="1:4" ht="14.4" x14ac:dyDescent="0.3">
      <c r="A9" s="50" t="s">
        <v>3389</v>
      </c>
      <c r="B9" s="47" t="s">
        <v>3245</v>
      </c>
      <c r="C9" s="172" t="s">
        <v>16</v>
      </c>
      <c r="D9" s="36"/>
    </row>
    <row r="10" spans="1:4" ht="14.4" x14ac:dyDescent="0.3">
      <c r="A10" s="50" t="s">
        <v>3389</v>
      </c>
      <c r="B10" s="47" t="s">
        <v>2680</v>
      </c>
      <c r="C10" s="172" t="s">
        <v>20</v>
      </c>
      <c r="D10" s="36"/>
    </row>
    <row r="11" spans="1:4" ht="14.4" x14ac:dyDescent="0.3">
      <c r="A11" s="22" t="s">
        <v>3389</v>
      </c>
      <c r="B11" s="21" t="s">
        <v>1335</v>
      </c>
      <c r="C11" s="26"/>
      <c r="D11" s="26"/>
    </row>
    <row r="12" spans="1:4" ht="55.2" x14ac:dyDescent="0.3">
      <c r="A12" s="50" t="s">
        <v>3389</v>
      </c>
      <c r="B12" s="47" t="s">
        <v>3392</v>
      </c>
      <c r="C12" s="172" t="s">
        <v>24</v>
      </c>
      <c r="D12" s="36"/>
    </row>
    <row r="13" spans="1:4" ht="14.4" x14ac:dyDescent="0.3">
      <c r="A13" s="50" t="s">
        <v>3389</v>
      </c>
      <c r="B13" s="47" t="s">
        <v>3393</v>
      </c>
      <c r="C13" s="172"/>
      <c r="D13" s="36"/>
    </row>
    <row r="14" spans="1:4" ht="14.4" x14ac:dyDescent="0.3">
      <c r="A14" s="50" t="s">
        <v>3389</v>
      </c>
      <c r="B14" s="47" t="s">
        <v>3394</v>
      </c>
      <c r="C14" s="172"/>
      <c r="D14" s="36"/>
    </row>
    <row r="15" spans="1:4" ht="14.4" x14ac:dyDescent="0.3">
      <c r="A15" s="50" t="s">
        <v>3389</v>
      </c>
      <c r="B15" s="47" t="s">
        <v>3395</v>
      </c>
      <c r="C15" s="172"/>
      <c r="D15" s="36"/>
    </row>
    <row r="16" spans="1:4" ht="41.4" x14ac:dyDescent="0.3">
      <c r="A16" s="50" t="s">
        <v>3389</v>
      </c>
      <c r="B16" s="47" t="s">
        <v>3396</v>
      </c>
      <c r="C16" s="172"/>
      <c r="D16" s="36"/>
    </row>
    <row r="17" spans="1:4" ht="14.4" x14ac:dyDescent="0.3">
      <c r="A17" s="50" t="s">
        <v>3389</v>
      </c>
      <c r="B17" s="21" t="s">
        <v>1145</v>
      </c>
      <c r="C17" s="26"/>
      <c r="D17" s="26"/>
    </row>
    <row r="18" spans="1:4" ht="14.4" x14ac:dyDescent="0.3">
      <c r="A18" s="50" t="s">
        <v>3389</v>
      </c>
      <c r="B18" s="47" t="s">
        <v>2023</v>
      </c>
      <c r="C18" s="172"/>
      <c r="D18" s="36"/>
    </row>
    <row r="19" spans="1:4" ht="55.2" x14ac:dyDescent="0.3">
      <c r="A19" s="50" t="s">
        <v>3389</v>
      </c>
      <c r="B19" s="47" t="s">
        <v>3270</v>
      </c>
      <c r="C19" s="172"/>
      <c r="D19" s="36"/>
    </row>
    <row r="20" spans="1:4" ht="69" x14ac:dyDescent="0.3">
      <c r="A20" s="50" t="s">
        <v>3389</v>
      </c>
      <c r="B20" s="47" t="s">
        <v>3397</v>
      </c>
      <c r="C20" s="172"/>
      <c r="D20" s="36"/>
    </row>
    <row r="21" spans="1:4" ht="55.2" x14ac:dyDescent="0.3">
      <c r="A21" s="50" t="s">
        <v>3389</v>
      </c>
      <c r="B21" s="47" t="s">
        <v>3398</v>
      </c>
      <c r="C21" s="172"/>
      <c r="D21" s="36"/>
    </row>
    <row r="22" spans="1:4" ht="27.6" x14ac:dyDescent="0.3">
      <c r="A22" s="22" t="s">
        <v>3389</v>
      </c>
      <c r="B22" s="21" t="s">
        <v>3399</v>
      </c>
      <c r="C22" s="26"/>
      <c r="D22" s="26"/>
    </row>
    <row r="23" spans="1:4" ht="27.6" x14ac:dyDescent="0.3">
      <c r="A23" s="50" t="s">
        <v>3389</v>
      </c>
      <c r="B23" s="47" t="s">
        <v>3400</v>
      </c>
      <c r="C23" s="172"/>
      <c r="D23" s="36"/>
    </row>
    <row r="24" spans="1:4" ht="14.4" x14ac:dyDescent="0.3">
      <c r="A24" s="50" t="s">
        <v>3389</v>
      </c>
      <c r="B24" s="47" t="s">
        <v>3401</v>
      </c>
      <c r="C24" s="172"/>
      <c r="D24" s="36"/>
    </row>
    <row r="25" spans="1:4" ht="14.4" x14ac:dyDescent="0.3">
      <c r="A25" s="50" t="s">
        <v>3389</v>
      </c>
      <c r="B25" s="47" t="s">
        <v>3402</v>
      </c>
      <c r="C25" s="172"/>
      <c r="D25" s="36"/>
    </row>
    <row r="26" spans="1:4" ht="14.4" x14ac:dyDescent="0.3">
      <c r="A26" s="50" t="s">
        <v>3389</v>
      </c>
      <c r="B26" s="47" t="s">
        <v>3403</v>
      </c>
      <c r="C26" s="172"/>
      <c r="D26" s="36"/>
    </row>
    <row r="27" spans="1:4" ht="27.6" x14ac:dyDescent="0.3">
      <c r="A27" s="50" t="s">
        <v>3389</v>
      </c>
      <c r="B27" s="47" t="s">
        <v>3404</v>
      </c>
      <c r="C27" s="172"/>
      <c r="D27" s="36"/>
    </row>
    <row r="28" spans="1:4" ht="14.4" x14ac:dyDescent="0.3">
      <c r="A28" s="22" t="s">
        <v>3389</v>
      </c>
      <c r="B28" s="21" t="s">
        <v>1145</v>
      </c>
      <c r="C28" s="26"/>
      <c r="D28" s="26"/>
    </row>
    <row r="29" spans="1:4" ht="27.6" x14ac:dyDescent="0.3">
      <c r="A29" s="50" t="s">
        <v>3389</v>
      </c>
      <c r="B29" s="47" t="s">
        <v>1103</v>
      </c>
      <c r="C29" s="172"/>
      <c r="D29" s="36"/>
    </row>
    <row r="30" spans="1:4" ht="55.2" x14ac:dyDescent="0.3">
      <c r="A30" s="50" t="s">
        <v>3389</v>
      </c>
      <c r="B30" s="47" t="s">
        <v>3405</v>
      </c>
      <c r="C30" s="172"/>
      <c r="D30" s="50"/>
    </row>
    <row r="31" spans="1:4" ht="55.2" x14ac:dyDescent="0.3">
      <c r="A31" s="50" t="s">
        <v>3389</v>
      </c>
      <c r="B31" s="47" t="s">
        <v>3406</v>
      </c>
      <c r="C31" s="172"/>
      <c r="D31" s="50"/>
    </row>
    <row r="32" spans="1:4" ht="14.4" x14ac:dyDescent="0.3">
      <c r="A32" s="22" t="s">
        <v>3407</v>
      </c>
      <c r="B32" s="21" t="s">
        <v>922</v>
      </c>
      <c r="C32" s="26"/>
      <c r="D32" s="26"/>
    </row>
    <row r="33" spans="1:4" ht="27.6" x14ac:dyDescent="0.3">
      <c r="A33" s="22" t="s">
        <v>3407</v>
      </c>
      <c r="B33" s="21" t="s">
        <v>3390</v>
      </c>
      <c r="C33" s="26"/>
      <c r="D33" s="26"/>
    </row>
    <row r="34" spans="1:4" ht="14.4" x14ac:dyDescent="0.3">
      <c r="A34" s="22" t="s">
        <v>3407</v>
      </c>
      <c r="B34" s="21" t="s">
        <v>2045</v>
      </c>
      <c r="C34" s="26"/>
      <c r="D34" s="26"/>
    </row>
    <row r="35" spans="1:4" ht="27.6" x14ac:dyDescent="0.3">
      <c r="A35" s="50" t="s">
        <v>3407</v>
      </c>
      <c r="B35" s="47" t="s">
        <v>3408</v>
      </c>
      <c r="C35" s="172"/>
      <c r="D35" s="49"/>
    </row>
    <row r="36" spans="1:4" ht="27.6" x14ac:dyDescent="0.3">
      <c r="A36" s="50" t="s">
        <v>3407</v>
      </c>
      <c r="B36" s="47" t="s">
        <v>3409</v>
      </c>
      <c r="C36" s="172"/>
      <c r="D36" s="36"/>
    </row>
    <row r="37" spans="1:4" ht="41.4" x14ac:dyDescent="0.3">
      <c r="A37" s="50" t="s">
        <v>3407</v>
      </c>
      <c r="B37" s="47" t="s">
        <v>3410</v>
      </c>
      <c r="C37" s="172"/>
      <c r="D37" s="36"/>
    </row>
    <row r="38" spans="1:4" ht="14.4" x14ac:dyDescent="0.3">
      <c r="A38" s="22" t="s">
        <v>3407</v>
      </c>
      <c r="B38" s="21" t="s">
        <v>3411</v>
      </c>
      <c r="C38" s="26"/>
      <c r="D38" s="26"/>
    </row>
    <row r="39" spans="1:4" ht="14.4" x14ac:dyDescent="0.3">
      <c r="A39" s="50" t="s">
        <v>3407</v>
      </c>
      <c r="B39" s="47" t="s">
        <v>3412</v>
      </c>
      <c r="C39" s="172"/>
      <c r="D39" s="36"/>
    </row>
    <row r="40" spans="1:4" ht="14.4" x14ac:dyDescent="0.3">
      <c r="A40" s="50" t="s">
        <v>3407</v>
      </c>
      <c r="B40" s="47" t="s">
        <v>3413</v>
      </c>
      <c r="C40" s="172"/>
      <c r="D40" s="36"/>
    </row>
    <row r="41" spans="1:4" ht="14.4" x14ac:dyDescent="0.3">
      <c r="A41" s="50" t="s">
        <v>3407</v>
      </c>
      <c r="B41" s="47" t="s">
        <v>3414</v>
      </c>
      <c r="C41" s="172"/>
      <c r="D41" s="36"/>
    </row>
    <row r="42" spans="1:4" ht="14.4" x14ac:dyDescent="0.3">
      <c r="A42" s="50" t="s">
        <v>3407</v>
      </c>
      <c r="B42" s="47" t="s">
        <v>3415</v>
      </c>
      <c r="C42" s="172"/>
      <c r="D42" s="36"/>
    </row>
    <row r="43" spans="1:4" ht="14.4" x14ac:dyDescent="0.3">
      <c r="A43" s="22" t="s">
        <v>3407</v>
      </c>
      <c r="B43" s="21" t="s">
        <v>3416</v>
      </c>
      <c r="C43" s="26"/>
      <c r="D43" s="26"/>
    </row>
    <row r="44" spans="1:4" ht="27.6" x14ac:dyDescent="0.3">
      <c r="A44" s="50" t="s">
        <v>3407</v>
      </c>
      <c r="B44" s="47" t="s">
        <v>3417</v>
      </c>
      <c r="C44" s="172"/>
      <c r="D44" s="36"/>
    </row>
    <row r="45" spans="1:4" ht="27.6" x14ac:dyDescent="0.3">
      <c r="A45" s="50" t="s">
        <v>3407</v>
      </c>
      <c r="B45" s="47" t="s">
        <v>3418</v>
      </c>
      <c r="C45" s="172"/>
      <c r="D45" s="36"/>
    </row>
    <row r="46" spans="1:4" ht="14.4" x14ac:dyDescent="0.3">
      <c r="A46" s="50" t="s">
        <v>3407</v>
      </c>
      <c r="B46" s="47" t="s">
        <v>3419</v>
      </c>
      <c r="C46" s="172"/>
      <c r="D46" s="36"/>
    </row>
    <row r="47" spans="1:4" ht="14.4" x14ac:dyDescent="0.3">
      <c r="A47" s="50" t="s">
        <v>3407</v>
      </c>
      <c r="B47" s="47" t="s">
        <v>1145</v>
      </c>
      <c r="C47" s="172"/>
      <c r="D47" s="50"/>
    </row>
    <row r="48" spans="1:4" ht="27.6" x14ac:dyDescent="0.3">
      <c r="A48" s="50" t="s">
        <v>3407</v>
      </c>
      <c r="B48" s="47" t="s">
        <v>1117</v>
      </c>
      <c r="C48" s="172"/>
      <c r="D48" s="50"/>
    </row>
    <row r="49" spans="1:4" ht="14.4" x14ac:dyDescent="0.3">
      <c r="A49" s="22" t="s">
        <v>3407</v>
      </c>
      <c r="B49" s="21" t="s">
        <v>922</v>
      </c>
      <c r="C49" s="26"/>
      <c r="D49" s="26"/>
    </row>
    <row r="50" spans="1:4" ht="14.4" x14ac:dyDescent="0.3">
      <c r="A50" s="22" t="s">
        <v>3407</v>
      </c>
      <c r="B50" s="21" t="s">
        <v>3420</v>
      </c>
      <c r="C50" s="26"/>
      <c r="D50" s="26"/>
    </row>
    <row r="51" spans="1:4" ht="14.4" x14ac:dyDescent="0.3">
      <c r="A51" s="22" t="s">
        <v>3407</v>
      </c>
      <c r="B51" s="21" t="s">
        <v>2045</v>
      </c>
      <c r="C51" s="26"/>
      <c r="D51" s="26"/>
    </row>
    <row r="52" spans="1:4" ht="27.6" x14ac:dyDescent="0.3">
      <c r="A52" s="50" t="s">
        <v>3407</v>
      </c>
      <c r="B52" s="47" t="s">
        <v>3421</v>
      </c>
      <c r="C52" s="172"/>
      <c r="D52" s="36"/>
    </row>
    <row r="53" spans="1:4" ht="27.6" x14ac:dyDescent="0.3">
      <c r="A53" s="50" t="s">
        <v>3407</v>
      </c>
      <c r="B53" s="47" t="s">
        <v>3422</v>
      </c>
      <c r="C53" s="172"/>
      <c r="D53" s="49"/>
    </row>
    <row r="54" spans="1:4" ht="14.4" x14ac:dyDescent="0.3">
      <c r="A54" s="22" t="s">
        <v>3407</v>
      </c>
      <c r="B54" s="21" t="s">
        <v>3423</v>
      </c>
      <c r="C54" s="26"/>
      <c r="D54" s="26"/>
    </row>
    <row r="55" spans="1:4" ht="14.4" x14ac:dyDescent="0.3">
      <c r="A55" s="50" t="s">
        <v>3407</v>
      </c>
      <c r="B55" s="47" t="s">
        <v>3424</v>
      </c>
      <c r="C55" s="172"/>
      <c r="D55" s="36"/>
    </row>
    <row r="56" spans="1:4" ht="14.4" x14ac:dyDescent="0.3">
      <c r="A56" s="50" t="s">
        <v>3407</v>
      </c>
      <c r="B56" s="47" t="s">
        <v>3425</v>
      </c>
      <c r="C56" s="172"/>
      <c r="D56" s="36"/>
    </row>
    <row r="57" spans="1:4" ht="14.4" x14ac:dyDescent="0.3">
      <c r="A57" s="50" t="s">
        <v>3407</v>
      </c>
      <c r="B57" s="47" t="s">
        <v>3426</v>
      </c>
      <c r="C57" s="172"/>
      <c r="D57" s="36"/>
    </row>
    <row r="58" spans="1:4" ht="14.4" x14ac:dyDescent="0.3">
      <c r="A58" s="22" t="s">
        <v>3407</v>
      </c>
      <c r="B58" s="21" t="s">
        <v>1145</v>
      </c>
      <c r="C58" s="26"/>
      <c r="D58" s="26"/>
    </row>
    <row r="59" spans="1:4" ht="27.6" x14ac:dyDescent="0.3">
      <c r="A59" s="50" t="s">
        <v>3407</v>
      </c>
      <c r="B59" s="47" t="s">
        <v>1406</v>
      </c>
      <c r="C59" s="172"/>
      <c r="D59" s="36"/>
    </row>
    <row r="60" spans="1:4" ht="14.4" x14ac:dyDescent="0.3">
      <c r="A60" s="22" t="s">
        <v>3427</v>
      </c>
      <c r="B60" s="21" t="s">
        <v>922</v>
      </c>
      <c r="C60" s="26"/>
      <c r="D60" s="26"/>
    </row>
    <row r="61" spans="1:4" ht="27.6" x14ac:dyDescent="0.3">
      <c r="A61" s="50" t="s">
        <v>3427</v>
      </c>
      <c r="B61" s="47" t="s">
        <v>3390</v>
      </c>
      <c r="C61" s="172"/>
      <c r="D61" s="36"/>
    </row>
    <row r="62" spans="1:4" ht="14.4" x14ac:dyDescent="0.3">
      <c r="A62" s="22" t="s">
        <v>3427</v>
      </c>
      <c r="B62" s="21" t="s">
        <v>2045</v>
      </c>
      <c r="C62" s="26"/>
      <c r="D62" s="26"/>
    </row>
    <row r="63" spans="1:4" ht="27.6" x14ac:dyDescent="0.3">
      <c r="A63" s="50" t="s">
        <v>3427</v>
      </c>
      <c r="B63" s="47" t="s">
        <v>1408</v>
      </c>
      <c r="C63" s="172"/>
      <c r="D63" s="36"/>
    </row>
    <row r="64" spans="1:4" ht="27.6" x14ac:dyDescent="0.3">
      <c r="A64" s="50" t="s">
        <v>3427</v>
      </c>
      <c r="B64" s="47" t="s">
        <v>3428</v>
      </c>
      <c r="C64" s="172"/>
      <c r="D64" s="36"/>
    </row>
    <row r="65" spans="1:4" ht="27.6" x14ac:dyDescent="0.3">
      <c r="A65" s="50" t="s">
        <v>3427</v>
      </c>
      <c r="B65" s="47" t="s">
        <v>3429</v>
      </c>
      <c r="C65" s="172"/>
      <c r="D65" s="50"/>
    </row>
    <row r="66" spans="1:4" ht="14.4" x14ac:dyDescent="0.3">
      <c r="A66" s="50" t="s">
        <v>3427</v>
      </c>
      <c r="B66" s="47" t="s">
        <v>3430</v>
      </c>
      <c r="C66" s="172"/>
      <c r="D66" s="50"/>
    </row>
    <row r="67" spans="1:4" ht="14.4" x14ac:dyDescent="0.3">
      <c r="A67" s="50" t="s">
        <v>3427</v>
      </c>
      <c r="B67" s="47" t="s">
        <v>3431</v>
      </c>
      <c r="C67" s="172"/>
      <c r="D67" s="50"/>
    </row>
    <row r="68" spans="1:4" ht="27.6" x14ac:dyDescent="0.3">
      <c r="A68" s="50" t="s">
        <v>3432</v>
      </c>
      <c r="B68" s="47" t="s">
        <v>3433</v>
      </c>
      <c r="C68" s="172"/>
      <c r="D68" s="36"/>
    </row>
    <row r="69" spans="1:4" ht="27.6" x14ac:dyDescent="0.3">
      <c r="A69" s="50" t="s">
        <v>3432</v>
      </c>
      <c r="B69" s="47" t="s">
        <v>3434</v>
      </c>
      <c r="C69" s="172"/>
      <c r="D69" s="36"/>
    </row>
    <row r="70" spans="1:4" ht="41.4" x14ac:dyDescent="0.3">
      <c r="A70" s="50" t="s">
        <v>3435</v>
      </c>
      <c r="B70" s="47" t="s">
        <v>3436</v>
      </c>
      <c r="C70" s="172"/>
      <c r="D70" s="36"/>
    </row>
    <row r="71" spans="1:4" ht="27.6" x14ac:dyDescent="0.3">
      <c r="A71" s="50" t="s">
        <v>3435</v>
      </c>
      <c r="B71" s="47" t="s">
        <v>3437</v>
      </c>
      <c r="C71" s="172"/>
      <c r="D71" s="49"/>
    </row>
    <row r="72" spans="1:4" ht="14.4" x14ac:dyDescent="0.3">
      <c r="A72" s="22" t="s">
        <v>3435</v>
      </c>
      <c r="B72" s="21" t="s">
        <v>1145</v>
      </c>
      <c r="C72" s="26"/>
      <c r="D72" s="26"/>
    </row>
    <row r="73" spans="1:4" ht="27.6" x14ac:dyDescent="0.3">
      <c r="A73" s="50" t="s">
        <v>3435</v>
      </c>
      <c r="B73" s="47" t="s">
        <v>2293</v>
      </c>
      <c r="C73" s="172"/>
      <c r="D73" s="36"/>
    </row>
    <row r="74" spans="1:4" ht="14.4" x14ac:dyDescent="0.3">
      <c r="A74" s="22" t="s">
        <v>3435</v>
      </c>
      <c r="B74" s="21" t="s">
        <v>922</v>
      </c>
      <c r="C74" s="26"/>
      <c r="D74" s="26"/>
    </row>
    <row r="75" spans="1:4" ht="14.4" x14ac:dyDescent="0.3">
      <c r="A75" s="50" t="s">
        <v>3435</v>
      </c>
      <c r="B75" s="47" t="s">
        <v>3438</v>
      </c>
      <c r="C75" s="172"/>
      <c r="D75" s="36"/>
    </row>
    <row r="76" spans="1:4" ht="27.6" x14ac:dyDescent="0.3">
      <c r="A76" s="50" t="s">
        <v>3435</v>
      </c>
      <c r="B76" s="47" t="s">
        <v>3439</v>
      </c>
      <c r="C76" s="172"/>
      <c r="D76" s="36"/>
    </row>
    <row r="77" spans="1:4" ht="14.4" x14ac:dyDescent="0.3">
      <c r="A77" s="50" t="s">
        <v>3435</v>
      </c>
      <c r="B77" s="47" t="s">
        <v>3440</v>
      </c>
      <c r="C77" s="172"/>
      <c r="D77" s="36"/>
    </row>
    <row r="78" spans="1:4" ht="27.6" x14ac:dyDescent="0.3">
      <c r="A78" s="50" t="s">
        <v>3435</v>
      </c>
      <c r="B78" s="47" t="s">
        <v>3441</v>
      </c>
      <c r="C78" s="172"/>
      <c r="D78" s="36"/>
    </row>
    <row r="79" spans="1:4" ht="14.4" x14ac:dyDescent="0.3">
      <c r="A79" s="22" t="s">
        <v>3435</v>
      </c>
      <c r="B79" s="21" t="s">
        <v>1145</v>
      </c>
      <c r="C79" s="26"/>
      <c r="D79" s="26"/>
    </row>
    <row r="80" spans="1:4" ht="27.6" x14ac:dyDescent="0.3">
      <c r="A80" s="50" t="s">
        <v>3435</v>
      </c>
      <c r="B80" s="47" t="s">
        <v>1252</v>
      </c>
      <c r="C80" s="172"/>
      <c r="D80" s="36"/>
    </row>
    <row r="81" spans="1:4" ht="14.4" x14ac:dyDescent="0.3">
      <c r="A81" s="22" t="s">
        <v>3432</v>
      </c>
      <c r="B81" s="21" t="s">
        <v>922</v>
      </c>
      <c r="C81" s="26"/>
      <c r="D81" s="26"/>
    </row>
    <row r="82" spans="1:4" ht="27.6" x14ac:dyDescent="0.3">
      <c r="A82" s="50" t="s">
        <v>3432</v>
      </c>
      <c r="B82" s="47" t="s">
        <v>3390</v>
      </c>
      <c r="C82" s="172"/>
      <c r="D82" s="36"/>
    </row>
    <row r="83" spans="1:4" ht="14.4" x14ac:dyDescent="0.3">
      <c r="A83" s="50" t="s">
        <v>3432</v>
      </c>
      <c r="B83" s="47" t="s">
        <v>3442</v>
      </c>
      <c r="C83" s="172"/>
      <c r="D83" s="50"/>
    </row>
    <row r="84" spans="1:4" ht="27.6" x14ac:dyDescent="0.3">
      <c r="A84" s="50" t="s">
        <v>3432</v>
      </c>
      <c r="B84" s="47" t="s">
        <v>2207</v>
      </c>
      <c r="C84" s="172"/>
      <c r="D84" s="50"/>
    </row>
    <row r="85" spans="1:4" ht="27.6" x14ac:dyDescent="0.3">
      <c r="A85" s="50" t="s">
        <v>3432</v>
      </c>
      <c r="B85" s="47" t="s">
        <v>3443</v>
      </c>
      <c r="C85" s="172"/>
      <c r="D85" s="50"/>
    </row>
    <row r="86" spans="1:4" ht="27.6" x14ac:dyDescent="0.3">
      <c r="A86" s="50" t="s">
        <v>3432</v>
      </c>
      <c r="B86" s="47" t="s">
        <v>3444</v>
      </c>
      <c r="C86" s="172"/>
      <c r="D86" s="36"/>
    </row>
    <row r="87" spans="1:4" ht="41.4" x14ac:dyDescent="0.3">
      <c r="A87" s="50" t="s">
        <v>3432</v>
      </c>
      <c r="B87" s="47" t="s">
        <v>3445</v>
      </c>
      <c r="C87" s="172"/>
      <c r="D87" s="36"/>
    </row>
    <row r="88" spans="1:4" ht="14.4" x14ac:dyDescent="0.3">
      <c r="A88" s="22" t="s">
        <v>3432</v>
      </c>
      <c r="B88" s="21" t="s">
        <v>1145</v>
      </c>
      <c r="C88" s="26"/>
      <c r="D88" s="26"/>
    </row>
    <row r="89" spans="1:4" ht="27.6" x14ac:dyDescent="0.3">
      <c r="A89" s="50" t="s">
        <v>3432</v>
      </c>
      <c r="B89" s="47" t="s">
        <v>1069</v>
      </c>
      <c r="C89" s="172"/>
      <c r="D89" s="49"/>
    </row>
    <row r="90" spans="1:4" ht="14.4" x14ac:dyDescent="0.3">
      <c r="A90" s="22" t="s">
        <v>3432</v>
      </c>
      <c r="B90" s="21" t="s">
        <v>922</v>
      </c>
      <c r="C90" s="26"/>
      <c r="D90" s="26"/>
    </row>
    <row r="91" spans="1:4" ht="14.4" x14ac:dyDescent="0.3">
      <c r="A91" s="22" t="s">
        <v>3432</v>
      </c>
      <c r="B91" s="21" t="s">
        <v>3438</v>
      </c>
      <c r="C91" s="26"/>
      <c r="D91" s="26"/>
    </row>
    <row r="92" spans="1:4" ht="14.4" x14ac:dyDescent="0.3">
      <c r="A92" s="22" t="s">
        <v>3432</v>
      </c>
      <c r="B92" s="21" t="s">
        <v>2045</v>
      </c>
      <c r="C92" s="26"/>
      <c r="D92" s="26"/>
    </row>
    <row r="93" spans="1:4" ht="14.4" x14ac:dyDescent="0.3">
      <c r="A93" s="50" t="s">
        <v>3432</v>
      </c>
      <c r="B93" s="47" t="s">
        <v>3446</v>
      </c>
      <c r="C93" s="172"/>
      <c r="D93" s="36"/>
    </row>
    <row r="94" spans="1:4" ht="14.4" x14ac:dyDescent="0.3">
      <c r="A94" s="22" t="s">
        <v>3432</v>
      </c>
      <c r="B94" s="21" t="s">
        <v>1145</v>
      </c>
      <c r="C94" s="26"/>
      <c r="D94" s="26"/>
    </row>
    <row r="95" spans="1:4" ht="27.6" x14ac:dyDescent="0.3">
      <c r="A95" s="50" t="s">
        <v>3432</v>
      </c>
      <c r="B95" s="47" t="s">
        <v>2327</v>
      </c>
      <c r="C95" s="172"/>
      <c r="D95" s="36"/>
    </row>
    <row r="96" spans="1:4" ht="14.4" x14ac:dyDescent="0.3">
      <c r="A96" s="22" t="s">
        <v>3435</v>
      </c>
      <c r="B96" s="21" t="s">
        <v>922</v>
      </c>
      <c r="C96" s="26"/>
      <c r="D96" s="26"/>
    </row>
    <row r="97" spans="1:4" ht="27.6" x14ac:dyDescent="0.3">
      <c r="A97" s="50" t="s">
        <v>3435</v>
      </c>
      <c r="B97" s="47" t="s">
        <v>3447</v>
      </c>
      <c r="C97" s="172"/>
      <c r="D97" s="36"/>
    </row>
    <row r="98" spans="1:4" ht="14.4" x14ac:dyDescent="0.3">
      <c r="A98" s="22" t="s">
        <v>3435</v>
      </c>
      <c r="B98" s="21" t="s">
        <v>2045</v>
      </c>
      <c r="C98" s="26"/>
      <c r="D98" s="26"/>
    </row>
    <row r="99" spans="1:4" ht="27.6" x14ac:dyDescent="0.3">
      <c r="A99" s="50" t="s">
        <v>3435</v>
      </c>
      <c r="B99" s="47" t="s">
        <v>3448</v>
      </c>
      <c r="C99" s="172"/>
      <c r="D99" s="36"/>
    </row>
    <row r="100" spans="1:4" ht="14.4" x14ac:dyDescent="0.3">
      <c r="A100" s="50" t="s">
        <v>3435</v>
      </c>
      <c r="B100" s="47" t="s">
        <v>3449</v>
      </c>
      <c r="C100" s="172"/>
      <c r="D100" s="36"/>
    </row>
    <row r="101" spans="1:4" ht="14.4" x14ac:dyDescent="0.3">
      <c r="A101" s="50" t="s">
        <v>3435</v>
      </c>
      <c r="B101" s="47" t="s">
        <v>3450</v>
      </c>
      <c r="C101" s="172"/>
      <c r="D101" s="50"/>
    </row>
    <row r="102" spans="1:4" ht="27.6" x14ac:dyDescent="0.3">
      <c r="A102" s="50" t="s">
        <v>3435</v>
      </c>
      <c r="B102" s="47" t="s">
        <v>3451</v>
      </c>
      <c r="C102" s="172"/>
      <c r="D102" s="50"/>
    </row>
    <row r="103" spans="1:4" ht="14.4" x14ac:dyDescent="0.3">
      <c r="A103" s="50" t="s">
        <v>3435</v>
      </c>
      <c r="B103" s="47" t="s">
        <v>3452</v>
      </c>
      <c r="C103" s="172"/>
      <c r="D103" s="50"/>
    </row>
    <row r="104" spans="1:4" ht="14.4" x14ac:dyDescent="0.3">
      <c r="A104" s="50" t="s">
        <v>3435</v>
      </c>
      <c r="B104" s="47" t="s">
        <v>3453</v>
      </c>
      <c r="C104" s="172"/>
      <c r="D104" s="36"/>
    </row>
    <row r="105" spans="1:4" ht="14.4" x14ac:dyDescent="0.3">
      <c r="A105" s="50" t="s">
        <v>3435</v>
      </c>
      <c r="B105" s="47" t="s">
        <v>3454</v>
      </c>
      <c r="C105" s="172"/>
      <c r="D105" s="36"/>
    </row>
    <row r="106" spans="1:4" ht="14.4" x14ac:dyDescent="0.3">
      <c r="A106" s="50" t="s">
        <v>3435</v>
      </c>
      <c r="B106" s="47" t="s">
        <v>3455</v>
      </c>
      <c r="C106" s="172"/>
      <c r="D106" s="36"/>
    </row>
    <row r="107" spans="1:4" ht="14.4" x14ac:dyDescent="0.3">
      <c r="A107" s="50" t="s">
        <v>3435</v>
      </c>
      <c r="B107" s="47" t="s">
        <v>3456</v>
      </c>
      <c r="C107" s="172"/>
      <c r="D107" s="49"/>
    </row>
    <row r="108" spans="1:4" ht="14.4" x14ac:dyDescent="0.3">
      <c r="A108" s="50" t="s">
        <v>3435</v>
      </c>
      <c r="B108" s="47" t="s">
        <v>3457</v>
      </c>
      <c r="C108" s="172"/>
      <c r="D108" s="36"/>
    </row>
    <row r="109" spans="1:4" ht="14.4" x14ac:dyDescent="0.3">
      <c r="A109" s="50" t="s">
        <v>3435</v>
      </c>
      <c r="B109" s="47" t="s">
        <v>3458</v>
      </c>
      <c r="C109" s="172"/>
      <c r="D109" s="36"/>
    </row>
    <row r="110" spans="1:4" ht="14.4" x14ac:dyDescent="0.3">
      <c r="A110" s="50" t="s">
        <v>3435</v>
      </c>
      <c r="B110" s="47" t="s">
        <v>3459</v>
      </c>
      <c r="C110" s="172"/>
      <c r="D110" s="36"/>
    </row>
    <row r="111" spans="1:4" ht="27.6" x14ac:dyDescent="0.3">
      <c r="A111" s="50" t="s">
        <v>3435</v>
      </c>
      <c r="B111" s="47" t="s">
        <v>3460</v>
      </c>
      <c r="C111" s="172"/>
      <c r="D111" s="36"/>
    </row>
    <row r="112" spans="1:4" ht="41.4" x14ac:dyDescent="0.3">
      <c r="A112" s="50" t="s">
        <v>3435</v>
      </c>
      <c r="B112" s="47" t="s">
        <v>3461</v>
      </c>
      <c r="C112" s="172"/>
      <c r="D112" s="36"/>
    </row>
    <row r="113" spans="1:4" ht="41.4" x14ac:dyDescent="0.3">
      <c r="A113" s="50" t="s">
        <v>3435</v>
      </c>
      <c r="B113" s="47" t="s">
        <v>3462</v>
      </c>
      <c r="C113" s="172"/>
      <c r="D113" s="36"/>
    </row>
    <row r="114" spans="1:4" ht="27.6" x14ac:dyDescent="0.3">
      <c r="A114" s="50" t="s">
        <v>3435</v>
      </c>
      <c r="B114" s="47" t="s">
        <v>3463</v>
      </c>
      <c r="C114" s="172"/>
      <c r="D114" s="36"/>
    </row>
    <row r="115" spans="1:4" ht="14.4" x14ac:dyDescent="0.3">
      <c r="A115" s="50" t="s">
        <v>3435</v>
      </c>
      <c r="B115" s="47" t="s">
        <v>3464</v>
      </c>
      <c r="C115" s="172"/>
      <c r="D115" s="36"/>
    </row>
    <row r="116" spans="1:4" ht="41.4" x14ac:dyDescent="0.3">
      <c r="A116" s="50" t="s">
        <v>3435</v>
      </c>
      <c r="B116" s="47" t="s">
        <v>3465</v>
      </c>
      <c r="C116" s="172"/>
      <c r="D116" s="36"/>
    </row>
    <row r="117" spans="1:4" ht="27.6" x14ac:dyDescent="0.3">
      <c r="A117" s="50" t="s">
        <v>3435</v>
      </c>
      <c r="B117" s="47" t="s">
        <v>3466</v>
      </c>
      <c r="C117" s="172"/>
      <c r="D117" s="36"/>
    </row>
    <row r="118" spans="1:4" ht="14.4" x14ac:dyDescent="0.3">
      <c r="A118" s="50" t="s">
        <v>3435</v>
      </c>
      <c r="B118" s="47" t="s">
        <v>3467</v>
      </c>
      <c r="C118" s="172"/>
      <c r="D118" s="36"/>
    </row>
    <row r="119" spans="1:4" ht="27.6" x14ac:dyDescent="0.3">
      <c r="A119" s="50" t="s">
        <v>3435</v>
      </c>
      <c r="B119" s="47" t="s">
        <v>3468</v>
      </c>
      <c r="C119" s="172"/>
      <c r="D119" s="50"/>
    </row>
    <row r="120" spans="1:4" ht="27.6" x14ac:dyDescent="0.3">
      <c r="A120" s="50" t="s">
        <v>3435</v>
      </c>
      <c r="B120" s="47" t="s">
        <v>3469</v>
      </c>
      <c r="C120" s="172"/>
      <c r="D120" s="50"/>
    </row>
    <row r="121" spans="1:4" ht="14.4" x14ac:dyDescent="0.3">
      <c r="A121" s="50" t="s">
        <v>3435</v>
      </c>
      <c r="B121" s="47" t="s">
        <v>3470</v>
      </c>
      <c r="C121" s="172"/>
      <c r="D121" s="47"/>
    </row>
    <row r="122" spans="1:4" ht="27.6" x14ac:dyDescent="0.3">
      <c r="A122" s="50" t="s">
        <v>3435</v>
      </c>
      <c r="B122" s="47" t="s">
        <v>3471</v>
      </c>
      <c r="C122" s="172"/>
      <c r="D122" s="47"/>
    </row>
    <row r="123" spans="1:4" ht="27.6" x14ac:dyDescent="0.3">
      <c r="A123" s="50" t="s">
        <v>3435</v>
      </c>
      <c r="B123" s="47" t="s">
        <v>3472</v>
      </c>
      <c r="C123" s="172"/>
      <c r="D123" s="47"/>
    </row>
    <row r="124" spans="1:4" ht="27.6" x14ac:dyDescent="0.3">
      <c r="A124" s="50" t="s">
        <v>3435</v>
      </c>
      <c r="B124" s="47" t="s">
        <v>3473</v>
      </c>
      <c r="C124" s="172"/>
      <c r="D124" s="47"/>
    </row>
    <row r="125" spans="1:4" ht="41.4" x14ac:dyDescent="0.3">
      <c r="A125" s="50" t="s">
        <v>3435</v>
      </c>
      <c r="B125" s="47" t="s">
        <v>3474</v>
      </c>
      <c r="C125" s="172"/>
      <c r="D125" s="47"/>
    </row>
    <row r="126" spans="1:4" ht="14.4" x14ac:dyDescent="0.3">
      <c r="A126" s="50" t="s">
        <v>3435</v>
      </c>
      <c r="B126" s="47" t="s">
        <v>3475</v>
      </c>
      <c r="C126" s="172"/>
      <c r="D126" s="47"/>
    </row>
    <row r="127" spans="1:4" ht="27.6" x14ac:dyDescent="0.3">
      <c r="A127" s="50" t="s">
        <v>3435</v>
      </c>
      <c r="B127" s="47" t="s">
        <v>3476</v>
      </c>
      <c r="C127" s="172"/>
      <c r="D127" s="47"/>
    </row>
    <row r="128" spans="1:4" ht="14.4" x14ac:dyDescent="0.3">
      <c r="A128" s="50" t="s">
        <v>3435</v>
      </c>
      <c r="B128" s="47" t="s">
        <v>3477</v>
      </c>
      <c r="C128" s="172"/>
      <c r="D128" s="47"/>
    </row>
    <row r="129" spans="1:4" ht="14.4" x14ac:dyDescent="0.3">
      <c r="A129" s="50" t="s">
        <v>3435</v>
      </c>
      <c r="B129" s="47" t="s">
        <v>3478</v>
      </c>
      <c r="C129" s="172"/>
      <c r="D129" s="47"/>
    </row>
    <row r="130" spans="1:4" ht="27.6" x14ac:dyDescent="0.3">
      <c r="A130" s="50" t="s">
        <v>3435</v>
      </c>
      <c r="B130" s="47" t="s">
        <v>3479</v>
      </c>
      <c r="C130" s="172"/>
      <c r="D130" s="47"/>
    </row>
    <row r="131" spans="1:4" ht="27.6" x14ac:dyDescent="0.3">
      <c r="A131" s="50" t="s">
        <v>3435</v>
      </c>
      <c r="B131" s="47" t="s">
        <v>3480</v>
      </c>
      <c r="C131" s="172"/>
      <c r="D131" s="47"/>
    </row>
    <row r="132" spans="1:4" ht="27.6" x14ac:dyDescent="0.3">
      <c r="A132" s="50" t="s">
        <v>3435</v>
      </c>
      <c r="B132" s="47" t="s">
        <v>3481</v>
      </c>
      <c r="C132" s="172"/>
      <c r="D132" s="47"/>
    </row>
    <row r="133" spans="1:4" ht="27.6" x14ac:dyDescent="0.3">
      <c r="A133" s="50" t="s">
        <v>3435</v>
      </c>
      <c r="B133" s="47" t="s">
        <v>3482</v>
      </c>
      <c r="C133" s="172"/>
      <c r="D133" s="47"/>
    </row>
    <row r="134" spans="1:4" ht="14.4" x14ac:dyDescent="0.3">
      <c r="A134" s="50" t="s">
        <v>3435</v>
      </c>
      <c r="B134" s="47" t="s">
        <v>1145</v>
      </c>
      <c r="C134" s="172"/>
      <c r="D134" s="47"/>
    </row>
    <row r="135" spans="1:4" ht="27.6" x14ac:dyDescent="0.3">
      <c r="A135" s="50" t="s">
        <v>3435</v>
      </c>
      <c r="B135" s="47" t="s">
        <v>1267</v>
      </c>
      <c r="C135" s="172"/>
      <c r="D135" s="47"/>
    </row>
    <row r="136" spans="1:4" ht="14.4" x14ac:dyDescent="0.3">
      <c r="A136" s="22" t="s">
        <v>3435</v>
      </c>
      <c r="B136" s="21" t="s">
        <v>922</v>
      </c>
      <c r="C136" s="26"/>
      <c r="D136" s="26"/>
    </row>
    <row r="137" spans="1:4" ht="14.4" x14ac:dyDescent="0.3">
      <c r="A137" s="22" t="s">
        <v>3435</v>
      </c>
      <c r="B137" s="21" t="s">
        <v>3438</v>
      </c>
      <c r="C137" s="26"/>
      <c r="D137" s="26"/>
    </row>
    <row r="138" spans="1:4" ht="14.4" x14ac:dyDescent="0.3">
      <c r="A138" s="22" t="s">
        <v>3435</v>
      </c>
      <c r="B138" s="21" t="s">
        <v>2045</v>
      </c>
      <c r="C138" s="26"/>
      <c r="D138" s="26"/>
    </row>
    <row r="139" spans="1:4" ht="27.6" x14ac:dyDescent="0.3">
      <c r="A139" s="50" t="s">
        <v>3435</v>
      </c>
      <c r="B139" s="47" t="s">
        <v>3483</v>
      </c>
      <c r="C139" s="172"/>
      <c r="D139" s="47"/>
    </row>
    <row r="140" spans="1:4" ht="14.4" x14ac:dyDescent="0.3">
      <c r="A140" s="50" t="s">
        <v>3435</v>
      </c>
      <c r="B140" s="47" t="s">
        <v>3484</v>
      </c>
      <c r="C140" s="172"/>
      <c r="D140" s="47"/>
    </row>
    <row r="141" spans="1:4" ht="14.4" x14ac:dyDescent="0.3">
      <c r="A141" s="50" t="s">
        <v>3435</v>
      </c>
      <c r="B141" s="47" t="s">
        <v>3485</v>
      </c>
      <c r="C141" s="172"/>
      <c r="D141" s="47"/>
    </row>
    <row r="142" spans="1:4" ht="27.6" x14ac:dyDescent="0.3">
      <c r="A142" s="50" t="s">
        <v>3435</v>
      </c>
      <c r="B142" s="47" t="s">
        <v>3486</v>
      </c>
      <c r="C142" s="172"/>
      <c r="D142" s="47"/>
    </row>
    <row r="143" spans="1:4" ht="14.4" x14ac:dyDescent="0.3">
      <c r="A143" s="50" t="s">
        <v>3435</v>
      </c>
      <c r="B143" s="47" t="s">
        <v>3487</v>
      </c>
      <c r="C143" s="172"/>
      <c r="D143" s="47"/>
    </row>
    <row r="144" spans="1:4" ht="14.4" x14ac:dyDescent="0.3">
      <c r="A144" s="50" t="s">
        <v>3435</v>
      </c>
      <c r="B144" s="47" t="s">
        <v>3488</v>
      </c>
      <c r="C144" s="172"/>
      <c r="D144" s="47"/>
    </row>
    <row r="145" spans="1:4" ht="14.4" x14ac:dyDescent="0.3">
      <c r="A145" s="50" t="s">
        <v>3435</v>
      </c>
      <c r="B145" s="47" t="s">
        <v>3489</v>
      </c>
      <c r="C145" s="172"/>
      <c r="D145" s="47"/>
    </row>
    <row r="146" spans="1:4" ht="14.4" x14ac:dyDescent="0.3">
      <c r="A146" s="50" t="s">
        <v>3435</v>
      </c>
      <c r="B146" s="47" t="s">
        <v>3490</v>
      </c>
      <c r="C146" s="172"/>
      <c r="D146" s="47"/>
    </row>
    <row r="147" spans="1:4" ht="14.4" x14ac:dyDescent="0.3">
      <c r="A147" s="50" t="s">
        <v>3435</v>
      </c>
      <c r="B147" s="47" t="s">
        <v>3491</v>
      </c>
      <c r="C147" s="172"/>
      <c r="D147" s="47"/>
    </row>
    <row r="148" spans="1:4" ht="14.4" x14ac:dyDescent="0.3">
      <c r="A148" s="50" t="s">
        <v>3435</v>
      </c>
      <c r="B148" s="47" t="s">
        <v>3492</v>
      </c>
      <c r="C148" s="172"/>
      <c r="D148" s="47"/>
    </row>
    <row r="149" spans="1:4" ht="14.4" x14ac:dyDescent="0.3">
      <c r="A149" s="50" t="s">
        <v>3435</v>
      </c>
      <c r="B149" s="47" t="s">
        <v>3493</v>
      </c>
      <c r="C149" s="172"/>
      <c r="D149" s="47"/>
    </row>
    <row r="150" spans="1:4" ht="14.4" x14ac:dyDescent="0.3">
      <c r="A150" s="50" t="s">
        <v>3435</v>
      </c>
      <c r="B150" s="47" t="s">
        <v>3494</v>
      </c>
      <c r="C150" s="172"/>
      <c r="D150" s="47"/>
    </row>
    <row r="151" spans="1:4" ht="27.6" x14ac:dyDescent="0.3">
      <c r="A151" s="50" t="s">
        <v>3435</v>
      </c>
      <c r="B151" s="47" t="s">
        <v>3495</v>
      </c>
      <c r="C151" s="172"/>
      <c r="D151" s="47"/>
    </row>
    <row r="152" spans="1:4" ht="14.4" x14ac:dyDescent="0.3">
      <c r="A152" s="22" t="s">
        <v>3435</v>
      </c>
      <c r="B152" s="21" t="s">
        <v>3496</v>
      </c>
      <c r="C152" s="26"/>
      <c r="D152" s="26"/>
    </row>
    <row r="153" spans="1:4" ht="27.6" x14ac:dyDescent="0.3">
      <c r="A153" s="50" t="s">
        <v>3435</v>
      </c>
      <c r="B153" s="47" t="s">
        <v>2355</v>
      </c>
      <c r="C153" s="172"/>
      <c r="D153" s="47"/>
    </row>
    <row r="154" spans="1:4" ht="14.4" x14ac:dyDescent="0.3">
      <c r="A154" s="22" t="s">
        <v>3497</v>
      </c>
      <c r="B154" s="21" t="s">
        <v>922</v>
      </c>
      <c r="C154" s="26"/>
      <c r="D154" s="26"/>
    </row>
    <row r="155" spans="1:4" ht="27.6" x14ac:dyDescent="0.3">
      <c r="A155" s="50" t="s">
        <v>3497</v>
      </c>
      <c r="B155" s="47" t="s">
        <v>3498</v>
      </c>
      <c r="C155" s="172"/>
      <c r="D155" s="47"/>
    </row>
    <row r="156" spans="1:4" ht="27.6" x14ac:dyDescent="0.3">
      <c r="A156" s="50" t="s">
        <v>3497</v>
      </c>
      <c r="B156" s="47" t="s">
        <v>2649</v>
      </c>
      <c r="C156" s="172"/>
      <c r="D156" s="47"/>
    </row>
    <row r="157" spans="1:4" ht="27.6" x14ac:dyDescent="0.3">
      <c r="A157" s="50" t="s">
        <v>3497</v>
      </c>
      <c r="B157" s="47" t="s">
        <v>1276</v>
      </c>
      <c r="C157" s="172"/>
      <c r="D157" s="47"/>
    </row>
    <row r="158" spans="1:4" ht="14.4" x14ac:dyDescent="0.3">
      <c r="A158" s="22" t="s">
        <v>3499</v>
      </c>
      <c r="B158" s="21" t="s">
        <v>922</v>
      </c>
      <c r="C158" s="26"/>
      <c r="D158" s="26"/>
    </row>
    <row r="159" spans="1:4" ht="27.6" x14ac:dyDescent="0.3">
      <c r="A159" s="22" t="s">
        <v>3499</v>
      </c>
      <c r="B159" s="21" t="s">
        <v>3500</v>
      </c>
      <c r="C159" s="26"/>
      <c r="D159" s="26"/>
    </row>
    <row r="160" spans="1:4" ht="14.4" x14ac:dyDescent="0.3">
      <c r="A160" s="22" t="s">
        <v>3499</v>
      </c>
      <c r="B160" s="21" t="s">
        <v>720</v>
      </c>
      <c r="C160" s="26"/>
      <c r="D160" s="26"/>
    </row>
    <row r="161" spans="1:4" ht="27.6" x14ac:dyDescent="0.3">
      <c r="A161" s="50" t="s">
        <v>3499</v>
      </c>
      <c r="B161" s="47" t="s">
        <v>3501</v>
      </c>
      <c r="C161" s="172"/>
      <c r="D161" s="47"/>
    </row>
    <row r="162" spans="1:4" ht="14.4" x14ac:dyDescent="0.3">
      <c r="A162" s="50" t="s">
        <v>3499</v>
      </c>
      <c r="B162" s="47" t="s">
        <v>3502</v>
      </c>
      <c r="C162" s="172"/>
      <c r="D162" s="47"/>
    </row>
    <row r="163" spans="1:4" ht="14.4" x14ac:dyDescent="0.3">
      <c r="A163" s="22" t="s">
        <v>3499</v>
      </c>
      <c r="B163" s="21" t="s">
        <v>3503</v>
      </c>
      <c r="C163" s="26"/>
      <c r="D163" s="26"/>
    </row>
    <row r="164" spans="1:4" ht="14.4" x14ac:dyDescent="0.3">
      <c r="A164" s="50" t="s">
        <v>3499</v>
      </c>
      <c r="B164" s="47" t="s">
        <v>3504</v>
      </c>
      <c r="C164" s="172"/>
      <c r="D164" s="47"/>
    </row>
    <row r="165" spans="1:4" ht="14.4" x14ac:dyDescent="0.3">
      <c r="A165" s="50" t="s">
        <v>3499</v>
      </c>
      <c r="B165" s="47" t="s">
        <v>3505</v>
      </c>
      <c r="C165" s="172"/>
      <c r="D165" s="47"/>
    </row>
    <row r="166" spans="1:4" ht="27.6" x14ac:dyDescent="0.3">
      <c r="A166" s="50" t="s">
        <v>3499</v>
      </c>
      <c r="B166" s="47" t="s">
        <v>3506</v>
      </c>
      <c r="C166" s="172"/>
      <c r="D166" s="47"/>
    </row>
    <row r="167" spans="1:4" ht="14.4" x14ac:dyDescent="0.3">
      <c r="A167" s="22" t="s">
        <v>3499</v>
      </c>
      <c r="B167" s="21" t="s">
        <v>922</v>
      </c>
      <c r="C167" s="26"/>
      <c r="D167" s="26"/>
    </row>
    <row r="168" spans="1:4" ht="14.4" x14ac:dyDescent="0.3">
      <c r="A168" s="50" t="s">
        <v>3499</v>
      </c>
      <c r="B168" s="47" t="s">
        <v>3438</v>
      </c>
      <c r="C168" s="172"/>
      <c r="D168" s="47"/>
    </row>
    <row r="169" spans="1:4" ht="14.4" x14ac:dyDescent="0.3">
      <c r="A169" s="50" t="s">
        <v>3499</v>
      </c>
      <c r="B169" s="47" t="s">
        <v>720</v>
      </c>
      <c r="C169" s="172"/>
      <c r="D169" s="47"/>
    </row>
    <row r="170" spans="1:4" ht="27.6" x14ac:dyDescent="0.3">
      <c r="A170" s="50" t="s">
        <v>3499</v>
      </c>
      <c r="B170" s="47" t="s">
        <v>3507</v>
      </c>
      <c r="C170" s="172"/>
      <c r="D170" s="47"/>
    </row>
    <row r="171" spans="1:4" ht="27.6" x14ac:dyDescent="0.3">
      <c r="A171" s="50" t="s">
        <v>3499</v>
      </c>
      <c r="B171" s="47" t="s">
        <v>3508</v>
      </c>
      <c r="C171" s="172"/>
      <c r="D171" s="47"/>
    </row>
    <row r="172" spans="1:4" ht="27.6" x14ac:dyDescent="0.3">
      <c r="A172" s="22" t="s">
        <v>3499</v>
      </c>
      <c r="B172" s="21" t="s">
        <v>3509</v>
      </c>
      <c r="C172" s="26"/>
      <c r="D172" s="26"/>
    </row>
    <row r="173" spans="1:4" ht="14.4" x14ac:dyDescent="0.3">
      <c r="A173" s="50" t="s">
        <v>3499</v>
      </c>
      <c r="B173" s="47" t="s">
        <v>3510</v>
      </c>
      <c r="C173" s="172"/>
      <c r="D173" s="47"/>
    </row>
    <row r="174" spans="1:4" ht="14.4" x14ac:dyDescent="0.3">
      <c r="A174" s="120"/>
      <c r="B174" s="46"/>
      <c r="C174" s="17"/>
      <c r="D174" s="17"/>
    </row>
    <row r="175" spans="1:4" ht="14.4" x14ac:dyDescent="0.3">
      <c r="A175" s="120"/>
      <c r="B175" s="46"/>
      <c r="C175" s="17"/>
      <c r="D175" s="17"/>
    </row>
    <row r="176" spans="1:4" ht="14.4" x14ac:dyDescent="0.3">
      <c r="A176" s="120"/>
      <c r="B176" s="15" t="s">
        <v>75</v>
      </c>
      <c r="C176" s="2">
        <f>COUNTIF($C$4:$C$173,"C")</f>
        <v>1</v>
      </c>
      <c r="D176" s="17"/>
    </row>
    <row r="177" spans="2:3" ht="14.4" x14ac:dyDescent="0.3">
      <c r="B177" s="15" t="s">
        <v>81</v>
      </c>
      <c r="C177" s="2">
        <f>COUNTIF($C$4:$C$173,"NC")</f>
        <v>1</v>
      </c>
    </row>
    <row r="178" spans="2:3" ht="14.4" x14ac:dyDescent="0.3">
      <c r="B178" s="15" t="s">
        <v>84</v>
      </c>
      <c r="C178" s="2">
        <f>COUNTIF($C$4:$C$173,"NA")</f>
        <v>1</v>
      </c>
    </row>
  </sheetData>
  <conditionalFormatting sqref="C9:C10 C12:C16 C18:C21 C23:C27 C29:C31 C35:C37 C39:C42 C44:C48 C52:C53 C55:C57 C59 C61 C63:C71 C73 C75:C78 C80 C82:C87 C89 C93 C95 C97 C99:C135 C139:C151 C153 C155:C157 C161:C162 C164:C166 C168:C171 C173">
    <cfRule type="beginsWith" dxfId="20" priority="1" operator="beginsWith" text="C">
      <formula>LEFT((C9),LEN("C"))=("C")</formula>
    </cfRule>
    <cfRule type="beginsWith" dxfId="19" priority="2" operator="beginsWith" text="NC">
      <formula>LEFT((C9),LEN("NC"))=("NC")</formula>
    </cfRule>
    <cfRule type="beginsWith" dxfId="18" priority="3" operator="beginsWith" text="NA">
      <formula>LEFT((C9),LEN("NA"))=("NA")</formula>
    </cfRule>
  </conditionalFormatting>
  <dataValidations count="1">
    <dataValidation type="list" allowBlank="1" sqref="C9:C10 C12:C16 C18:C21 C23:C27 C29:C31 C35:C37 C39:C42 C44:C48 C52:C53 C55:C57 C59 C61 C63:C71 C73 C75:C78 C80 C82:C87 C89 C93 C95 C97 C99:C135 C139:C151 C153 C155:C157 C161:C162 C164:C166 C168:C171 C173" xr:uid="{00000000-0002-0000-2800-000000000000}">
      <formula1>"C,NC,NA"</formula1>
    </dataValidation>
  </dataValidations>
  <hyperlinks>
    <hyperlink ref="B1" location="'Tabla de contenido'!A1" display="VOLVER A TABLA DE CONTENIDO" xr:uid="{00000000-0004-0000-2800-000000000000}"/>
  </hyperlinks>
  <pageMargins left="0.7" right="0.7" top="0.75" bottom="0.75" header="0" footer="0"/>
  <pageSetup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9900"/>
  </sheetPr>
  <dimension ref="A1:D118"/>
  <sheetViews>
    <sheetView showGridLines="0" workbookViewId="0">
      <selection sqref="A1:D1"/>
    </sheetView>
  </sheetViews>
  <sheetFormatPr baseColWidth="10" defaultColWidth="14.44140625" defaultRowHeight="15" customHeight="1" outlineLevelCol="1" x14ac:dyDescent="0.3"/>
  <cols>
    <col min="1" max="1" width="14.21875" customWidth="1"/>
    <col min="2" max="2" width="66.88671875" customWidth="1"/>
    <col min="3" max="3" width="11.5546875" customWidth="1"/>
    <col min="4" max="4" width="29.5546875" customWidth="1" outlineLevel="1"/>
    <col min="5" max="5" width="4" customWidth="1"/>
    <col min="6" max="23" width="10.77734375" customWidth="1"/>
  </cols>
  <sheetData>
    <row r="1" spans="1:4" ht="14.4" x14ac:dyDescent="0.3">
      <c r="A1" s="269"/>
      <c r="B1" s="270" t="s">
        <v>0</v>
      </c>
      <c r="C1" s="269"/>
      <c r="D1" s="269"/>
    </row>
    <row r="2" spans="1:4" ht="14.4" x14ac:dyDescent="0.3">
      <c r="A2" s="74"/>
      <c r="B2" s="115" t="s">
        <v>2215</v>
      </c>
      <c r="C2" s="116"/>
      <c r="D2" s="77"/>
    </row>
    <row r="3" spans="1:4" ht="27.6" x14ac:dyDescent="0.3">
      <c r="A3" s="6"/>
      <c r="B3" s="40" t="s">
        <v>307</v>
      </c>
      <c r="C3" s="117"/>
      <c r="D3" s="19"/>
    </row>
    <row r="4" spans="1:4" ht="14.4" x14ac:dyDescent="0.3">
      <c r="A4" s="6" t="s">
        <v>7</v>
      </c>
      <c r="B4" s="250" t="s">
        <v>9</v>
      </c>
      <c r="C4" s="6" t="s">
        <v>10</v>
      </c>
      <c r="D4" s="6" t="s">
        <v>11</v>
      </c>
    </row>
    <row r="5" spans="1:4" ht="14.25" customHeight="1" x14ac:dyDescent="0.3">
      <c r="A5" s="134" t="s">
        <v>3511</v>
      </c>
      <c r="B5" s="258" t="s">
        <v>922</v>
      </c>
      <c r="C5" s="134"/>
      <c r="D5" s="134"/>
    </row>
    <row r="6" spans="1:4" ht="14.25" customHeight="1" x14ac:dyDescent="0.3">
      <c r="A6" s="134" t="s">
        <v>3511</v>
      </c>
      <c r="B6" s="258" t="s">
        <v>1136</v>
      </c>
      <c r="C6" s="134"/>
      <c r="D6" s="134"/>
    </row>
    <row r="7" spans="1:4" ht="14.25" customHeight="1" x14ac:dyDescent="0.3">
      <c r="A7" s="36" t="s">
        <v>3511</v>
      </c>
      <c r="B7" s="37" t="s">
        <v>3512</v>
      </c>
      <c r="C7" s="172" t="s">
        <v>16</v>
      </c>
      <c r="D7" s="36"/>
    </row>
    <row r="8" spans="1:4" ht="14.25" customHeight="1" x14ac:dyDescent="0.3">
      <c r="A8" s="36" t="s">
        <v>3511</v>
      </c>
      <c r="B8" s="37" t="s">
        <v>3513</v>
      </c>
      <c r="C8" s="172" t="s">
        <v>20</v>
      </c>
      <c r="D8" s="36"/>
    </row>
    <row r="9" spans="1:4" ht="14.25" customHeight="1" x14ac:dyDescent="0.3">
      <c r="A9" s="36" t="s">
        <v>3511</v>
      </c>
      <c r="B9" s="37" t="s">
        <v>3514</v>
      </c>
      <c r="C9" s="172" t="s">
        <v>24</v>
      </c>
      <c r="D9" s="36"/>
    </row>
    <row r="10" spans="1:4" ht="14.25" customHeight="1" x14ac:dyDescent="0.3">
      <c r="A10" s="36" t="s">
        <v>3511</v>
      </c>
      <c r="B10" s="37" t="s">
        <v>3515</v>
      </c>
      <c r="C10" s="172"/>
      <c r="D10" s="36"/>
    </row>
    <row r="11" spans="1:4" ht="14.25" customHeight="1" x14ac:dyDescent="0.3">
      <c r="A11" s="36" t="s">
        <v>3511</v>
      </c>
      <c r="B11" s="37" t="s">
        <v>3516</v>
      </c>
      <c r="C11" s="172"/>
      <c r="D11" s="36"/>
    </row>
    <row r="12" spans="1:4" ht="14.25" customHeight="1" x14ac:dyDescent="0.3">
      <c r="A12" s="36" t="s">
        <v>3511</v>
      </c>
      <c r="B12" s="37" t="s">
        <v>3517</v>
      </c>
      <c r="C12" s="172"/>
      <c r="D12" s="36"/>
    </row>
    <row r="13" spans="1:4" ht="14.25" customHeight="1" x14ac:dyDescent="0.3">
      <c r="A13" s="134" t="s">
        <v>3511</v>
      </c>
      <c r="B13" s="258" t="s">
        <v>2328</v>
      </c>
      <c r="C13" s="134"/>
      <c r="D13" s="134"/>
    </row>
    <row r="14" spans="1:4" ht="14.25" customHeight="1" x14ac:dyDescent="0.3">
      <c r="A14" s="36" t="s">
        <v>3511</v>
      </c>
      <c r="B14" s="37" t="s">
        <v>3518</v>
      </c>
      <c r="C14" s="172"/>
      <c r="D14" s="36"/>
    </row>
    <row r="15" spans="1:4" ht="14.25" customHeight="1" x14ac:dyDescent="0.3">
      <c r="A15" s="36" t="s">
        <v>3511</v>
      </c>
      <c r="B15" s="37" t="s">
        <v>3519</v>
      </c>
      <c r="C15" s="172"/>
      <c r="D15" s="36"/>
    </row>
    <row r="16" spans="1:4" ht="14.25" customHeight="1" x14ac:dyDescent="0.3">
      <c r="A16" s="36" t="s">
        <v>3511</v>
      </c>
      <c r="B16" s="37" t="s">
        <v>3520</v>
      </c>
      <c r="C16" s="172"/>
      <c r="D16" s="36"/>
    </row>
    <row r="17" spans="1:4" ht="14.25" customHeight="1" x14ac:dyDescent="0.3">
      <c r="A17" s="36" t="s">
        <v>3511</v>
      </c>
      <c r="B17" s="37" t="s">
        <v>3521</v>
      </c>
      <c r="C17" s="172"/>
      <c r="D17" s="36"/>
    </row>
    <row r="18" spans="1:4" ht="14.25" customHeight="1" x14ac:dyDescent="0.3">
      <c r="A18" s="36" t="s">
        <v>3511</v>
      </c>
      <c r="B18" s="37" t="s">
        <v>3522</v>
      </c>
      <c r="C18" s="172"/>
      <c r="D18" s="36"/>
    </row>
    <row r="19" spans="1:4" ht="14.25" customHeight="1" x14ac:dyDescent="0.3">
      <c r="A19" s="36" t="s">
        <v>3511</v>
      </c>
      <c r="B19" s="37" t="s">
        <v>3523</v>
      </c>
      <c r="C19" s="172"/>
      <c r="D19" s="36"/>
    </row>
    <row r="20" spans="1:4" ht="14.25" customHeight="1" x14ac:dyDescent="0.3">
      <c r="A20" s="36" t="s">
        <v>3511</v>
      </c>
      <c r="B20" s="37" t="s">
        <v>3524</v>
      </c>
      <c r="C20" s="172"/>
      <c r="D20" s="36"/>
    </row>
    <row r="21" spans="1:4" ht="14.25" customHeight="1" x14ac:dyDescent="0.3">
      <c r="A21" s="36" t="s">
        <v>3511</v>
      </c>
      <c r="B21" s="37" t="s">
        <v>3525</v>
      </c>
      <c r="C21" s="172"/>
      <c r="D21" s="36"/>
    </row>
    <row r="22" spans="1:4" ht="14.25" customHeight="1" x14ac:dyDescent="0.3">
      <c r="A22" s="36" t="s">
        <v>3511</v>
      </c>
      <c r="B22" s="37" t="s">
        <v>3526</v>
      </c>
      <c r="C22" s="172"/>
      <c r="D22" s="36"/>
    </row>
    <row r="23" spans="1:4" ht="14.25" customHeight="1" x14ac:dyDescent="0.3">
      <c r="A23" s="134" t="s">
        <v>3511</v>
      </c>
      <c r="B23" s="258" t="s">
        <v>1145</v>
      </c>
      <c r="C23" s="134"/>
      <c r="D23" s="134"/>
    </row>
    <row r="24" spans="1:4" ht="14.25" customHeight="1" x14ac:dyDescent="0.3">
      <c r="A24" s="36" t="s">
        <v>3511</v>
      </c>
      <c r="B24" s="66" t="s">
        <v>1097</v>
      </c>
      <c r="C24" s="172"/>
      <c r="D24" s="36"/>
    </row>
    <row r="25" spans="1:4" ht="14.25" customHeight="1" x14ac:dyDescent="0.3">
      <c r="A25" s="36" t="s">
        <v>3511</v>
      </c>
      <c r="B25" s="66" t="s">
        <v>3527</v>
      </c>
      <c r="C25" s="172"/>
      <c r="D25" s="36"/>
    </row>
    <row r="26" spans="1:4" ht="14.25" customHeight="1" x14ac:dyDescent="0.3">
      <c r="A26" s="36" t="s">
        <v>3511</v>
      </c>
      <c r="B26" s="66" t="s">
        <v>3528</v>
      </c>
      <c r="C26" s="172"/>
      <c r="D26" s="36"/>
    </row>
    <row r="27" spans="1:4" ht="14.25" customHeight="1" x14ac:dyDescent="0.3">
      <c r="A27" s="36" t="s">
        <v>3511</v>
      </c>
      <c r="B27" s="66" t="s">
        <v>3529</v>
      </c>
      <c r="C27" s="172"/>
      <c r="D27" s="36"/>
    </row>
    <row r="28" spans="1:4" ht="14.25" customHeight="1" x14ac:dyDescent="0.3">
      <c r="A28" s="134" t="s">
        <v>3530</v>
      </c>
      <c r="B28" s="258" t="s">
        <v>922</v>
      </c>
      <c r="C28" s="134"/>
      <c r="D28" s="134"/>
    </row>
    <row r="29" spans="1:4" ht="14.25" customHeight="1" x14ac:dyDescent="0.3">
      <c r="A29" s="134" t="s">
        <v>3530</v>
      </c>
      <c r="B29" s="258" t="s">
        <v>2045</v>
      </c>
      <c r="C29" s="134"/>
      <c r="D29" s="134"/>
    </row>
    <row r="30" spans="1:4" ht="14.25" customHeight="1" x14ac:dyDescent="0.3">
      <c r="A30" s="36" t="s">
        <v>3530</v>
      </c>
      <c r="B30" s="37" t="s">
        <v>1105</v>
      </c>
      <c r="C30" s="172"/>
      <c r="D30" s="36"/>
    </row>
    <row r="31" spans="1:4" ht="14.25" customHeight="1" x14ac:dyDescent="0.3">
      <c r="A31" s="36" t="s">
        <v>3530</v>
      </c>
      <c r="B31" s="37" t="s">
        <v>3531</v>
      </c>
      <c r="C31" s="172"/>
      <c r="D31" s="36"/>
    </row>
    <row r="32" spans="1:4" ht="14.25" customHeight="1" x14ac:dyDescent="0.3">
      <c r="A32" s="36" t="s">
        <v>3530</v>
      </c>
      <c r="B32" s="37" t="s">
        <v>3532</v>
      </c>
      <c r="C32" s="172"/>
      <c r="D32" s="36"/>
    </row>
    <row r="33" spans="1:4" ht="14.25" customHeight="1" x14ac:dyDescent="0.3">
      <c r="A33" s="134" t="s">
        <v>3530</v>
      </c>
      <c r="B33" s="258" t="s">
        <v>3533</v>
      </c>
      <c r="C33" s="134"/>
      <c r="D33" s="134"/>
    </row>
    <row r="34" spans="1:4" ht="14.25" customHeight="1" x14ac:dyDescent="0.3">
      <c r="A34" s="36" t="s">
        <v>3530</v>
      </c>
      <c r="B34" s="37" t="s">
        <v>3534</v>
      </c>
      <c r="C34" s="172"/>
      <c r="D34" s="36"/>
    </row>
    <row r="35" spans="1:4" ht="14.25" customHeight="1" x14ac:dyDescent="0.3">
      <c r="A35" s="36" t="s">
        <v>3530</v>
      </c>
      <c r="B35" s="37" t="s">
        <v>3535</v>
      </c>
      <c r="C35" s="172"/>
      <c r="D35" s="36"/>
    </row>
    <row r="36" spans="1:4" ht="14.25" customHeight="1" x14ac:dyDescent="0.3">
      <c r="A36" s="36" t="s">
        <v>3530</v>
      </c>
      <c r="B36" s="37" t="s">
        <v>3536</v>
      </c>
      <c r="C36" s="172"/>
      <c r="D36" s="36"/>
    </row>
    <row r="37" spans="1:4" ht="14.25" customHeight="1" x14ac:dyDescent="0.3">
      <c r="A37" s="36" t="s">
        <v>3530</v>
      </c>
      <c r="B37" s="37" t="s">
        <v>3537</v>
      </c>
      <c r="C37" s="172"/>
      <c r="D37" s="36"/>
    </row>
    <row r="38" spans="1:4" ht="14.25" customHeight="1" x14ac:dyDescent="0.3">
      <c r="A38" s="36" t="s">
        <v>3530</v>
      </c>
      <c r="B38" s="37" t="s">
        <v>3538</v>
      </c>
      <c r="C38" s="172"/>
      <c r="D38" s="36"/>
    </row>
    <row r="39" spans="1:4" ht="14.25" customHeight="1" x14ac:dyDescent="0.3">
      <c r="A39" s="36" t="s">
        <v>3530</v>
      </c>
      <c r="B39" s="37" t="s">
        <v>3539</v>
      </c>
      <c r="C39" s="172"/>
      <c r="D39" s="36"/>
    </row>
    <row r="40" spans="1:4" ht="14.25" customHeight="1" x14ac:dyDescent="0.3">
      <c r="A40" s="36" t="s">
        <v>3530</v>
      </c>
      <c r="B40" s="37" t="s">
        <v>3540</v>
      </c>
      <c r="C40" s="172"/>
      <c r="D40" s="36"/>
    </row>
    <row r="41" spans="1:4" ht="14.25" customHeight="1" x14ac:dyDescent="0.3">
      <c r="A41" s="36" t="s">
        <v>3530</v>
      </c>
      <c r="B41" s="37" t="s">
        <v>3541</v>
      </c>
      <c r="C41" s="172"/>
      <c r="D41" s="36"/>
    </row>
    <row r="42" spans="1:4" ht="14.25" customHeight="1" x14ac:dyDescent="0.3">
      <c r="A42" s="134" t="s">
        <v>3530</v>
      </c>
      <c r="B42" s="258" t="s">
        <v>3542</v>
      </c>
      <c r="C42" s="134"/>
      <c r="D42" s="134"/>
    </row>
    <row r="43" spans="1:4" ht="14.25" customHeight="1" x14ac:dyDescent="0.3">
      <c r="A43" s="36" t="s">
        <v>3530</v>
      </c>
      <c r="B43" s="37" t="s">
        <v>3543</v>
      </c>
      <c r="C43" s="172"/>
      <c r="D43" s="36"/>
    </row>
    <row r="44" spans="1:4" ht="14.25" customHeight="1" x14ac:dyDescent="0.3">
      <c r="A44" s="36" t="s">
        <v>3530</v>
      </c>
      <c r="B44" s="37" t="s">
        <v>3544</v>
      </c>
      <c r="C44" s="172"/>
      <c r="D44" s="36"/>
    </row>
    <row r="45" spans="1:4" ht="14.25" customHeight="1" x14ac:dyDescent="0.3">
      <c r="A45" s="134" t="s">
        <v>3530</v>
      </c>
      <c r="B45" s="258" t="s">
        <v>1145</v>
      </c>
      <c r="C45" s="134"/>
      <c r="D45" s="134"/>
    </row>
    <row r="46" spans="1:4" ht="14.25" customHeight="1" x14ac:dyDescent="0.3">
      <c r="A46" s="36" t="s">
        <v>3530</v>
      </c>
      <c r="B46" s="37" t="s">
        <v>1193</v>
      </c>
      <c r="C46" s="172"/>
      <c r="D46" s="36"/>
    </row>
    <row r="47" spans="1:4" ht="14.25" customHeight="1" x14ac:dyDescent="0.3">
      <c r="A47" s="134" t="s">
        <v>3545</v>
      </c>
      <c r="B47" s="258" t="s">
        <v>922</v>
      </c>
      <c r="C47" s="134"/>
      <c r="D47" s="134"/>
    </row>
    <row r="48" spans="1:4" ht="14.25" customHeight="1" x14ac:dyDescent="0.3">
      <c r="A48" s="134" t="s">
        <v>3545</v>
      </c>
      <c r="B48" s="258" t="s">
        <v>1136</v>
      </c>
      <c r="C48" s="134"/>
      <c r="D48" s="134"/>
    </row>
    <row r="49" spans="1:4" ht="14.25" customHeight="1" x14ac:dyDescent="0.3">
      <c r="A49" s="36" t="s">
        <v>3545</v>
      </c>
      <c r="B49" s="37" t="s">
        <v>3546</v>
      </c>
      <c r="C49" s="172"/>
      <c r="D49" s="36"/>
    </row>
    <row r="50" spans="1:4" ht="14.25" customHeight="1" x14ac:dyDescent="0.3">
      <c r="A50" s="36" t="s">
        <v>3545</v>
      </c>
      <c r="B50" s="37" t="s">
        <v>1232</v>
      </c>
      <c r="C50" s="172"/>
      <c r="D50" s="36"/>
    </row>
    <row r="51" spans="1:4" ht="14.25" customHeight="1" x14ac:dyDescent="0.3">
      <c r="A51" s="36" t="s">
        <v>3545</v>
      </c>
      <c r="B51" s="37" t="s">
        <v>3547</v>
      </c>
      <c r="C51" s="172"/>
      <c r="D51" s="36"/>
    </row>
    <row r="52" spans="1:4" ht="14.25" customHeight="1" x14ac:dyDescent="0.3">
      <c r="A52" s="36" t="s">
        <v>3545</v>
      </c>
      <c r="B52" s="37" t="s">
        <v>3548</v>
      </c>
      <c r="C52" s="172"/>
      <c r="D52" s="36"/>
    </row>
    <row r="53" spans="1:4" ht="14.25" customHeight="1" x14ac:dyDescent="0.3">
      <c r="A53" s="36" t="s">
        <v>3545</v>
      </c>
      <c r="B53" s="37" t="s">
        <v>3549</v>
      </c>
      <c r="C53" s="172"/>
      <c r="D53" s="36"/>
    </row>
    <row r="54" spans="1:4" ht="14.25" customHeight="1" x14ac:dyDescent="0.3">
      <c r="A54" s="36" t="s">
        <v>3545</v>
      </c>
      <c r="B54" s="37" t="s">
        <v>3550</v>
      </c>
      <c r="C54" s="172"/>
      <c r="D54" s="36"/>
    </row>
    <row r="55" spans="1:4" ht="14.25" customHeight="1" x14ac:dyDescent="0.3">
      <c r="A55" s="36" t="s">
        <v>3545</v>
      </c>
      <c r="B55" s="37" t="s">
        <v>3551</v>
      </c>
      <c r="C55" s="172"/>
      <c r="D55" s="36"/>
    </row>
    <row r="56" spans="1:4" ht="14.25" customHeight="1" x14ac:dyDescent="0.3">
      <c r="A56" s="36" t="s">
        <v>3545</v>
      </c>
      <c r="B56" s="37" t="s">
        <v>3552</v>
      </c>
      <c r="C56" s="172"/>
      <c r="D56" s="36"/>
    </row>
    <row r="57" spans="1:4" ht="14.25" customHeight="1" x14ac:dyDescent="0.3">
      <c r="A57" s="36" t="s">
        <v>3545</v>
      </c>
      <c r="B57" s="37" t="s">
        <v>3553</v>
      </c>
      <c r="C57" s="172"/>
      <c r="D57" s="36"/>
    </row>
    <row r="58" spans="1:4" ht="14.25" customHeight="1" x14ac:dyDescent="0.3">
      <c r="A58" s="36" t="s">
        <v>3545</v>
      </c>
      <c r="B58" s="37" t="s">
        <v>3554</v>
      </c>
      <c r="C58" s="172"/>
      <c r="D58" s="36"/>
    </row>
    <row r="59" spans="1:4" ht="14.25" customHeight="1" x14ac:dyDescent="0.3">
      <c r="A59" s="36" t="s">
        <v>3545</v>
      </c>
      <c r="B59" s="37" t="s">
        <v>3555</v>
      </c>
      <c r="C59" s="172"/>
      <c r="D59" s="36"/>
    </row>
    <row r="60" spans="1:4" ht="14.25" customHeight="1" x14ac:dyDescent="0.3">
      <c r="A60" s="134" t="s">
        <v>3545</v>
      </c>
      <c r="B60" s="258" t="s">
        <v>1145</v>
      </c>
      <c r="C60" s="134"/>
      <c r="D60" s="134"/>
    </row>
    <row r="61" spans="1:4" ht="14.25" customHeight="1" x14ac:dyDescent="0.3">
      <c r="A61" s="36" t="s">
        <v>3545</v>
      </c>
      <c r="B61" s="37" t="s">
        <v>1208</v>
      </c>
      <c r="C61" s="172"/>
      <c r="D61" s="36"/>
    </row>
    <row r="62" spans="1:4" ht="14.25" customHeight="1" x14ac:dyDescent="0.3">
      <c r="A62" s="134" t="s">
        <v>3556</v>
      </c>
      <c r="B62" s="258" t="s">
        <v>922</v>
      </c>
      <c r="C62" s="134"/>
      <c r="D62" s="134"/>
    </row>
    <row r="63" spans="1:4" ht="14.25" customHeight="1" x14ac:dyDescent="0.3">
      <c r="A63" s="134" t="s">
        <v>3556</v>
      </c>
      <c r="B63" s="258" t="s">
        <v>1136</v>
      </c>
      <c r="C63" s="134"/>
      <c r="D63" s="134"/>
    </row>
    <row r="64" spans="1:4" ht="14.25" customHeight="1" x14ac:dyDescent="0.3">
      <c r="A64" s="36" t="s">
        <v>3557</v>
      </c>
      <c r="B64" s="37" t="s">
        <v>3558</v>
      </c>
      <c r="C64" s="172"/>
      <c r="D64" s="36"/>
    </row>
    <row r="65" spans="1:4" ht="14.25" customHeight="1" x14ac:dyDescent="0.3">
      <c r="A65" s="36" t="s">
        <v>3557</v>
      </c>
      <c r="B65" s="37" t="s">
        <v>3559</v>
      </c>
      <c r="C65" s="172"/>
      <c r="D65" s="36"/>
    </row>
    <row r="66" spans="1:4" ht="14.25" customHeight="1" x14ac:dyDescent="0.3">
      <c r="A66" s="36" t="s">
        <v>3557</v>
      </c>
      <c r="B66" s="37" t="s">
        <v>3560</v>
      </c>
      <c r="C66" s="172"/>
      <c r="D66" s="36"/>
    </row>
    <row r="67" spans="1:4" ht="14.25" customHeight="1" x14ac:dyDescent="0.3">
      <c r="A67" s="36" t="s">
        <v>3557</v>
      </c>
      <c r="B67" s="37" t="s">
        <v>3561</v>
      </c>
      <c r="C67" s="172"/>
      <c r="D67" s="36"/>
    </row>
    <row r="68" spans="1:4" ht="14.25" customHeight="1" x14ac:dyDescent="0.3">
      <c r="A68" s="134" t="s">
        <v>3557</v>
      </c>
      <c r="B68" s="258" t="s">
        <v>1145</v>
      </c>
      <c r="C68" s="134"/>
      <c r="D68" s="134"/>
    </row>
    <row r="69" spans="1:4" ht="14.25" customHeight="1" x14ac:dyDescent="0.3">
      <c r="A69" s="36" t="s">
        <v>3557</v>
      </c>
      <c r="B69" s="37" t="s">
        <v>1406</v>
      </c>
      <c r="C69" s="172"/>
      <c r="D69" s="36"/>
    </row>
    <row r="70" spans="1:4" ht="14.25" customHeight="1" x14ac:dyDescent="0.3">
      <c r="A70" s="134" t="s">
        <v>3562</v>
      </c>
      <c r="B70" s="258" t="s">
        <v>922</v>
      </c>
      <c r="C70" s="134"/>
      <c r="D70" s="134"/>
    </row>
    <row r="71" spans="1:4" ht="14.25" customHeight="1" x14ac:dyDescent="0.3">
      <c r="A71" s="134" t="s">
        <v>3562</v>
      </c>
      <c r="B71" s="258" t="s">
        <v>1136</v>
      </c>
      <c r="C71" s="134"/>
      <c r="D71" s="134"/>
    </row>
    <row r="72" spans="1:4" ht="14.25" customHeight="1" x14ac:dyDescent="0.3">
      <c r="A72" s="36" t="s">
        <v>3562</v>
      </c>
      <c r="B72" s="37" t="s">
        <v>3057</v>
      </c>
      <c r="C72" s="172"/>
      <c r="D72" s="36"/>
    </row>
    <row r="73" spans="1:4" ht="14.25" customHeight="1" x14ac:dyDescent="0.3">
      <c r="A73" s="36" t="s">
        <v>3562</v>
      </c>
      <c r="B73" s="37" t="s">
        <v>3563</v>
      </c>
      <c r="C73" s="172"/>
      <c r="D73" s="36"/>
    </row>
    <row r="74" spans="1:4" ht="14.25" customHeight="1" x14ac:dyDescent="0.3">
      <c r="A74" s="36" t="s">
        <v>3562</v>
      </c>
      <c r="B74" s="37" t="s">
        <v>3564</v>
      </c>
      <c r="C74" s="172"/>
      <c r="D74" s="36"/>
    </row>
    <row r="75" spans="1:4" ht="14.25" customHeight="1" x14ac:dyDescent="0.3">
      <c r="A75" s="36" t="s">
        <v>3562</v>
      </c>
      <c r="B75" s="37" t="s">
        <v>3565</v>
      </c>
      <c r="C75" s="172"/>
      <c r="D75" s="36"/>
    </row>
    <row r="76" spans="1:4" ht="14.25" customHeight="1" x14ac:dyDescent="0.3">
      <c r="A76" s="36" t="s">
        <v>3562</v>
      </c>
      <c r="B76" s="37" t="s">
        <v>3566</v>
      </c>
      <c r="C76" s="172"/>
      <c r="D76" s="36"/>
    </row>
    <row r="77" spans="1:4" ht="14.25" customHeight="1" x14ac:dyDescent="0.3">
      <c r="A77" s="36" t="s">
        <v>3562</v>
      </c>
      <c r="B77" s="37" t="s">
        <v>3567</v>
      </c>
      <c r="C77" s="172"/>
      <c r="D77" s="36"/>
    </row>
    <row r="78" spans="1:4" ht="14.25" customHeight="1" x14ac:dyDescent="0.3">
      <c r="A78" s="36" t="s">
        <v>3562</v>
      </c>
      <c r="B78" s="37" t="s">
        <v>3568</v>
      </c>
      <c r="C78" s="172"/>
      <c r="D78" s="36"/>
    </row>
    <row r="79" spans="1:4" ht="14.25" customHeight="1" x14ac:dyDescent="0.3">
      <c r="A79" s="36" t="s">
        <v>3562</v>
      </c>
      <c r="B79" s="37" t="s">
        <v>3569</v>
      </c>
      <c r="C79" s="172"/>
      <c r="D79" s="36"/>
    </row>
    <row r="80" spans="1:4" ht="14.25" customHeight="1" x14ac:dyDescent="0.3">
      <c r="A80" s="36" t="s">
        <v>3562</v>
      </c>
      <c r="B80" s="37" t="s">
        <v>3570</v>
      </c>
      <c r="C80" s="172"/>
      <c r="D80" s="36"/>
    </row>
    <row r="81" spans="1:4" ht="14.25" customHeight="1" x14ac:dyDescent="0.3">
      <c r="A81" s="36" t="s">
        <v>3562</v>
      </c>
      <c r="B81" s="37" t="s">
        <v>3571</v>
      </c>
      <c r="C81" s="172"/>
      <c r="D81" s="36"/>
    </row>
    <row r="82" spans="1:4" ht="14.25" customHeight="1" x14ac:dyDescent="0.3">
      <c r="A82" s="36" t="s">
        <v>3562</v>
      </c>
      <c r="B82" s="37" t="s">
        <v>3572</v>
      </c>
      <c r="C82" s="172"/>
      <c r="D82" s="36"/>
    </row>
    <row r="83" spans="1:4" ht="14.25" customHeight="1" x14ac:dyDescent="0.3">
      <c r="A83" s="36" t="s">
        <v>3562</v>
      </c>
      <c r="B83" s="37" t="s">
        <v>3573</v>
      </c>
      <c r="C83" s="172"/>
      <c r="D83" s="36"/>
    </row>
    <row r="84" spans="1:4" ht="14.25" customHeight="1" x14ac:dyDescent="0.3">
      <c r="A84" s="36" t="s">
        <v>3562</v>
      </c>
      <c r="B84" s="37" t="s">
        <v>3574</v>
      </c>
      <c r="C84" s="172"/>
      <c r="D84" s="36"/>
    </row>
    <row r="85" spans="1:4" ht="14.25" customHeight="1" x14ac:dyDescent="0.3">
      <c r="A85" s="36" t="s">
        <v>3562</v>
      </c>
      <c r="B85" s="37" t="s">
        <v>3575</v>
      </c>
      <c r="C85" s="172"/>
      <c r="D85" s="36"/>
    </row>
    <row r="86" spans="1:4" ht="14.25" customHeight="1" x14ac:dyDescent="0.3">
      <c r="A86" s="36" t="s">
        <v>3562</v>
      </c>
      <c r="B86" s="37" t="s">
        <v>3576</v>
      </c>
      <c r="C86" s="172"/>
      <c r="D86" s="36"/>
    </row>
    <row r="87" spans="1:4" ht="14.25" customHeight="1" x14ac:dyDescent="0.3">
      <c r="A87" s="36" t="s">
        <v>3562</v>
      </c>
      <c r="B87" s="37" t="s">
        <v>3577</v>
      </c>
      <c r="C87" s="172"/>
      <c r="D87" s="36"/>
    </row>
    <row r="88" spans="1:4" ht="14.25" customHeight="1" x14ac:dyDescent="0.3">
      <c r="A88" s="36" t="s">
        <v>3562</v>
      </c>
      <c r="B88" s="37" t="s">
        <v>3578</v>
      </c>
      <c r="C88" s="172"/>
      <c r="D88" s="36"/>
    </row>
    <row r="89" spans="1:4" ht="14.25" customHeight="1" x14ac:dyDescent="0.3">
      <c r="A89" s="36" t="s">
        <v>3562</v>
      </c>
      <c r="B89" s="37" t="s">
        <v>3579</v>
      </c>
      <c r="C89" s="172"/>
      <c r="D89" s="36"/>
    </row>
    <row r="90" spans="1:4" ht="14.25" customHeight="1" x14ac:dyDescent="0.3">
      <c r="A90" s="36" t="s">
        <v>3562</v>
      </c>
      <c r="B90" s="37" t="s">
        <v>3580</v>
      </c>
      <c r="C90" s="172"/>
      <c r="D90" s="36"/>
    </row>
    <row r="91" spans="1:4" ht="14.25" customHeight="1" x14ac:dyDescent="0.3">
      <c r="A91" s="36" t="s">
        <v>3562</v>
      </c>
      <c r="B91" s="37" t="s">
        <v>3581</v>
      </c>
      <c r="C91" s="172"/>
      <c r="D91" s="36"/>
    </row>
    <row r="92" spans="1:4" ht="14.25" customHeight="1" x14ac:dyDescent="0.3">
      <c r="A92" s="36" t="s">
        <v>3562</v>
      </c>
      <c r="B92" s="37" t="s">
        <v>3582</v>
      </c>
      <c r="C92" s="172"/>
      <c r="D92" s="36"/>
    </row>
    <row r="93" spans="1:4" ht="14.25" customHeight="1" x14ac:dyDescent="0.3">
      <c r="A93" s="36" t="s">
        <v>3562</v>
      </c>
      <c r="B93" s="37" t="s">
        <v>3583</v>
      </c>
      <c r="C93" s="172"/>
      <c r="D93" s="36"/>
    </row>
    <row r="94" spans="1:4" ht="14.25" customHeight="1" x14ac:dyDescent="0.3">
      <c r="A94" s="36" t="s">
        <v>3562</v>
      </c>
      <c r="B94" s="37" t="s">
        <v>3584</v>
      </c>
      <c r="C94" s="172"/>
      <c r="D94" s="36"/>
    </row>
    <row r="95" spans="1:4" ht="14.25" customHeight="1" x14ac:dyDescent="0.3">
      <c r="A95" s="36" t="s">
        <v>3562</v>
      </c>
      <c r="B95" s="37" t="s">
        <v>3585</v>
      </c>
      <c r="C95" s="172"/>
      <c r="D95" s="36"/>
    </row>
    <row r="96" spans="1:4" ht="14.25" customHeight="1" x14ac:dyDescent="0.3">
      <c r="A96" s="36" t="s">
        <v>3562</v>
      </c>
      <c r="B96" s="37" t="s">
        <v>3586</v>
      </c>
      <c r="C96" s="172"/>
      <c r="D96" s="36"/>
    </row>
    <row r="97" spans="1:4" ht="14.25" customHeight="1" x14ac:dyDescent="0.3">
      <c r="A97" s="36" t="s">
        <v>3562</v>
      </c>
      <c r="B97" s="37" t="s">
        <v>3587</v>
      </c>
      <c r="C97" s="172"/>
      <c r="D97" s="36"/>
    </row>
    <row r="98" spans="1:4" ht="14.25" customHeight="1" x14ac:dyDescent="0.3">
      <c r="A98" s="36" t="s">
        <v>3562</v>
      </c>
      <c r="B98" s="37" t="s">
        <v>3588</v>
      </c>
      <c r="C98" s="172"/>
      <c r="D98" s="36"/>
    </row>
    <row r="99" spans="1:4" ht="14.25" customHeight="1" x14ac:dyDescent="0.3">
      <c r="A99" s="36" t="s">
        <v>3562</v>
      </c>
      <c r="B99" s="37" t="s">
        <v>3590</v>
      </c>
      <c r="C99" s="172"/>
      <c r="D99" s="36"/>
    </row>
    <row r="100" spans="1:4" ht="14.25" customHeight="1" x14ac:dyDescent="0.3">
      <c r="A100" s="134" t="s">
        <v>3562</v>
      </c>
      <c r="B100" s="258" t="s">
        <v>1145</v>
      </c>
      <c r="C100" s="134"/>
      <c r="D100" s="134"/>
    </row>
    <row r="101" spans="1:4" ht="14.25" customHeight="1" x14ac:dyDescent="0.3">
      <c r="A101" s="36" t="s">
        <v>3562</v>
      </c>
      <c r="B101" s="37" t="s">
        <v>2293</v>
      </c>
      <c r="C101" s="172"/>
      <c r="D101" s="36"/>
    </row>
    <row r="102" spans="1:4" ht="14.25" customHeight="1" x14ac:dyDescent="0.3">
      <c r="A102" s="134" t="s">
        <v>3592</v>
      </c>
      <c r="B102" s="258" t="s">
        <v>922</v>
      </c>
      <c r="C102" s="134"/>
      <c r="D102" s="134"/>
    </row>
    <row r="103" spans="1:4" ht="14.25" customHeight="1" x14ac:dyDescent="0.3">
      <c r="A103" s="134" t="s">
        <v>3592</v>
      </c>
      <c r="B103" s="258" t="s">
        <v>3594</v>
      </c>
      <c r="C103" s="134"/>
      <c r="D103" s="134"/>
    </row>
    <row r="104" spans="1:4" ht="14.25" customHeight="1" x14ac:dyDescent="0.3">
      <c r="A104" s="36" t="s">
        <v>3592</v>
      </c>
      <c r="B104" s="37" t="s">
        <v>3596</v>
      </c>
      <c r="C104" s="172"/>
      <c r="D104" s="36"/>
    </row>
    <row r="105" spans="1:4" ht="14.25" customHeight="1" x14ac:dyDescent="0.3">
      <c r="A105" s="134" t="s">
        <v>3598</v>
      </c>
      <c r="B105" s="258" t="s">
        <v>922</v>
      </c>
      <c r="C105" s="134"/>
      <c r="D105" s="134"/>
    </row>
    <row r="106" spans="1:4" ht="14.25" customHeight="1" x14ac:dyDescent="0.3">
      <c r="A106" s="134" t="s">
        <v>3598</v>
      </c>
      <c r="B106" s="258" t="s">
        <v>720</v>
      </c>
      <c r="C106" s="134"/>
      <c r="D106" s="134"/>
    </row>
    <row r="107" spans="1:4" ht="14.25" customHeight="1" x14ac:dyDescent="0.3">
      <c r="A107" s="36" t="s">
        <v>3598</v>
      </c>
      <c r="B107" s="37" t="s">
        <v>3600</v>
      </c>
      <c r="C107" s="172"/>
      <c r="D107" s="36"/>
    </row>
    <row r="108" spans="1:4" ht="14.25" customHeight="1" x14ac:dyDescent="0.3">
      <c r="A108" s="36" t="s">
        <v>3598</v>
      </c>
      <c r="B108" s="37" t="s">
        <v>3385</v>
      </c>
      <c r="C108" s="172"/>
      <c r="D108" s="36"/>
    </row>
    <row r="109" spans="1:4" ht="14.25" customHeight="1" x14ac:dyDescent="0.3">
      <c r="A109" s="36" t="s">
        <v>3598</v>
      </c>
      <c r="B109" s="37" t="s">
        <v>3603</v>
      </c>
      <c r="C109" s="172"/>
      <c r="D109" s="36"/>
    </row>
    <row r="110" spans="1:4" ht="14.25" customHeight="1" x14ac:dyDescent="0.3">
      <c r="A110" s="36" t="s">
        <v>3598</v>
      </c>
      <c r="B110" s="37" t="s">
        <v>3605</v>
      </c>
      <c r="C110" s="172"/>
      <c r="D110" s="36"/>
    </row>
    <row r="111" spans="1:4" ht="14.25" customHeight="1" x14ac:dyDescent="0.3">
      <c r="A111" s="36" t="s">
        <v>3598</v>
      </c>
      <c r="B111" s="37" t="s">
        <v>3607</v>
      </c>
      <c r="C111" s="172"/>
      <c r="D111" s="36"/>
    </row>
    <row r="112" spans="1:4" ht="14.25" customHeight="1" x14ac:dyDescent="0.3">
      <c r="A112" s="134" t="s">
        <v>3598</v>
      </c>
      <c r="B112" s="258" t="s">
        <v>3609</v>
      </c>
      <c r="C112" s="134"/>
      <c r="D112" s="134"/>
    </row>
    <row r="113" spans="1:4" ht="14.25" customHeight="1" x14ac:dyDescent="0.3">
      <c r="A113" s="36" t="s">
        <v>3598</v>
      </c>
      <c r="B113" s="37" t="s">
        <v>3320</v>
      </c>
      <c r="C113" s="172"/>
      <c r="D113" s="36"/>
    </row>
    <row r="114" spans="1:4" ht="14.4" x14ac:dyDescent="0.3">
      <c r="A114" s="17"/>
      <c r="B114" s="46"/>
      <c r="C114" s="17"/>
      <c r="D114" s="17"/>
    </row>
    <row r="115" spans="1:4" ht="14.4" x14ac:dyDescent="0.3">
      <c r="A115" s="17"/>
      <c r="B115" s="46"/>
      <c r="C115" s="17"/>
      <c r="D115" s="17"/>
    </row>
    <row r="116" spans="1:4" ht="14.4" x14ac:dyDescent="0.3">
      <c r="A116" s="17"/>
      <c r="B116" s="15" t="s">
        <v>75</v>
      </c>
      <c r="C116" s="2">
        <f>COUNTIF($C$4:$C$113,"C")</f>
        <v>1</v>
      </c>
      <c r="D116" s="17"/>
    </row>
    <row r="117" spans="1:4" ht="14.4" x14ac:dyDescent="0.3">
      <c r="A117" s="17"/>
      <c r="B117" s="15" t="s">
        <v>81</v>
      </c>
      <c r="C117" s="2">
        <f>COUNTIF($C$4:$C$113,"NC")</f>
        <v>1</v>
      </c>
      <c r="D117" s="17"/>
    </row>
    <row r="118" spans="1:4" ht="14.4" x14ac:dyDescent="0.3">
      <c r="A118" s="17"/>
      <c r="B118" s="15" t="s">
        <v>84</v>
      </c>
      <c r="C118" s="2">
        <f>COUNTIF($C$4:$C$113,"NA")</f>
        <v>1</v>
      </c>
      <c r="D118" s="17"/>
    </row>
  </sheetData>
  <conditionalFormatting sqref="C7:C12 C14:C22 C24:C27 C30:C32 C34:C41 C43:C44 C46 C49:C59 C61 C64:C67 C69 C72:C99 C101 C104 C107:C111 C113">
    <cfRule type="beginsWith" dxfId="17" priority="1" operator="beginsWith" text="C">
      <formula>LEFT((C7),LEN("C"))=("C")</formula>
    </cfRule>
    <cfRule type="beginsWith" dxfId="16" priority="2" operator="beginsWith" text="NC">
      <formula>LEFT((C7),LEN("NC"))=("NC")</formula>
    </cfRule>
    <cfRule type="beginsWith" dxfId="15" priority="3" operator="beginsWith" text="NA">
      <formula>LEFT((C7),LEN("NA"))=("NA")</formula>
    </cfRule>
  </conditionalFormatting>
  <dataValidations count="1">
    <dataValidation type="list" allowBlank="1" sqref="C7:C12 C14:C22 C24:C27 C30:C32 C34:C41 C43:C44 C46 C49:C59 C61 C64:C67 C69 C72:C99 C101 C104 C107:C111 C113" xr:uid="{00000000-0002-0000-2900-000000000000}">
      <formula1>"C,NC,NA"</formula1>
    </dataValidation>
  </dataValidations>
  <hyperlinks>
    <hyperlink ref="B1" location="'Tabla de contenido'!A1" display="VOLVER A TABLA DE CONTENIDO" xr:uid="{00000000-0004-0000-2900-000000000000}"/>
  </hyperlinks>
  <pageMargins left="0.7" right="0.7" top="0.75" bottom="0.75" header="0" footer="0"/>
  <pageSetup orientation="portrait"/>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351C75"/>
  </sheetPr>
  <dimension ref="A1:D241"/>
  <sheetViews>
    <sheetView showGridLines="0" workbookViewId="0">
      <selection activeCell="B3" sqref="B3"/>
    </sheetView>
  </sheetViews>
  <sheetFormatPr baseColWidth="10" defaultColWidth="14.44140625" defaultRowHeight="15" customHeight="1" outlineLevelCol="1" x14ac:dyDescent="0.3"/>
  <cols>
    <col min="1" max="1" width="11.44140625" customWidth="1"/>
    <col min="2" max="2" width="72.6640625" customWidth="1"/>
    <col min="3" max="3" width="11.44140625" customWidth="1"/>
    <col min="4" max="4" width="28.21875" customWidth="1" outlineLevel="1"/>
    <col min="5" max="5" width="1.77734375" customWidth="1"/>
    <col min="6" max="6" width="1.88671875" customWidth="1"/>
  </cols>
  <sheetData>
    <row r="1" spans="1:4" ht="14.4" x14ac:dyDescent="0.3">
      <c r="A1" s="269"/>
      <c r="B1" s="270" t="s">
        <v>0</v>
      </c>
      <c r="C1" s="269"/>
      <c r="D1" s="269"/>
    </row>
    <row r="2" spans="1:4" ht="14.4" x14ac:dyDescent="0.3">
      <c r="A2" s="74"/>
      <c r="B2" s="75" t="s">
        <v>3589</v>
      </c>
      <c r="C2" s="116"/>
      <c r="D2" s="77"/>
    </row>
    <row r="3" spans="1:4" ht="303.60000000000002" x14ac:dyDescent="0.3">
      <c r="A3" s="6"/>
      <c r="B3" s="18" t="s">
        <v>3591</v>
      </c>
      <c r="C3" s="182"/>
      <c r="D3" s="19"/>
    </row>
    <row r="4" spans="1:4" ht="14.4" x14ac:dyDescent="0.3">
      <c r="A4" s="6" t="s">
        <v>7</v>
      </c>
      <c r="B4" s="207" t="s">
        <v>9</v>
      </c>
      <c r="C4" s="6" t="s">
        <v>10</v>
      </c>
      <c r="D4" s="6" t="s">
        <v>11</v>
      </c>
    </row>
    <row r="5" spans="1:4" ht="14.4" x14ac:dyDescent="0.3">
      <c r="A5" s="259" t="s">
        <v>3593</v>
      </c>
      <c r="B5" s="32" t="s">
        <v>3595</v>
      </c>
      <c r="C5" s="31"/>
      <c r="D5" s="31"/>
    </row>
    <row r="6" spans="1:4" ht="27.6" x14ac:dyDescent="0.3">
      <c r="A6" s="259" t="s">
        <v>3593</v>
      </c>
      <c r="B6" s="32" t="s">
        <v>3597</v>
      </c>
      <c r="C6" s="31"/>
      <c r="D6" s="31"/>
    </row>
    <row r="7" spans="1:4" ht="28.2" x14ac:dyDescent="0.3">
      <c r="A7" s="109" t="s">
        <v>3593</v>
      </c>
      <c r="B7" s="110" t="s">
        <v>3599</v>
      </c>
      <c r="C7" s="23" t="s">
        <v>16</v>
      </c>
      <c r="D7" s="36"/>
    </row>
    <row r="8" spans="1:4" ht="14.4" x14ac:dyDescent="0.3">
      <c r="A8" s="109" t="s">
        <v>3593</v>
      </c>
      <c r="B8" s="110" t="s">
        <v>3601</v>
      </c>
      <c r="C8" s="23" t="s">
        <v>20</v>
      </c>
      <c r="D8" s="36"/>
    </row>
    <row r="9" spans="1:4" ht="27.6" x14ac:dyDescent="0.3">
      <c r="A9" s="109" t="s">
        <v>3593</v>
      </c>
      <c r="B9" s="110" t="s">
        <v>3602</v>
      </c>
      <c r="C9" s="23" t="s">
        <v>24</v>
      </c>
      <c r="D9" s="36"/>
    </row>
    <row r="10" spans="1:4" ht="14.4" x14ac:dyDescent="0.3">
      <c r="A10" s="259" t="s">
        <v>3593</v>
      </c>
      <c r="B10" s="32" t="s">
        <v>1335</v>
      </c>
      <c r="C10" s="31"/>
      <c r="D10" s="31"/>
    </row>
    <row r="11" spans="1:4" ht="55.2" x14ac:dyDescent="0.3">
      <c r="A11" s="109" t="s">
        <v>3593</v>
      </c>
      <c r="B11" s="110" t="s">
        <v>3604</v>
      </c>
      <c r="C11" s="121"/>
      <c r="D11" s="50"/>
    </row>
    <row r="12" spans="1:4" ht="55.2" x14ac:dyDescent="0.3">
      <c r="A12" s="109" t="s">
        <v>3593</v>
      </c>
      <c r="B12" s="110" t="s">
        <v>3606</v>
      </c>
      <c r="C12" s="23"/>
      <c r="D12" s="50"/>
    </row>
    <row r="13" spans="1:4" ht="55.2" x14ac:dyDescent="0.3">
      <c r="A13" s="109" t="s">
        <v>3593</v>
      </c>
      <c r="B13" s="110" t="s">
        <v>3608</v>
      </c>
      <c r="C13" s="23"/>
      <c r="D13" s="36"/>
    </row>
    <row r="14" spans="1:4" ht="55.2" x14ac:dyDescent="0.3">
      <c r="A14" s="109" t="s">
        <v>3593</v>
      </c>
      <c r="B14" s="110" t="s">
        <v>3610</v>
      </c>
      <c r="C14" s="23"/>
      <c r="D14" s="36"/>
    </row>
    <row r="15" spans="1:4" ht="55.2" x14ac:dyDescent="0.3">
      <c r="A15" s="109" t="s">
        <v>3593</v>
      </c>
      <c r="B15" s="110" t="s">
        <v>3611</v>
      </c>
      <c r="C15" s="23"/>
      <c r="D15" s="110"/>
    </row>
    <row r="16" spans="1:4" ht="27.6" x14ac:dyDescent="0.3">
      <c r="A16" s="109" t="s">
        <v>3593</v>
      </c>
      <c r="B16" s="260" t="s">
        <v>3612</v>
      </c>
      <c r="C16" s="23"/>
      <c r="D16" s="50"/>
    </row>
    <row r="17" spans="1:4" ht="55.2" x14ac:dyDescent="0.3">
      <c r="A17" s="109" t="s">
        <v>3593</v>
      </c>
      <c r="B17" s="260" t="s">
        <v>3613</v>
      </c>
      <c r="C17" s="23"/>
      <c r="D17" s="50"/>
    </row>
    <row r="18" spans="1:4" ht="27.6" x14ac:dyDescent="0.3">
      <c r="A18" s="109" t="s">
        <v>3593</v>
      </c>
      <c r="B18" s="260" t="s">
        <v>3614</v>
      </c>
      <c r="C18" s="23"/>
      <c r="D18" s="50"/>
    </row>
    <row r="19" spans="1:4" ht="55.2" x14ac:dyDescent="0.3">
      <c r="A19" s="109" t="s">
        <v>3593</v>
      </c>
      <c r="B19" s="260" t="s">
        <v>3615</v>
      </c>
      <c r="C19" s="23"/>
      <c r="D19" s="50"/>
    </row>
    <row r="20" spans="1:4" ht="27.6" x14ac:dyDescent="0.3">
      <c r="A20" s="109" t="s">
        <v>3593</v>
      </c>
      <c r="B20" s="260" t="s">
        <v>3616</v>
      </c>
      <c r="C20" s="23"/>
      <c r="D20" s="50"/>
    </row>
    <row r="21" spans="1:4" ht="14.4" x14ac:dyDescent="0.3">
      <c r="A21" s="109" t="s">
        <v>3593</v>
      </c>
      <c r="B21" s="260" t="s">
        <v>3617</v>
      </c>
      <c r="C21" s="23"/>
      <c r="D21" s="50"/>
    </row>
    <row r="22" spans="1:4" ht="41.4" x14ac:dyDescent="0.3">
      <c r="A22" s="109" t="s">
        <v>3593</v>
      </c>
      <c r="B22" s="260" t="s">
        <v>3618</v>
      </c>
      <c r="C22" s="23"/>
      <c r="D22" s="50"/>
    </row>
    <row r="23" spans="1:4" ht="41.4" x14ac:dyDescent="0.3">
      <c r="A23" s="109" t="s">
        <v>3593</v>
      </c>
      <c r="B23" s="260" t="s">
        <v>3619</v>
      </c>
      <c r="C23" s="23"/>
      <c r="D23" s="50"/>
    </row>
    <row r="24" spans="1:4" ht="55.2" x14ac:dyDescent="0.3">
      <c r="A24" s="109" t="s">
        <v>3593</v>
      </c>
      <c r="B24" s="260" t="s">
        <v>3620</v>
      </c>
      <c r="C24" s="23"/>
      <c r="D24" s="50"/>
    </row>
    <row r="25" spans="1:4" ht="55.2" x14ac:dyDescent="0.3">
      <c r="A25" s="109" t="s">
        <v>3593</v>
      </c>
      <c r="B25" s="260" t="s">
        <v>3621</v>
      </c>
      <c r="C25" s="23"/>
      <c r="D25" s="50"/>
    </row>
    <row r="26" spans="1:4" ht="14.4" x14ac:dyDescent="0.3">
      <c r="A26" s="259" t="s">
        <v>3593</v>
      </c>
      <c r="B26" s="32" t="s">
        <v>3622</v>
      </c>
      <c r="C26" s="31"/>
      <c r="D26" s="31"/>
    </row>
    <row r="27" spans="1:4" ht="27.6" x14ac:dyDescent="0.3">
      <c r="A27" s="109" t="s">
        <v>3593</v>
      </c>
      <c r="B27" s="260" t="s">
        <v>3623</v>
      </c>
      <c r="C27" s="23"/>
      <c r="D27" s="50"/>
    </row>
    <row r="28" spans="1:4" ht="27.6" x14ac:dyDescent="0.3">
      <c r="A28" s="109" t="s">
        <v>3593</v>
      </c>
      <c r="B28" s="260" t="s">
        <v>3624</v>
      </c>
      <c r="C28" s="23"/>
      <c r="D28" s="50"/>
    </row>
    <row r="29" spans="1:4" ht="27.6" x14ac:dyDescent="0.3">
      <c r="A29" s="109" t="s">
        <v>3593</v>
      </c>
      <c r="B29" s="260" t="s">
        <v>3625</v>
      </c>
      <c r="C29" s="23"/>
      <c r="D29" s="50"/>
    </row>
    <row r="30" spans="1:4" ht="27.6" x14ac:dyDescent="0.3">
      <c r="A30" s="109" t="s">
        <v>3593</v>
      </c>
      <c r="B30" s="260" t="s">
        <v>3626</v>
      </c>
      <c r="C30" s="23"/>
      <c r="D30" s="50"/>
    </row>
    <row r="31" spans="1:4" ht="27.6" x14ac:dyDescent="0.3">
      <c r="A31" s="109" t="s">
        <v>3593</v>
      </c>
      <c r="B31" s="260" t="s">
        <v>3627</v>
      </c>
      <c r="C31" s="23"/>
      <c r="D31" s="50"/>
    </row>
    <row r="32" spans="1:4" ht="27.6" x14ac:dyDescent="0.3">
      <c r="A32" s="109" t="s">
        <v>3593</v>
      </c>
      <c r="B32" s="260" t="s">
        <v>3628</v>
      </c>
      <c r="C32" s="23"/>
      <c r="D32" s="50"/>
    </row>
    <row r="33" spans="1:4" ht="41.4" x14ac:dyDescent="0.3">
      <c r="A33" s="109" t="s">
        <v>3593</v>
      </c>
      <c r="B33" s="260" t="s">
        <v>3629</v>
      </c>
      <c r="C33" s="23"/>
      <c r="D33" s="50"/>
    </row>
    <row r="34" spans="1:4" ht="41.4" x14ac:dyDescent="0.3">
      <c r="A34" s="109" t="s">
        <v>3593</v>
      </c>
      <c r="B34" s="260" t="s">
        <v>3630</v>
      </c>
      <c r="C34" s="23"/>
      <c r="D34" s="50"/>
    </row>
    <row r="35" spans="1:4" ht="41.4" x14ac:dyDescent="0.3">
      <c r="A35" s="109" t="s">
        <v>3593</v>
      </c>
      <c r="B35" s="260" t="s">
        <v>3631</v>
      </c>
      <c r="C35" s="23"/>
      <c r="D35" s="50"/>
    </row>
    <row r="36" spans="1:4" ht="41.4" x14ac:dyDescent="0.3">
      <c r="A36" s="109" t="s">
        <v>3593</v>
      </c>
      <c r="B36" s="260" t="s">
        <v>3632</v>
      </c>
      <c r="C36" s="23"/>
      <c r="D36" s="50"/>
    </row>
    <row r="37" spans="1:4" ht="41.4" x14ac:dyDescent="0.3">
      <c r="A37" s="109" t="s">
        <v>3593</v>
      </c>
      <c r="B37" s="260" t="s">
        <v>3633</v>
      </c>
      <c r="C37" s="23"/>
      <c r="D37" s="50"/>
    </row>
    <row r="38" spans="1:4" ht="69" x14ac:dyDescent="0.3">
      <c r="A38" s="109" t="s">
        <v>3593</v>
      </c>
      <c r="B38" s="260" t="s">
        <v>3634</v>
      </c>
      <c r="C38" s="23"/>
      <c r="D38" s="50"/>
    </row>
    <row r="39" spans="1:4" ht="14.4" x14ac:dyDescent="0.3">
      <c r="A39" s="259" t="s">
        <v>3593</v>
      </c>
      <c r="B39" s="32" t="s">
        <v>3635</v>
      </c>
      <c r="C39" s="31"/>
      <c r="D39" s="31"/>
    </row>
    <row r="40" spans="1:4" ht="14.4" x14ac:dyDescent="0.3">
      <c r="A40" s="259" t="s">
        <v>3593</v>
      </c>
      <c r="B40" s="32" t="s">
        <v>1084</v>
      </c>
      <c r="C40" s="31"/>
      <c r="D40" s="31"/>
    </row>
    <row r="41" spans="1:4" ht="14.4" x14ac:dyDescent="0.3">
      <c r="A41" s="109" t="s">
        <v>3593</v>
      </c>
      <c r="B41" s="110" t="s">
        <v>3636</v>
      </c>
      <c r="C41" s="23"/>
      <c r="D41" s="36"/>
    </row>
    <row r="42" spans="1:4" ht="14.4" x14ac:dyDescent="0.3">
      <c r="A42" s="109" t="s">
        <v>3593</v>
      </c>
      <c r="B42" s="110" t="s">
        <v>3637</v>
      </c>
      <c r="C42" s="23"/>
      <c r="D42" s="36"/>
    </row>
    <row r="43" spans="1:4" ht="41.4" x14ac:dyDescent="0.3">
      <c r="A43" s="109" t="s">
        <v>3593</v>
      </c>
      <c r="B43" s="260" t="s">
        <v>3638</v>
      </c>
      <c r="C43" s="23"/>
      <c r="D43" s="36"/>
    </row>
    <row r="44" spans="1:4" ht="14.4" x14ac:dyDescent="0.3">
      <c r="A44" s="259" t="s">
        <v>3593</v>
      </c>
      <c r="B44" s="32" t="s">
        <v>2693</v>
      </c>
      <c r="C44" s="31"/>
      <c r="D44" s="31"/>
    </row>
    <row r="45" spans="1:4" ht="41.4" x14ac:dyDescent="0.3">
      <c r="A45" s="109" t="s">
        <v>3593</v>
      </c>
      <c r="B45" s="260" t="s">
        <v>3639</v>
      </c>
      <c r="C45" s="23"/>
      <c r="D45" s="50"/>
    </row>
    <row r="46" spans="1:4" ht="14.4" x14ac:dyDescent="0.3">
      <c r="A46" s="259" t="s">
        <v>3640</v>
      </c>
      <c r="B46" s="32" t="s">
        <v>3641</v>
      </c>
      <c r="C46" s="31"/>
      <c r="D46" s="31"/>
    </row>
    <row r="47" spans="1:4" ht="14.4" x14ac:dyDescent="0.3">
      <c r="A47" s="259" t="s">
        <v>3640</v>
      </c>
      <c r="B47" s="32" t="s">
        <v>2782</v>
      </c>
      <c r="C47" s="31"/>
      <c r="D47" s="31"/>
    </row>
    <row r="48" spans="1:4" ht="27.6" x14ac:dyDescent="0.3">
      <c r="A48" s="109" t="s">
        <v>3640</v>
      </c>
      <c r="B48" s="261" t="s">
        <v>1190</v>
      </c>
      <c r="C48" s="23"/>
      <c r="D48" s="36"/>
    </row>
    <row r="49" spans="1:4" ht="14.4" x14ac:dyDescent="0.3">
      <c r="A49" s="109" t="s">
        <v>3640</v>
      </c>
      <c r="B49" s="260" t="s">
        <v>3642</v>
      </c>
      <c r="C49" s="23"/>
      <c r="D49" s="36"/>
    </row>
    <row r="50" spans="1:4" ht="14.4" x14ac:dyDescent="0.3">
      <c r="A50" s="109" t="s">
        <v>3640</v>
      </c>
      <c r="B50" s="260" t="s">
        <v>3643</v>
      </c>
      <c r="C50" s="23"/>
      <c r="D50" s="36"/>
    </row>
    <row r="51" spans="1:4" ht="27.6" x14ac:dyDescent="0.3">
      <c r="A51" s="109" t="s">
        <v>3640</v>
      </c>
      <c r="B51" s="260" t="s">
        <v>3644</v>
      </c>
      <c r="C51" s="23"/>
      <c r="D51" s="36"/>
    </row>
    <row r="52" spans="1:4" ht="27.6" x14ac:dyDescent="0.3">
      <c r="A52" s="109" t="s">
        <v>3640</v>
      </c>
      <c r="B52" s="260" t="s">
        <v>3645</v>
      </c>
      <c r="C52" s="23"/>
      <c r="D52" s="36"/>
    </row>
    <row r="53" spans="1:4" ht="27.6" x14ac:dyDescent="0.3">
      <c r="A53" s="109" t="s">
        <v>3640</v>
      </c>
      <c r="B53" s="260" t="s">
        <v>3646</v>
      </c>
      <c r="C53" s="23"/>
      <c r="D53" s="36"/>
    </row>
    <row r="54" spans="1:4" ht="27.6" x14ac:dyDescent="0.3">
      <c r="A54" s="109" t="s">
        <v>3640</v>
      </c>
      <c r="B54" s="261" t="s">
        <v>3647</v>
      </c>
      <c r="C54" s="23"/>
      <c r="D54" s="36"/>
    </row>
    <row r="55" spans="1:4" ht="14.4" x14ac:dyDescent="0.3">
      <c r="A55" s="109" t="s">
        <v>3640</v>
      </c>
      <c r="B55" s="260" t="s">
        <v>3648</v>
      </c>
      <c r="C55" s="23"/>
      <c r="D55" s="36"/>
    </row>
    <row r="56" spans="1:4" ht="14.4" x14ac:dyDescent="0.3">
      <c r="A56" s="109" t="s">
        <v>3640</v>
      </c>
      <c r="B56" s="260" t="s">
        <v>3649</v>
      </c>
      <c r="C56" s="23"/>
      <c r="D56" s="36"/>
    </row>
    <row r="57" spans="1:4" ht="14.4" x14ac:dyDescent="0.3">
      <c r="A57" s="109" t="s">
        <v>3640</v>
      </c>
      <c r="B57" s="260" t="s">
        <v>3650</v>
      </c>
      <c r="C57" s="23"/>
      <c r="D57" s="36"/>
    </row>
    <row r="58" spans="1:4" ht="14.4" x14ac:dyDescent="0.3">
      <c r="A58" s="109" t="s">
        <v>3640</v>
      </c>
      <c r="B58" s="260" t="s">
        <v>3651</v>
      </c>
      <c r="C58" s="23"/>
      <c r="D58" s="36"/>
    </row>
    <row r="59" spans="1:4" ht="14.4" x14ac:dyDescent="0.3">
      <c r="A59" s="109" t="s">
        <v>3640</v>
      </c>
      <c r="B59" s="262" t="s">
        <v>3652</v>
      </c>
      <c r="C59" s="23"/>
      <c r="D59" s="36"/>
    </row>
    <row r="60" spans="1:4" ht="14.4" x14ac:dyDescent="0.3">
      <c r="A60" s="109" t="s">
        <v>3640</v>
      </c>
      <c r="B60" s="262" t="s">
        <v>3653</v>
      </c>
      <c r="C60" s="23"/>
      <c r="D60" s="36"/>
    </row>
    <row r="61" spans="1:4" ht="14.4" x14ac:dyDescent="0.3">
      <c r="A61" s="109" t="s">
        <v>3640</v>
      </c>
      <c r="B61" s="262" t="s">
        <v>3654</v>
      </c>
      <c r="C61" s="23"/>
      <c r="D61" s="36"/>
    </row>
    <row r="62" spans="1:4" ht="27.6" x14ac:dyDescent="0.3">
      <c r="A62" s="109" t="s">
        <v>3640</v>
      </c>
      <c r="B62" s="262" t="s">
        <v>3655</v>
      </c>
      <c r="C62" s="23"/>
      <c r="D62" s="36"/>
    </row>
    <row r="63" spans="1:4" ht="14.4" x14ac:dyDescent="0.3">
      <c r="A63" s="109" t="s">
        <v>3640</v>
      </c>
      <c r="B63" s="262" t="s">
        <v>3656</v>
      </c>
      <c r="C63" s="23"/>
      <c r="D63" s="36"/>
    </row>
    <row r="64" spans="1:4" ht="27.6" x14ac:dyDescent="0.3">
      <c r="A64" s="109" t="s">
        <v>3640</v>
      </c>
      <c r="B64" s="262" t="s">
        <v>3657</v>
      </c>
      <c r="C64" s="23"/>
      <c r="D64" s="36"/>
    </row>
    <row r="65" spans="1:4" ht="14.4" x14ac:dyDescent="0.3">
      <c r="A65" s="109" t="s">
        <v>3640</v>
      </c>
      <c r="B65" s="262" t="s">
        <v>3658</v>
      </c>
      <c r="C65" s="23"/>
      <c r="D65" s="36"/>
    </row>
    <row r="66" spans="1:4" ht="27.6" x14ac:dyDescent="0.3">
      <c r="A66" s="109" t="s">
        <v>3640</v>
      </c>
      <c r="B66" s="262" t="s">
        <v>3659</v>
      </c>
      <c r="C66" s="23"/>
      <c r="D66" s="36"/>
    </row>
    <row r="67" spans="1:4" ht="14.4" x14ac:dyDescent="0.3">
      <c r="A67" s="109" t="s">
        <v>3640</v>
      </c>
      <c r="B67" s="262" t="s">
        <v>3660</v>
      </c>
      <c r="C67" s="23"/>
      <c r="D67" s="36"/>
    </row>
    <row r="68" spans="1:4" ht="14.4" x14ac:dyDescent="0.3">
      <c r="A68" s="109" t="s">
        <v>3640</v>
      </c>
      <c r="B68" s="262" t="s">
        <v>3661</v>
      </c>
      <c r="C68" s="23"/>
      <c r="D68" s="36"/>
    </row>
    <row r="69" spans="1:4" ht="14.4" x14ac:dyDescent="0.3">
      <c r="A69" s="109" t="s">
        <v>3640</v>
      </c>
      <c r="B69" s="262" t="s">
        <v>3662</v>
      </c>
      <c r="C69" s="23"/>
      <c r="D69" s="36"/>
    </row>
    <row r="70" spans="1:4" ht="14.4" x14ac:dyDescent="0.3">
      <c r="A70" s="109" t="s">
        <v>3640</v>
      </c>
      <c r="B70" s="262" t="s">
        <v>3663</v>
      </c>
      <c r="C70" s="23"/>
      <c r="D70" s="36"/>
    </row>
    <row r="71" spans="1:4" ht="14.4" x14ac:dyDescent="0.3">
      <c r="A71" s="109" t="s">
        <v>3640</v>
      </c>
      <c r="B71" s="262" t="s">
        <v>3664</v>
      </c>
      <c r="C71" s="23"/>
      <c r="D71" s="36"/>
    </row>
    <row r="72" spans="1:4" ht="14.4" x14ac:dyDescent="0.3">
      <c r="A72" s="259" t="s">
        <v>3640</v>
      </c>
      <c r="B72" s="32" t="s">
        <v>3665</v>
      </c>
      <c r="C72" s="31"/>
      <c r="D72" s="31"/>
    </row>
    <row r="73" spans="1:4" ht="14.4" x14ac:dyDescent="0.3">
      <c r="A73" s="109" t="s">
        <v>3640</v>
      </c>
      <c r="B73" s="262" t="s">
        <v>3666</v>
      </c>
      <c r="C73" s="23"/>
      <c r="D73" s="36"/>
    </row>
    <row r="74" spans="1:4" ht="14.4" x14ac:dyDescent="0.3">
      <c r="A74" s="109" t="s">
        <v>3640</v>
      </c>
      <c r="B74" s="262" t="s">
        <v>3667</v>
      </c>
      <c r="C74" s="23"/>
      <c r="D74" s="36"/>
    </row>
    <row r="75" spans="1:4" ht="14.4" x14ac:dyDescent="0.3">
      <c r="A75" s="259" t="s">
        <v>3640</v>
      </c>
      <c r="B75" s="32" t="s">
        <v>3668</v>
      </c>
      <c r="C75" s="31"/>
      <c r="D75" s="31"/>
    </row>
    <row r="76" spans="1:4" ht="27.6" x14ac:dyDescent="0.3">
      <c r="A76" s="109" t="s">
        <v>3640</v>
      </c>
      <c r="B76" s="262" t="s">
        <v>3669</v>
      </c>
      <c r="C76" s="23"/>
      <c r="D76" s="36"/>
    </row>
    <row r="77" spans="1:4" ht="27.6" x14ac:dyDescent="0.3">
      <c r="A77" s="109" t="s">
        <v>3640</v>
      </c>
      <c r="B77" s="262" t="s">
        <v>3670</v>
      </c>
      <c r="C77" s="23"/>
      <c r="D77" s="36"/>
    </row>
    <row r="78" spans="1:4" ht="14.4" x14ac:dyDescent="0.3">
      <c r="A78" s="109" t="s">
        <v>3640</v>
      </c>
      <c r="B78" s="262" t="s">
        <v>3671</v>
      </c>
      <c r="C78" s="23"/>
      <c r="D78" s="36"/>
    </row>
    <row r="79" spans="1:4" ht="27.6" x14ac:dyDescent="0.3">
      <c r="A79" s="109" t="s">
        <v>3640</v>
      </c>
      <c r="B79" s="262" t="s">
        <v>3672</v>
      </c>
      <c r="C79" s="23"/>
      <c r="D79" s="36"/>
    </row>
    <row r="80" spans="1:4" ht="14.4" x14ac:dyDescent="0.3">
      <c r="A80" s="259" t="s">
        <v>3640</v>
      </c>
      <c r="B80" s="32" t="s">
        <v>1645</v>
      </c>
      <c r="C80" s="31"/>
      <c r="D80" s="31"/>
    </row>
    <row r="81" spans="1:4" ht="27.6" x14ac:dyDescent="0.3">
      <c r="A81" s="109" t="s">
        <v>3640</v>
      </c>
      <c r="B81" s="262" t="s">
        <v>3673</v>
      </c>
      <c r="C81" s="23"/>
      <c r="D81" s="36"/>
    </row>
    <row r="82" spans="1:4" ht="14.4" x14ac:dyDescent="0.3">
      <c r="A82" s="259" t="s">
        <v>3640</v>
      </c>
      <c r="B82" s="32" t="s">
        <v>1183</v>
      </c>
      <c r="C82" s="31"/>
      <c r="D82" s="31"/>
    </row>
    <row r="83" spans="1:4" ht="27.6" x14ac:dyDescent="0.3">
      <c r="A83" s="109" t="s">
        <v>3640</v>
      </c>
      <c r="B83" s="262" t="s">
        <v>3674</v>
      </c>
      <c r="C83" s="23"/>
      <c r="D83" s="36"/>
    </row>
    <row r="84" spans="1:4" ht="14.4" x14ac:dyDescent="0.3">
      <c r="A84" s="259" t="s">
        <v>3640</v>
      </c>
      <c r="B84" s="32" t="s">
        <v>1145</v>
      </c>
      <c r="C84" s="31"/>
      <c r="D84" s="31"/>
    </row>
    <row r="85" spans="1:4" ht="14.4" x14ac:dyDescent="0.3">
      <c r="A85" s="109" t="s">
        <v>3640</v>
      </c>
      <c r="B85" s="261" t="s">
        <v>3675</v>
      </c>
      <c r="C85" s="23"/>
      <c r="D85" s="36"/>
    </row>
    <row r="86" spans="1:4" ht="14.4" x14ac:dyDescent="0.3">
      <c r="A86" s="259" t="s">
        <v>3676</v>
      </c>
      <c r="B86" s="32" t="s">
        <v>1106</v>
      </c>
      <c r="C86" s="31"/>
      <c r="D86" s="31"/>
    </row>
    <row r="87" spans="1:4" ht="27.6" x14ac:dyDescent="0.3">
      <c r="A87" s="259" t="s">
        <v>3676</v>
      </c>
      <c r="B87" s="32" t="s">
        <v>3677</v>
      </c>
      <c r="C87" s="31"/>
      <c r="D87" s="31"/>
    </row>
    <row r="88" spans="1:4" ht="27.6" x14ac:dyDescent="0.3">
      <c r="A88" s="109" t="s">
        <v>3676</v>
      </c>
      <c r="B88" s="262" t="s">
        <v>3678</v>
      </c>
      <c r="C88" s="23"/>
      <c r="D88" s="36"/>
    </row>
    <row r="89" spans="1:4" ht="27.6" x14ac:dyDescent="0.3">
      <c r="A89" s="109" t="s">
        <v>3676</v>
      </c>
      <c r="B89" s="262" t="s">
        <v>3679</v>
      </c>
      <c r="C89" s="23"/>
      <c r="D89" s="36"/>
    </row>
    <row r="90" spans="1:4" ht="14.4" x14ac:dyDescent="0.3">
      <c r="A90" s="109" t="s">
        <v>3676</v>
      </c>
      <c r="B90" s="262" t="s">
        <v>3680</v>
      </c>
      <c r="C90" s="23"/>
      <c r="D90" s="36"/>
    </row>
    <row r="91" spans="1:4" ht="27.6" x14ac:dyDescent="0.3">
      <c r="A91" s="109" t="s">
        <v>3676</v>
      </c>
      <c r="B91" s="262" t="s">
        <v>3681</v>
      </c>
      <c r="C91" s="23"/>
      <c r="D91" s="36"/>
    </row>
    <row r="92" spans="1:4" ht="14.4" x14ac:dyDescent="0.3">
      <c r="A92" s="109" t="s">
        <v>3676</v>
      </c>
      <c r="B92" s="262" t="s">
        <v>3682</v>
      </c>
      <c r="C92" s="23"/>
      <c r="D92" s="36"/>
    </row>
    <row r="93" spans="1:4" ht="14.4" x14ac:dyDescent="0.3">
      <c r="A93" s="109" t="s">
        <v>3676</v>
      </c>
      <c r="B93" s="262" t="s">
        <v>3683</v>
      </c>
      <c r="C93" s="23"/>
      <c r="D93" s="36"/>
    </row>
    <row r="94" spans="1:4" ht="14.4" x14ac:dyDescent="0.3">
      <c r="A94" s="109" t="s">
        <v>3676</v>
      </c>
      <c r="B94" s="262" t="s">
        <v>3685</v>
      </c>
      <c r="C94" s="23"/>
      <c r="D94" s="36"/>
    </row>
    <row r="95" spans="1:4" ht="14.4" x14ac:dyDescent="0.3">
      <c r="A95" s="109" t="s">
        <v>3676</v>
      </c>
      <c r="B95" s="262" t="s">
        <v>3687</v>
      </c>
      <c r="C95" s="23"/>
      <c r="D95" s="36"/>
    </row>
    <row r="96" spans="1:4" ht="14.4" x14ac:dyDescent="0.3">
      <c r="A96" s="109" t="s">
        <v>3676</v>
      </c>
      <c r="B96" s="262" t="s">
        <v>3688</v>
      </c>
      <c r="C96" s="23"/>
      <c r="D96" s="36"/>
    </row>
    <row r="97" spans="1:4" ht="27.6" x14ac:dyDescent="0.3">
      <c r="A97" s="109" t="s">
        <v>3676</v>
      </c>
      <c r="B97" s="262" t="s">
        <v>3689</v>
      </c>
      <c r="C97" s="23"/>
      <c r="D97" s="36"/>
    </row>
    <row r="98" spans="1:4" ht="14.4" x14ac:dyDescent="0.3">
      <c r="A98" s="109" t="s">
        <v>3676</v>
      </c>
      <c r="B98" s="262" t="s">
        <v>3691</v>
      </c>
      <c r="C98" s="23"/>
      <c r="D98" s="36"/>
    </row>
    <row r="99" spans="1:4" ht="14.4" x14ac:dyDescent="0.3">
      <c r="A99" s="109" t="s">
        <v>3676</v>
      </c>
      <c r="B99" s="262" t="s">
        <v>3692</v>
      </c>
      <c r="C99" s="23"/>
      <c r="D99" s="36"/>
    </row>
    <row r="100" spans="1:4" ht="14.4" x14ac:dyDescent="0.3">
      <c r="A100" s="109" t="s">
        <v>3676</v>
      </c>
      <c r="B100" s="262" t="s">
        <v>3693</v>
      </c>
      <c r="C100" s="23"/>
      <c r="D100" s="36"/>
    </row>
    <row r="101" spans="1:4" ht="14.4" x14ac:dyDescent="0.3">
      <c r="A101" s="109" t="s">
        <v>3676</v>
      </c>
      <c r="B101" s="262" t="s">
        <v>3695</v>
      </c>
      <c r="C101" s="23"/>
      <c r="D101" s="36"/>
    </row>
    <row r="102" spans="1:4" ht="14.4" x14ac:dyDescent="0.3">
      <c r="A102" s="109" t="s">
        <v>3676</v>
      </c>
      <c r="B102" s="262" t="s">
        <v>3696</v>
      </c>
      <c r="C102" s="23"/>
      <c r="D102" s="36"/>
    </row>
    <row r="103" spans="1:4" ht="27.6" x14ac:dyDescent="0.3">
      <c r="A103" s="109" t="s">
        <v>3676</v>
      </c>
      <c r="B103" s="262" t="s">
        <v>3697</v>
      </c>
      <c r="C103" s="23"/>
      <c r="D103" s="36"/>
    </row>
    <row r="104" spans="1:4" ht="14.4" x14ac:dyDescent="0.3">
      <c r="A104" s="109" t="s">
        <v>3676</v>
      </c>
      <c r="B104" s="262" t="s">
        <v>3699</v>
      </c>
      <c r="C104" s="23"/>
      <c r="D104" s="36"/>
    </row>
    <row r="105" spans="1:4" ht="27.6" x14ac:dyDescent="0.3">
      <c r="A105" s="109" t="s">
        <v>3676</v>
      </c>
      <c r="B105" s="262" t="s">
        <v>3701</v>
      </c>
      <c r="C105" s="23"/>
      <c r="D105" s="36"/>
    </row>
    <row r="106" spans="1:4" ht="14.4" x14ac:dyDescent="0.3">
      <c r="A106" s="109" t="s">
        <v>3676</v>
      </c>
      <c r="B106" s="262" t="s">
        <v>3703</v>
      </c>
      <c r="C106" s="23"/>
      <c r="D106" s="36"/>
    </row>
    <row r="107" spans="1:4" ht="14.4" x14ac:dyDescent="0.3">
      <c r="A107" s="109" t="s">
        <v>3676</v>
      </c>
      <c r="B107" s="262" t="s">
        <v>3705</v>
      </c>
      <c r="C107" s="23"/>
      <c r="D107" s="36"/>
    </row>
    <row r="108" spans="1:4" ht="27.6" x14ac:dyDescent="0.3">
      <c r="A108" s="109" t="s">
        <v>3676</v>
      </c>
      <c r="B108" s="262" t="s">
        <v>3706</v>
      </c>
      <c r="C108" s="23"/>
      <c r="D108" s="36"/>
    </row>
    <row r="109" spans="1:4" ht="14.4" x14ac:dyDescent="0.3">
      <c r="A109" s="109" t="s">
        <v>3676</v>
      </c>
      <c r="B109" s="262" t="s">
        <v>3708</v>
      </c>
      <c r="C109" s="23"/>
      <c r="D109" s="36"/>
    </row>
    <row r="110" spans="1:4" ht="14.4" x14ac:dyDescent="0.3">
      <c r="A110" s="109" t="s">
        <v>3676</v>
      </c>
      <c r="B110" s="262" t="s">
        <v>3709</v>
      </c>
      <c r="C110" s="23"/>
      <c r="D110" s="36"/>
    </row>
    <row r="111" spans="1:4" ht="14.4" x14ac:dyDescent="0.3">
      <c r="A111" s="109" t="s">
        <v>3676</v>
      </c>
      <c r="B111" s="262" t="s">
        <v>3710</v>
      </c>
      <c r="C111" s="23"/>
      <c r="D111" s="36"/>
    </row>
    <row r="112" spans="1:4" ht="14.4" x14ac:dyDescent="0.3">
      <c r="A112" s="259" t="s">
        <v>3676</v>
      </c>
      <c r="B112" s="32" t="s">
        <v>3712</v>
      </c>
      <c r="C112" s="31"/>
      <c r="D112" s="31"/>
    </row>
    <row r="113" spans="1:4" ht="14.4" x14ac:dyDescent="0.3">
      <c r="A113" s="109" t="s">
        <v>3676</v>
      </c>
      <c r="B113" s="262" t="s">
        <v>3714</v>
      </c>
      <c r="C113" s="23"/>
      <c r="D113" s="36"/>
    </row>
    <row r="114" spans="1:4" ht="14.4" x14ac:dyDescent="0.3">
      <c r="A114" s="109" t="s">
        <v>3676</v>
      </c>
      <c r="B114" s="262" t="s">
        <v>3715</v>
      </c>
      <c r="C114" s="23"/>
      <c r="D114" s="36"/>
    </row>
    <row r="115" spans="1:4" ht="14.4" x14ac:dyDescent="0.3">
      <c r="A115" s="109" t="s">
        <v>3676</v>
      </c>
      <c r="B115" s="262" t="s">
        <v>3716</v>
      </c>
      <c r="C115" s="23"/>
      <c r="D115" s="36"/>
    </row>
    <row r="116" spans="1:4" ht="41.4" x14ac:dyDescent="0.3">
      <c r="A116" s="109" t="s">
        <v>3676</v>
      </c>
      <c r="B116" s="262" t="s">
        <v>3717</v>
      </c>
      <c r="C116" s="23"/>
      <c r="D116" s="36"/>
    </row>
    <row r="117" spans="1:4" ht="14.4" x14ac:dyDescent="0.3">
      <c r="A117" s="109" t="s">
        <v>3676</v>
      </c>
      <c r="B117" s="262" t="s">
        <v>3719</v>
      </c>
      <c r="C117" s="23"/>
      <c r="D117" s="36"/>
    </row>
    <row r="118" spans="1:4" ht="55.2" x14ac:dyDescent="0.3">
      <c r="A118" s="109" t="s">
        <v>3676</v>
      </c>
      <c r="B118" s="262" t="s">
        <v>3721</v>
      </c>
      <c r="C118" s="23"/>
      <c r="D118" s="36"/>
    </row>
    <row r="119" spans="1:4" ht="14.4" x14ac:dyDescent="0.3">
      <c r="A119" s="109" t="s">
        <v>3676</v>
      </c>
      <c r="B119" s="262" t="s">
        <v>3722</v>
      </c>
      <c r="C119" s="23"/>
      <c r="D119" s="36"/>
    </row>
    <row r="120" spans="1:4" ht="27.6" x14ac:dyDescent="0.3">
      <c r="A120" s="109" t="s">
        <v>3676</v>
      </c>
      <c r="B120" s="262" t="s">
        <v>3724</v>
      </c>
      <c r="C120" s="23"/>
      <c r="D120" s="36"/>
    </row>
    <row r="121" spans="1:4" ht="14.4" x14ac:dyDescent="0.3">
      <c r="A121" s="109" t="s">
        <v>3676</v>
      </c>
      <c r="B121" s="262" t="s">
        <v>3726</v>
      </c>
      <c r="C121" s="23"/>
      <c r="D121" s="36"/>
    </row>
    <row r="122" spans="1:4" ht="27.6" x14ac:dyDescent="0.3">
      <c r="A122" s="109" t="s">
        <v>3676</v>
      </c>
      <c r="B122" s="262" t="s">
        <v>3728</v>
      </c>
      <c r="C122" s="23"/>
      <c r="D122" s="36"/>
    </row>
    <row r="123" spans="1:4" ht="14.4" x14ac:dyDescent="0.3">
      <c r="A123" s="109" t="s">
        <v>3676</v>
      </c>
      <c r="B123" s="262" t="s">
        <v>3730</v>
      </c>
      <c r="C123" s="23"/>
      <c r="D123" s="36"/>
    </row>
    <row r="124" spans="1:4" ht="14.4" x14ac:dyDescent="0.3">
      <c r="A124" s="109" t="s">
        <v>3676</v>
      </c>
      <c r="B124" s="262" t="s">
        <v>3731</v>
      </c>
      <c r="C124" s="23"/>
      <c r="D124" s="36"/>
    </row>
    <row r="125" spans="1:4" ht="14.4" x14ac:dyDescent="0.3">
      <c r="A125" s="259" t="s">
        <v>3676</v>
      </c>
      <c r="B125" s="32" t="s">
        <v>3732</v>
      </c>
      <c r="C125" s="31"/>
      <c r="D125" s="31"/>
    </row>
    <row r="126" spans="1:4" ht="14.4" x14ac:dyDescent="0.3">
      <c r="A126" s="109" t="s">
        <v>3676</v>
      </c>
      <c r="B126" s="262" t="s">
        <v>3734</v>
      </c>
      <c r="C126" s="23"/>
      <c r="D126" s="36"/>
    </row>
    <row r="127" spans="1:4" ht="14.4" x14ac:dyDescent="0.3">
      <c r="A127" s="109" t="s">
        <v>3676</v>
      </c>
      <c r="B127" s="262" t="s">
        <v>3736</v>
      </c>
      <c r="C127" s="23"/>
      <c r="D127" s="36"/>
    </row>
    <row r="128" spans="1:4" ht="14.4" x14ac:dyDescent="0.3">
      <c r="A128" s="109" t="s">
        <v>3676</v>
      </c>
      <c r="B128" s="262" t="s">
        <v>3738</v>
      </c>
      <c r="C128" s="23"/>
      <c r="D128" s="36"/>
    </row>
    <row r="129" spans="1:4" ht="14.4" x14ac:dyDescent="0.3">
      <c r="A129" s="109" t="s">
        <v>3676</v>
      </c>
      <c r="B129" s="262" t="s">
        <v>3739</v>
      </c>
      <c r="C129" s="23"/>
      <c r="D129" s="36"/>
    </row>
    <row r="130" spans="1:4" ht="14.4" x14ac:dyDescent="0.3">
      <c r="A130" s="109" t="s">
        <v>3676</v>
      </c>
      <c r="B130" s="262" t="s">
        <v>3741</v>
      </c>
      <c r="C130" s="23"/>
      <c r="D130" s="36"/>
    </row>
    <row r="131" spans="1:4" ht="14.4" x14ac:dyDescent="0.3">
      <c r="A131" s="109" t="s">
        <v>3676</v>
      </c>
      <c r="B131" s="262" t="s">
        <v>3743</v>
      </c>
      <c r="C131" s="23"/>
      <c r="D131" s="36"/>
    </row>
    <row r="132" spans="1:4" ht="27.6" x14ac:dyDescent="0.3">
      <c r="A132" s="109" t="s">
        <v>3676</v>
      </c>
      <c r="B132" s="262" t="s">
        <v>3745</v>
      </c>
      <c r="C132" s="23"/>
      <c r="D132" s="36"/>
    </row>
    <row r="133" spans="1:4" ht="14.4" x14ac:dyDescent="0.3">
      <c r="A133" s="109" t="s">
        <v>3676</v>
      </c>
      <c r="B133" s="262" t="s">
        <v>3747</v>
      </c>
      <c r="C133" s="23"/>
      <c r="D133" s="36"/>
    </row>
    <row r="134" spans="1:4" ht="14.4" x14ac:dyDescent="0.3">
      <c r="A134" s="109" t="s">
        <v>3676</v>
      </c>
      <c r="B134" s="262" t="s">
        <v>3749</v>
      </c>
      <c r="C134" s="23"/>
      <c r="D134" s="36"/>
    </row>
    <row r="135" spans="1:4" ht="14.4" x14ac:dyDescent="0.3">
      <c r="A135" s="109" t="s">
        <v>3676</v>
      </c>
      <c r="B135" s="262" t="s">
        <v>3751</v>
      </c>
      <c r="C135" s="23"/>
      <c r="D135" s="36"/>
    </row>
    <row r="136" spans="1:4" ht="14.4" x14ac:dyDescent="0.3">
      <c r="A136" s="109" t="s">
        <v>3676</v>
      </c>
      <c r="B136" s="262" t="s">
        <v>3753</v>
      </c>
      <c r="C136" s="23"/>
      <c r="D136" s="36"/>
    </row>
    <row r="137" spans="1:4" ht="55.2" x14ac:dyDescent="0.3">
      <c r="A137" s="109" t="s">
        <v>3676</v>
      </c>
      <c r="B137" s="262" t="s">
        <v>3755</v>
      </c>
      <c r="C137" s="23"/>
      <c r="D137" s="36"/>
    </row>
    <row r="138" spans="1:4" ht="55.2" x14ac:dyDescent="0.3">
      <c r="A138" s="109" t="s">
        <v>3676</v>
      </c>
      <c r="B138" s="262" t="s">
        <v>3756</v>
      </c>
      <c r="C138" s="23"/>
      <c r="D138" s="36"/>
    </row>
    <row r="139" spans="1:4" ht="14.4" x14ac:dyDescent="0.3">
      <c r="A139" s="259" t="s">
        <v>3676</v>
      </c>
      <c r="B139" s="32" t="s">
        <v>3758</v>
      </c>
      <c r="C139" s="31"/>
      <c r="D139" s="31"/>
    </row>
    <row r="140" spans="1:4" ht="27.6" x14ac:dyDescent="0.3">
      <c r="A140" s="109" t="s">
        <v>3676</v>
      </c>
      <c r="B140" s="262" t="s">
        <v>3760</v>
      </c>
      <c r="C140" s="23"/>
      <c r="D140" s="36"/>
    </row>
    <row r="141" spans="1:4" ht="27.6" x14ac:dyDescent="0.3">
      <c r="A141" s="109" t="s">
        <v>3676</v>
      </c>
      <c r="B141" s="262" t="s">
        <v>3761</v>
      </c>
      <c r="C141" s="23"/>
      <c r="D141" s="36"/>
    </row>
    <row r="142" spans="1:4" ht="27.6" x14ac:dyDescent="0.3">
      <c r="A142" s="109" t="s">
        <v>3676</v>
      </c>
      <c r="B142" s="262" t="s">
        <v>3763</v>
      </c>
      <c r="C142" s="23"/>
      <c r="D142" s="36"/>
    </row>
    <row r="143" spans="1:4" ht="14.4" x14ac:dyDescent="0.3">
      <c r="A143" s="259" t="s">
        <v>3676</v>
      </c>
      <c r="B143" s="32" t="s">
        <v>1145</v>
      </c>
      <c r="C143" s="31"/>
      <c r="D143" s="31"/>
    </row>
    <row r="144" spans="1:4" ht="14.4" x14ac:dyDescent="0.3">
      <c r="A144" s="109" t="s">
        <v>3676</v>
      </c>
      <c r="B144" s="262" t="s">
        <v>3766</v>
      </c>
      <c r="C144" s="23"/>
      <c r="D144" s="36"/>
    </row>
    <row r="145" spans="1:4" ht="14.4" x14ac:dyDescent="0.3">
      <c r="A145" s="259" t="s">
        <v>3768</v>
      </c>
      <c r="B145" s="32" t="s">
        <v>3769</v>
      </c>
      <c r="C145" s="31"/>
      <c r="D145" s="31"/>
    </row>
    <row r="146" spans="1:4" ht="27.6" x14ac:dyDescent="0.3">
      <c r="A146" s="259" t="s">
        <v>3768</v>
      </c>
      <c r="B146" s="32" t="s">
        <v>3677</v>
      </c>
      <c r="C146" s="31"/>
      <c r="D146" s="31"/>
    </row>
    <row r="147" spans="1:4" ht="55.2" x14ac:dyDescent="0.3">
      <c r="A147" s="109" t="s">
        <v>3768</v>
      </c>
      <c r="B147" s="262" t="s">
        <v>3771</v>
      </c>
      <c r="C147" s="23"/>
      <c r="D147" s="36"/>
    </row>
    <row r="148" spans="1:4" ht="14.4" x14ac:dyDescent="0.3">
      <c r="A148" s="259" t="s">
        <v>3768</v>
      </c>
      <c r="B148" s="32" t="s">
        <v>3595</v>
      </c>
      <c r="C148" s="31"/>
      <c r="D148" s="31"/>
    </row>
    <row r="149" spans="1:4" ht="14.4" x14ac:dyDescent="0.3">
      <c r="A149" s="259" t="s">
        <v>3768</v>
      </c>
      <c r="B149" s="32" t="s">
        <v>1136</v>
      </c>
      <c r="C149" s="31"/>
      <c r="D149" s="31"/>
    </row>
    <row r="150" spans="1:4" ht="27.6" x14ac:dyDescent="0.3">
      <c r="A150" s="109" t="s">
        <v>3768</v>
      </c>
      <c r="B150" s="262" t="s">
        <v>3773</v>
      </c>
      <c r="C150" s="23"/>
      <c r="D150" s="36"/>
    </row>
    <row r="151" spans="1:4" ht="27.6" x14ac:dyDescent="0.3">
      <c r="A151" s="109" t="s">
        <v>3768</v>
      </c>
      <c r="B151" s="262" t="s">
        <v>3774</v>
      </c>
      <c r="C151" s="23"/>
      <c r="D151" s="36"/>
    </row>
    <row r="152" spans="1:4" ht="27.6" x14ac:dyDescent="0.3">
      <c r="A152" s="109" t="s">
        <v>3768</v>
      </c>
      <c r="B152" s="262" t="s">
        <v>3775</v>
      </c>
      <c r="C152" s="23"/>
      <c r="D152" s="36"/>
    </row>
    <row r="153" spans="1:4" ht="41.4" x14ac:dyDescent="0.3">
      <c r="A153" s="109" t="s">
        <v>3768</v>
      </c>
      <c r="B153" s="262" t="s">
        <v>3777</v>
      </c>
      <c r="C153" s="23"/>
      <c r="D153" s="36"/>
    </row>
    <row r="154" spans="1:4" ht="14.4" x14ac:dyDescent="0.3">
      <c r="A154" s="259" t="s">
        <v>3768</v>
      </c>
      <c r="B154" s="32" t="s">
        <v>3778</v>
      </c>
      <c r="C154" s="31"/>
      <c r="D154" s="31"/>
    </row>
    <row r="155" spans="1:4" ht="14.4" x14ac:dyDescent="0.3">
      <c r="A155" s="109" t="s">
        <v>3768</v>
      </c>
      <c r="B155" s="262" t="s">
        <v>3780</v>
      </c>
      <c r="C155" s="23"/>
      <c r="D155" s="36"/>
    </row>
    <row r="156" spans="1:4" ht="14.4" x14ac:dyDescent="0.3">
      <c r="A156" s="259" t="s">
        <v>3768</v>
      </c>
      <c r="B156" s="32" t="s">
        <v>3758</v>
      </c>
      <c r="C156" s="31"/>
      <c r="D156" s="31"/>
    </row>
    <row r="157" spans="1:4" ht="55.2" x14ac:dyDescent="0.3">
      <c r="A157" s="109" t="s">
        <v>3768</v>
      </c>
      <c r="B157" s="262" t="s">
        <v>3781</v>
      </c>
      <c r="C157" s="23"/>
      <c r="D157" s="36"/>
    </row>
    <row r="158" spans="1:4" ht="14.4" x14ac:dyDescent="0.3">
      <c r="A158" s="259" t="s">
        <v>3768</v>
      </c>
      <c r="B158" s="32" t="s">
        <v>1145</v>
      </c>
      <c r="C158" s="31"/>
      <c r="D158" s="31"/>
    </row>
    <row r="159" spans="1:4" ht="14.4" x14ac:dyDescent="0.3">
      <c r="A159" s="109" t="s">
        <v>3768</v>
      </c>
      <c r="B159" s="262" t="s">
        <v>2432</v>
      </c>
      <c r="C159" s="23"/>
      <c r="D159" s="36"/>
    </row>
    <row r="160" spans="1:4" ht="14.4" x14ac:dyDescent="0.3">
      <c r="A160" s="259" t="s">
        <v>3785</v>
      </c>
      <c r="B160" s="32" t="s">
        <v>3595</v>
      </c>
      <c r="C160" s="31"/>
      <c r="D160" s="31"/>
    </row>
    <row r="161" spans="1:4" ht="27.6" x14ac:dyDescent="0.3">
      <c r="A161" s="259" t="s">
        <v>3785</v>
      </c>
      <c r="B161" s="32" t="s">
        <v>3677</v>
      </c>
      <c r="C161" s="31"/>
      <c r="D161" s="31"/>
    </row>
    <row r="162" spans="1:4" ht="27.6" x14ac:dyDescent="0.3">
      <c r="A162" s="109" t="s">
        <v>3785</v>
      </c>
      <c r="B162" s="262" t="s">
        <v>3788</v>
      </c>
      <c r="C162" s="23"/>
      <c r="D162" s="36"/>
    </row>
    <row r="163" spans="1:4" ht="14.4" x14ac:dyDescent="0.3">
      <c r="A163" s="109" t="s">
        <v>3785</v>
      </c>
      <c r="B163" s="262" t="s">
        <v>3789</v>
      </c>
      <c r="C163" s="23"/>
      <c r="D163" s="36"/>
    </row>
    <row r="164" spans="1:4" ht="14.4" x14ac:dyDescent="0.3">
      <c r="A164" s="109" t="s">
        <v>3785</v>
      </c>
      <c r="B164" s="262" t="s">
        <v>3791</v>
      </c>
      <c r="C164" s="23"/>
      <c r="D164" s="36"/>
    </row>
    <row r="165" spans="1:4" ht="14.4" x14ac:dyDescent="0.3">
      <c r="A165" s="109" t="s">
        <v>3785</v>
      </c>
      <c r="B165" s="262" t="s">
        <v>3793</v>
      </c>
      <c r="C165" s="23"/>
      <c r="D165" s="36"/>
    </row>
    <row r="166" spans="1:4" ht="14.4" x14ac:dyDescent="0.3">
      <c r="A166" s="109" t="s">
        <v>3785</v>
      </c>
      <c r="B166" s="262" t="s">
        <v>3795</v>
      </c>
      <c r="C166" s="23"/>
      <c r="D166" s="36"/>
    </row>
    <row r="167" spans="1:4" ht="14.4" x14ac:dyDescent="0.3">
      <c r="A167" s="109" t="s">
        <v>3785</v>
      </c>
      <c r="B167" s="262" t="s">
        <v>3796</v>
      </c>
      <c r="C167" s="23"/>
      <c r="D167" s="36"/>
    </row>
    <row r="168" spans="1:4" ht="14.4" x14ac:dyDescent="0.3">
      <c r="A168" s="109" t="s">
        <v>3785</v>
      </c>
      <c r="B168" s="262" t="s">
        <v>3798</v>
      </c>
      <c r="C168" s="23"/>
      <c r="D168" s="36"/>
    </row>
    <row r="169" spans="1:4" ht="14.4" x14ac:dyDescent="0.3">
      <c r="A169" s="109" t="s">
        <v>3785</v>
      </c>
      <c r="B169" s="262" t="s">
        <v>3800</v>
      </c>
      <c r="C169" s="23"/>
      <c r="D169" s="36"/>
    </row>
    <row r="170" spans="1:4" ht="14.4" x14ac:dyDescent="0.3">
      <c r="A170" s="109" t="s">
        <v>3785</v>
      </c>
      <c r="B170" s="262" t="s">
        <v>3802</v>
      </c>
      <c r="C170" s="23"/>
      <c r="D170" s="36"/>
    </row>
    <row r="171" spans="1:4" ht="14.4" x14ac:dyDescent="0.3">
      <c r="A171" s="109" t="s">
        <v>3785</v>
      </c>
      <c r="B171" s="262" t="s">
        <v>3803</v>
      </c>
      <c r="C171" s="23"/>
      <c r="D171" s="36"/>
    </row>
    <row r="172" spans="1:4" ht="14.4" x14ac:dyDescent="0.3">
      <c r="A172" s="109" t="s">
        <v>3785</v>
      </c>
      <c r="B172" s="262" t="s">
        <v>3805</v>
      </c>
      <c r="C172" s="23"/>
      <c r="D172" s="36"/>
    </row>
    <row r="173" spans="1:4" ht="14.4" x14ac:dyDescent="0.3">
      <c r="A173" s="109" t="s">
        <v>3785</v>
      </c>
      <c r="B173" s="262" t="s">
        <v>3807</v>
      </c>
      <c r="C173" s="23"/>
      <c r="D173" s="36"/>
    </row>
    <row r="174" spans="1:4" ht="14.4" x14ac:dyDescent="0.3">
      <c r="A174" s="109" t="s">
        <v>3785</v>
      </c>
      <c r="B174" s="262" t="s">
        <v>3809</v>
      </c>
      <c r="C174" s="23"/>
      <c r="D174" s="36"/>
    </row>
    <row r="175" spans="1:4" ht="14.4" x14ac:dyDescent="0.3">
      <c r="A175" s="109" t="s">
        <v>3785</v>
      </c>
      <c r="B175" s="262" t="s">
        <v>3811</v>
      </c>
      <c r="C175" s="23"/>
      <c r="D175" s="36"/>
    </row>
    <row r="176" spans="1:4" ht="14.4" x14ac:dyDescent="0.3">
      <c r="A176" s="109" t="s">
        <v>3785</v>
      </c>
      <c r="B176" s="262" t="s">
        <v>3812</v>
      </c>
      <c r="C176" s="23"/>
      <c r="D176" s="36"/>
    </row>
    <row r="177" spans="1:4" ht="27.6" x14ac:dyDescent="0.3">
      <c r="A177" s="109" t="s">
        <v>3785</v>
      </c>
      <c r="B177" s="262" t="s">
        <v>3814</v>
      </c>
      <c r="C177" s="23"/>
      <c r="D177" s="36"/>
    </row>
    <row r="178" spans="1:4" ht="27.6" x14ac:dyDescent="0.3">
      <c r="A178" s="109" t="s">
        <v>3785</v>
      </c>
      <c r="B178" s="262" t="s">
        <v>3816</v>
      </c>
      <c r="C178" s="23"/>
      <c r="D178" s="36"/>
    </row>
    <row r="179" spans="1:4" ht="41.4" x14ac:dyDescent="0.3">
      <c r="A179" s="109" t="s">
        <v>3785</v>
      </c>
      <c r="B179" s="262" t="s">
        <v>3817</v>
      </c>
      <c r="C179" s="23"/>
      <c r="D179" s="36"/>
    </row>
    <row r="180" spans="1:4" ht="41.4" x14ac:dyDescent="0.3">
      <c r="A180" s="109" t="s">
        <v>3785</v>
      </c>
      <c r="B180" s="262" t="s">
        <v>3819</v>
      </c>
      <c r="C180" s="23"/>
      <c r="D180" s="36"/>
    </row>
    <row r="181" spans="1:4" ht="27.6" x14ac:dyDescent="0.3">
      <c r="A181" s="109" t="s">
        <v>3785</v>
      </c>
      <c r="B181" s="262" t="s">
        <v>3820</v>
      </c>
      <c r="C181" s="23"/>
      <c r="D181" s="36"/>
    </row>
    <row r="182" spans="1:4" ht="41.4" x14ac:dyDescent="0.3">
      <c r="A182" s="109" t="s">
        <v>3785</v>
      </c>
      <c r="B182" s="262" t="s">
        <v>3822</v>
      </c>
      <c r="C182" s="23"/>
      <c r="D182" s="36"/>
    </row>
    <row r="183" spans="1:4" ht="14.4" x14ac:dyDescent="0.3">
      <c r="A183" s="259" t="s">
        <v>3785</v>
      </c>
      <c r="B183" s="32" t="s">
        <v>3668</v>
      </c>
      <c r="C183" s="31"/>
      <c r="D183" s="31"/>
    </row>
    <row r="184" spans="1:4" ht="41.4" x14ac:dyDescent="0.3">
      <c r="A184" s="109" t="s">
        <v>3785</v>
      </c>
      <c r="B184" s="262" t="s">
        <v>3824</v>
      </c>
      <c r="C184" s="23"/>
      <c r="D184" s="36"/>
    </row>
    <row r="185" spans="1:4" ht="14.4" x14ac:dyDescent="0.3">
      <c r="A185" s="109" t="s">
        <v>3785</v>
      </c>
      <c r="B185" s="262" t="s">
        <v>3826</v>
      </c>
      <c r="C185" s="23"/>
      <c r="D185" s="36"/>
    </row>
    <row r="186" spans="1:4" ht="14.4" x14ac:dyDescent="0.3">
      <c r="A186" s="109" t="s">
        <v>3785</v>
      </c>
      <c r="B186" s="262" t="s">
        <v>3827</v>
      </c>
      <c r="C186" s="23"/>
      <c r="D186" s="36"/>
    </row>
    <row r="187" spans="1:4" ht="14.4" x14ac:dyDescent="0.3">
      <c r="A187" s="109" t="s">
        <v>3785</v>
      </c>
      <c r="B187" s="262" t="s">
        <v>3829</v>
      </c>
      <c r="C187" s="23"/>
      <c r="D187" s="36"/>
    </row>
    <row r="188" spans="1:4" ht="41.4" x14ac:dyDescent="0.3">
      <c r="A188" s="109" t="s">
        <v>3785</v>
      </c>
      <c r="B188" s="262" t="s">
        <v>3831</v>
      </c>
      <c r="C188" s="23"/>
      <c r="D188" s="36"/>
    </row>
    <row r="189" spans="1:4" ht="27.6" x14ac:dyDescent="0.3">
      <c r="A189" s="109" t="s">
        <v>3785</v>
      </c>
      <c r="B189" s="262" t="s">
        <v>3832</v>
      </c>
      <c r="C189" s="23"/>
      <c r="D189" s="36"/>
    </row>
    <row r="190" spans="1:4" ht="14.4" x14ac:dyDescent="0.3">
      <c r="A190" s="109" t="s">
        <v>3785</v>
      </c>
      <c r="B190" s="262" t="s">
        <v>3835</v>
      </c>
      <c r="C190" s="23"/>
      <c r="D190" s="36"/>
    </row>
    <row r="191" spans="1:4" ht="14.4" x14ac:dyDescent="0.3">
      <c r="A191" s="259" t="s">
        <v>3785</v>
      </c>
      <c r="B191" s="32" t="s">
        <v>1145</v>
      </c>
      <c r="C191" s="31"/>
      <c r="D191" s="31"/>
    </row>
    <row r="192" spans="1:4" ht="14.4" x14ac:dyDescent="0.3">
      <c r="A192" s="109" t="s">
        <v>3785</v>
      </c>
      <c r="B192" s="262" t="s">
        <v>1276</v>
      </c>
      <c r="C192" s="23"/>
      <c r="D192" s="36"/>
    </row>
    <row r="193" spans="1:4" ht="14.4" x14ac:dyDescent="0.3">
      <c r="A193" s="259" t="s">
        <v>3836</v>
      </c>
      <c r="B193" s="32" t="s">
        <v>3595</v>
      </c>
      <c r="C193" s="31"/>
      <c r="D193" s="31"/>
    </row>
    <row r="194" spans="1:4" ht="27.6" x14ac:dyDescent="0.3">
      <c r="A194" s="259" t="s">
        <v>3836</v>
      </c>
      <c r="B194" s="32" t="s">
        <v>3677</v>
      </c>
      <c r="C194" s="31"/>
      <c r="D194" s="31"/>
    </row>
    <row r="195" spans="1:4" ht="27.6" x14ac:dyDescent="0.3">
      <c r="A195" s="109" t="s">
        <v>3836</v>
      </c>
      <c r="B195" s="262" t="s">
        <v>3840</v>
      </c>
      <c r="C195" s="23"/>
      <c r="D195" s="36"/>
    </row>
    <row r="196" spans="1:4" ht="14.4" x14ac:dyDescent="0.3">
      <c r="A196" s="109" t="s">
        <v>3836</v>
      </c>
      <c r="B196" s="262" t="s">
        <v>3841</v>
      </c>
      <c r="C196" s="23"/>
      <c r="D196" s="36"/>
    </row>
    <row r="197" spans="1:4" ht="14.4" x14ac:dyDescent="0.3">
      <c r="A197" s="109" t="s">
        <v>3836</v>
      </c>
      <c r="B197" s="110" t="s">
        <v>3842</v>
      </c>
      <c r="C197" s="23"/>
      <c r="D197" s="36"/>
    </row>
    <row r="198" spans="1:4" ht="27.6" x14ac:dyDescent="0.3">
      <c r="A198" s="109" t="s">
        <v>3836</v>
      </c>
      <c r="B198" s="110" t="s">
        <v>3844</v>
      </c>
      <c r="C198" s="23"/>
      <c r="D198" s="36"/>
    </row>
    <row r="199" spans="1:4" ht="69" x14ac:dyDescent="0.3">
      <c r="A199" s="109" t="s">
        <v>3836</v>
      </c>
      <c r="B199" s="110" t="s">
        <v>3845</v>
      </c>
      <c r="C199" s="23"/>
      <c r="D199" s="36"/>
    </row>
    <row r="200" spans="1:4" ht="41.4" x14ac:dyDescent="0.3">
      <c r="A200" s="109" t="s">
        <v>3836</v>
      </c>
      <c r="B200" s="110" t="s">
        <v>3847</v>
      </c>
      <c r="C200" s="23"/>
      <c r="D200" s="36"/>
    </row>
    <row r="201" spans="1:4" ht="14.4" x14ac:dyDescent="0.3">
      <c r="A201" s="109" t="s">
        <v>3836</v>
      </c>
      <c r="B201" s="110" t="s">
        <v>3848</v>
      </c>
      <c r="C201" s="23"/>
      <c r="D201" s="36"/>
    </row>
    <row r="202" spans="1:4" ht="27.6" x14ac:dyDescent="0.3">
      <c r="A202" s="109" t="s">
        <v>3836</v>
      </c>
      <c r="B202" s="110" t="s">
        <v>3849</v>
      </c>
      <c r="C202" s="23"/>
      <c r="D202" s="36"/>
    </row>
    <row r="203" spans="1:4" ht="41.4" x14ac:dyDescent="0.3">
      <c r="A203" s="109" t="s">
        <v>3836</v>
      </c>
      <c r="B203" s="110" t="s">
        <v>3852</v>
      </c>
      <c r="C203" s="23"/>
      <c r="D203" s="36"/>
    </row>
    <row r="204" spans="1:4" ht="41.4" x14ac:dyDescent="0.3">
      <c r="A204" s="109" t="s">
        <v>3836</v>
      </c>
      <c r="B204" s="110" t="s">
        <v>3853</v>
      </c>
      <c r="C204" s="23"/>
      <c r="D204" s="36"/>
    </row>
    <row r="205" spans="1:4" ht="27.6" x14ac:dyDescent="0.3">
      <c r="A205" s="109" t="s">
        <v>3836</v>
      </c>
      <c r="B205" s="110" t="s">
        <v>3854</v>
      </c>
      <c r="C205" s="23"/>
      <c r="D205" s="36"/>
    </row>
    <row r="206" spans="1:4" ht="27.6" x14ac:dyDescent="0.3">
      <c r="A206" s="109" t="s">
        <v>3836</v>
      </c>
      <c r="B206" s="110" t="s">
        <v>3856</v>
      </c>
      <c r="C206" s="23"/>
      <c r="D206" s="36"/>
    </row>
    <row r="207" spans="1:4" ht="14.4" x14ac:dyDescent="0.3">
      <c r="A207" s="259" t="s">
        <v>3836</v>
      </c>
      <c r="B207" s="32" t="s">
        <v>3858</v>
      </c>
      <c r="C207" s="31"/>
      <c r="D207" s="31"/>
    </row>
    <row r="208" spans="1:4" ht="14.4" x14ac:dyDescent="0.3">
      <c r="A208" s="109" t="s">
        <v>3836</v>
      </c>
      <c r="B208" s="262" t="s">
        <v>2375</v>
      </c>
      <c r="C208" s="23"/>
      <c r="D208" s="36"/>
    </row>
    <row r="209" spans="1:4" ht="14.4" x14ac:dyDescent="0.3">
      <c r="A209" s="259" t="s">
        <v>3861</v>
      </c>
      <c r="B209" s="32" t="s">
        <v>3769</v>
      </c>
      <c r="C209" s="31"/>
      <c r="D209" s="31"/>
    </row>
    <row r="210" spans="1:4" ht="14.4" x14ac:dyDescent="0.3">
      <c r="A210" s="259" t="s">
        <v>3861</v>
      </c>
      <c r="B210" s="32" t="s">
        <v>3863</v>
      </c>
      <c r="C210" s="31"/>
      <c r="D210" s="31"/>
    </row>
    <row r="211" spans="1:4" ht="14.4" x14ac:dyDescent="0.3">
      <c r="A211" s="259" t="s">
        <v>3861</v>
      </c>
      <c r="B211" s="32" t="s">
        <v>3865</v>
      </c>
      <c r="C211" s="31"/>
      <c r="D211" s="31"/>
    </row>
    <row r="212" spans="1:4" ht="14.4" x14ac:dyDescent="0.3">
      <c r="A212" s="109" t="s">
        <v>3861</v>
      </c>
      <c r="B212" s="110" t="s">
        <v>3867</v>
      </c>
      <c r="C212" s="121"/>
      <c r="D212" s="36"/>
    </row>
    <row r="213" spans="1:4" ht="14.4" x14ac:dyDescent="0.3">
      <c r="A213" s="109" t="s">
        <v>3861</v>
      </c>
      <c r="B213" s="110" t="s">
        <v>3869</v>
      </c>
      <c r="C213" s="121"/>
      <c r="D213" s="36"/>
    </row>
    <row r="214" spans="1:4" ht="14.4" x14ac:dyDescent="0.3">
      <c r="A214" s="109" t="s">
        <v>3861</v>
      </c>
      <c r="B214" s="110" t="s">
        <v>3871</v>
      </c>
      <c r="C214" s="121"/>
      <c r="D214" s="36"/>
    </row>
    <row r="215" spans="1:4" ht="14.4" x14ac:dyDescent="0.3">
      <c r="A215" s="109" t="s">
        <v>3861</v>
      </c>
      <c r="B215" s="110" t="s">
        <v>3872</v>
      </c>
      <c r="C215" s="121"/>
      <c r="D215" s="36"/>
    </row>
    <row r="216" spans="1:4" ht="14.4" x14ac:dyDescent="0.3">
      <c r="A216" s="259" t="s">
        <v>3861</v>
      </c>
      <c r="B216" s="32" t="s">
        <v>3874</v>
      </c>
      <c r="C216" s="31"/>
      <c r="D216" s="31"/>
    </row>
    <row r="217" spans="1:4" ht="14.4" x14ac:dyDescent="0.3">
      <c r="A217" s="109" t="s">
        <v>3861</v>
      </c>
      <c r="B217" s="37" t="s">
        <v>3876</v>
      </c>
      <c r="C217" s="23"/>
      <c r="D217" s="36"/>
    </row>
    <row r="218" spans="1:4" ht="14.4" x14ac:dyDescent="0.3">
      <c r="A218" s="109" t="s">
        <v>3861</v>
      </c>
      <c r="B218" s="37" t="s">
        <v>3878</v>
      </c>
      <c r="C218" s="23"/>
      <c r="D218" s="36"/>
    </row>
    <row r="219" spans="1:4" ht="14.4" x14ac:dyDescent="0.3">
      <c r="A219" s="109" t="s">
        <v>3861</v>
      </c>
      <c r="B219" s="37" t="s">
        <v>3880</v>
      </c>
      <c r="C219" s="23"/>
      <c r="D219" s="36"/>
    </row>
    <row r="220" spans="1:4" ht="14.4" x14ac:dyDescent="0.3">
      <c r="A220" s="259" t="s">
        <v>3861</v>
      </c>
      <c r="B220" s="32" t="s">
        <v>3882</v>
      </c>
      <c r="C220" s="31"/>
      <c r="D220" s="31"/>
    </row>
    <row r="221" spans="1:4" ht="14.4" x14ac:dyDescent="0.3">
      <c r="A221" s="259" t="s">
        <v>3861</v>
      </c>
      <c r="B221" s="32" t="s">
        <v>3884</v>
      </c>
      <c r="C221" s="31"/>
      <c r="D221" s="31"/>
    </row>
    <row r="222" spans="1:4" ht="14.4" x14ac:dyDescent="0.3">
      <c r="A222" s="109" t="s">
        <v>3861</v>
      </c>
      <c r="B222" s="37" t="s">
        <v>3886</v>
      </c>
      <c r="C222" s="23"/>
      <c r="D222" s="36"/>
    </row>
    <row r="223" spans="1:4" ht="14.4" x14ac:dyDescent="0.3">
      <c r="A223" s="109" t="s">
        <v>3861</v>
      </c>
      <c r="B223" s="37" t="s">
        <v>3888</v>
      </c>
      <c r="C223" s="23"/>
      <c r="D223" s="36"/>
    </row>
    <row r="224" spans="1:4" ht="14.4" x14ac:dyDescent="0.3">
      <c r="A224" s="109" t="s">
        <v>3861</v>
      </c>
      <c r="B224" s="37" t="s">
        <v>3890</v>
      </c>
      <c r="C224" s="23"/>
      <c r="D224" s="36"/>
    </row>
    <row r="225" spans="1:4" ht="14.4" x14ac:dyDescent="0.3">
      <c r="A225" s="109" t="s">
        <v>3861</v>
      </c>
      <c r="B225" s="37" t="s">
        <v>3893</v>
      </c>
      <c r="C225" s="23"/>
      <c r="D225" s="36"/>
    </row>
    <row r="226" spans="1:4" ht="14.4" x14ac:dyDescent="0.3">
      <c r="A226" s="259" t="s">
        <v>3861</v>
      </c>
      <c r="B226" s="32" t="s">
        <v>3895</v>
      </c>
      <c r="C226" s="31"/>
      <c r="D226" s="31"/>
    </row>
    <row r="227" spans="1:4" ht="14.4" x14ac:dyDescent="0.3">
      <c r="A227" s="259" t="s">
        <v>3861</v>
      </c>
      <c r="B227" s="32" t="s">
        <v>3898</v>
      </c>
      <c r="C227" s="31"/>
      <c r="D227" s="31"/>
    </row>
    <row r="228" spans="1:4" ht="14.4" x14ac:dyDescent="0.3">
      <c r="A228" s="109" t="s">
        <v>3861</v>
      </c>
      <c r="B228" s="110" t="s">
        <v>3900</v>
      </c>
      <c r="C228" s="23"/>
      <c r="D228" s="36"/>
    </row>
    <row r="229" spans="1:4" ht="27.6" x14ac:dyDescent="0.3">
      <c r="A229" s="109" t="s">
        <v>3861</v>
      </c>
      <c r="B229" s="110" t="s">
        <v>3902</v>
      </c>
      <c r="C229" s="23"/>
      <c r="D229" s="36"/>
    </row>
    <row r="230" spans="1:4" ht="14.4" x14ac:dyDescent="0.3">
      <c r="A230" s="109" t="s">
        <v>3861</v>
      </c>
      <c r="B230" s="110" t="s">
        <v>3904</v>
      </c>
      <c r="C230" s="23"/>
      <c r="D230" s="36"/>
    </row>
    <row r="231" spans="1:4" ht="14.4" x14ac:dyDescent="0.3">
      <c r="A231" s="109" t="s">
        <v>3861</v>
      </c>
      <c r="B231" s="110" t="s">
        <v>3906</v>
      </c>
      <c r="C231" s="23"/>
      <c r="D231" s="36"/>
    </row>
    <row r="232" spans="1:4" ht="14.4" x14ac:dyDescent="0.3">
      <c r="A232" s="109" t="s">
        <v>3861</v>
      </c>
      <c r="B232" s="110" t="s">
        <v>3908</v>
      </c>
      <c r="C232" s="23"/>
      <c r="D232" s="36"/>
    </row>
    <row r="233" spans="1:4" ht="14.4" x14ac:dyDescent="0.3">
      <c r="A233" s="109" t="s">
        <v>3861</v>
      </c>
      <c r="B233" s="110" t="s">
        <v>3910</v>
      </c>
      <c r="C233" s="23"/>
      <c r="D233" s="36"/>
    </row>
    <row r="234" spans="1:4" ht="14.4" x14ac:dyDescent="0.3">
      <c r="A234" s="109" t="s">
        <v>3861</v>
      </c>
      <c r="B234" s="110" t="s">
        <v>3911</v>
      </c>
      <c r="C234" s="23"/>
      <c r="D234" s="36"/>
    </row>
    <row r="235" spans="1:4" ht="14.4" x14ac:dyDescent="0.3">
      <c r="A235" s="259" t="s">
        <v>3861</v>
      </c>
      <c r="B235" s="32" t="s">
        <v>1734</v>
      </c>
      <c r="C235" s="31"/>
      <c r="D235" s="31"/>
    </row>
    <row r="236" spans="1:4" ht="14.4" x14ac:dyDescent="0.3">
      <c r="A236" s="109" t="s">
        <v>3861</v>
      </c>
      <c r="B236" s="37" t="s">
        <v>3914</v>
      </c>
      <c r="C236" s="23"/>
      <c r="D236" s="36"/>
    </row>
    <row r="237" spans="1:4" ht="14.4" x14ac:dyDescent="0.3">
      <c r="A237" s="127"/>
      <c r="B237" s="14"/>
      <c r="C237" s="17"/>
      <c r="D237" s="17"/>
    </row>
    <row r="238" spans="1:4" ht="14.4" x14ac:dyDescent="0.3">
      <c r="A238" s="127"/>
      <c r="B238" s="14"/>
      <c r="C238" s="17"/>
      <c r="D238" s="17"/>
    </row>
    <row r="239" spans="1:4" ht="14.4" x14ac:dyDescent="0.3">
      <c r="A239" s="127"/>
      <c r="B239" s="15" t="s">
        <v>75</v>
      </c>
      <c r="C239" s="2">
        <f>COUNTIF($C$4:$C$236,"C")</f>
        <v>1</v>
      </c>
      <c r="D239" s="17"/>
    </row>
    <row r="240" spans="1:4" ht="14.4" x14ac:dyDescent="0.3">
      <c r="A240" s="127"/>
      <c r="B240" s="15" t="s">
        <v>81</v>
      </c>
      <c r="C240" s="2">
        <f>COUNTIF($C$4:$C$236,"NC")</f>
        <v>1</v>
      </c>
      <c r="D240" s="17"/>
    </row>
    <row r="241" spans="2:3" ht="14.4" x14ac:dyDescent="0.3">
      <c r="B241" s="15" t="s">
        <v>84</v>
      </c>
      <c r="C241" s="2">
        <f>COUNTIF($C$4:$C$236,"NA")</f>
        <v>1</v>
      </c>
    </row>
  </sheetData>
  <conditionalFormatting sqref="C7:C9 C11:C25 C27:C38 C41:C43 C45 C48:C71 C73:C74 C76:C79 C81 C83 C85 C88:C111 C113:C124 C126:C138 C140:C142 C144 C147 C150:C153 C155 C157 C159 C162:C182 C184:C190 C192 C195:C206 C208 C212:C215 C217:C219 C222:C225 C228:C234 C236">
    <cfRule type="beginsWith" dxfId="14" priority="1" operator="beginsWith" text="C">
      <formula>LEFT((C7),LEN("C"))=("C")</formula>
    </cfRule>
    <cfRule type="beginsWith" dxfId="13" priority="2" operator="beginsWith" text="NC">
      <formula>LEFT((C7),LEN("NC"))=("NC")</formula>
    </cfRule>
    <cfRule type="beginsWith" dxfId="12" priority="3" operator="beginsWith" text="NA">
      <formula>LEFT((C7),LEN("NA"))=("NA")</formula>
    </cfRule>
  </conditionalFormatting>
  <dataValidations count="1">
    <dataValidation type="list" allowBlank="1" sqref="C7:C9 C11:C25 C27:C38 C41:C43 C45 C48:C71 C73:C74 C76:C79 C81 C83 C85 C88:C111 C113:C124 C126:C138 C140:C142 C144 C147 C150:C153 C155 C157 C159 C162:C182 C184 C186:C190 C192 C195:C206 C208 C212:C215 C217:C219 C222:C225 C228:C234 C236" xr:uid="{00000000-0002-0000-2A00-000000000000}">
      <formula1>"C,NC,NA"</formula1>
    </dataValidation>
  </dataValidations>
  <hyperlinks>
    <hyperlink ref="B1" location="'Tabla de contenido'!A1" display="VOLVER A TABLA DE CONTENIDO" xr:uid="{00000000-0004-0000-2A00-000000000000}"/>
  </hyperlinks>
  <pageMargins left="0.7" right="0.7" top="0.75" bottom="0.75" header="0" footer="0"/>
  <pageSetup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660000"/>
  </sheetPr>
  <dimension ref="A1:D251"/>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42.5546875" customWidth="1" outlineLevel="1"/>
    <col min="5" max="5" width="5.21875" customWidth="1"/>
    <col min="6" max="12" width="10.77734375" customWidth="1"/>
  </cols>
  <sheetData>
    <row r="1" spans="1:4" ht="14.4" x14ac:dyDescent="0.3">
      <c r="A1" s="269"/>
      <c r="B1" s="270" t="s">
        <v>0</v>
      </c>
      <c r="C1" s="269"/>
      <c r="D1" s="269"/>
    </row>
    <row r="2" spans="1:4" ht="14.4" x14ac:dyDescent="0.3">
      <c r="A2" s="74"/>
      <c r="B2" s="75" t="s">
        <v>3684</v>
      </c>
      <c r="C2" s="76"/>
      <c r="D2" s="77"/>
    </row>
    <row r="3" spans="1:4" ht="14.4" x14ac:dyDescent="0.3">
      <c r="A3" s="6"/>
      <c r="B3" s="18" t="s">
        <v>3686</v>
      </c>
      <c r="C3" s="117"/>
      <c r="D3" s="19"/>
    </row>
    <row r="4" spans="1:4" ht="14.4" x14ac:dyDescent="0.3">
      <c r="A4" s="6" t="s">
        <v>7</v>
      </c>
      <c r="B4" s="18" t="s">
        <v>9</v>
      </c>
      <c r="C4" s="6" t="s">
        <v>10</v>
      </c>
      <c r="D4" s="6" t="s">
        <v>11</v>
      </c>
    </row>
    <row r="5" spans="1:4" ht="14.4" x14ac:dyDescent="0.3">
      <c r="A5" s="263" t="s">
        <v>3690</v>
      </c>
      <c r="B5" s="264" t="s">
        <v>1081</v>
      </c>
      <c r="C5" s="31"/>
      <c r="D5" s="31"/>
    </row>
    <row r="6" spans="1:4" ht="14.4" x14ac:dyDescent="0.3">
      <c r="A6" s="263" t="s">
        <v>3690</v>
      </c>
      <c r="B6" s="264" t="s">
        <v>3694</v>
      </c>
      <c r="C6" s="31"/>
      <c r="D6" s="31"/>
    </row>
    <row r="7" spans="1:4" ht="27.6" x14ac:dyDescent="0.3">
      <c r="A7" s="111" t="s">
        <v>3690</v>
      </c>
      <c r="B7" s="37" t="s">
        <v>1290</v>
      </c>
      <c r="C7" s="23" t="s">
        <v>16</v>
      </c>
      <c r="D7" s="50"/>
    </row>
    <row r="8" spans="1:4" ht="28.8" x14ac:dyDescent="0.3">
      <c r="A8" s="111" t="s">
        <v>3690</v>
      </c>
      <c r="B8" s="37" t="s">
        <v>3698</v>
      </c>
      <c r="C8" s="23" t="s">
        <v>20</v>
      </c>
      <c r="D8" s="36"/>
    </row>
    <row r="9" spans="1:4" ht="28.8" x14ac:dyDescent="0.3">
      <c r="A9" s="111" t="s">
        <v>3690</v>
      </c>
      <c r="B9" s="37" t="s">
        <v>3700</v>
      </c>
      <c r="C9" s="23" t="s">
        <v>24</v>
      </c>
      <c r="D9" s="36"/>
    </row>
    <row r="10" spans="1:4" ht="14.4" x14ac:dyDescent="0.3">
      <c r="A10" s="263" t="s">
        <v>3690</v>
      </c>
      <c r="B10" s="264" t="s">
        <v>3702</v>
      </c>
      <c r="C10" s="31"/>
      <c r="D10" s="31"/>
    </row>
    <row r="11" spans="1:4" ht="27.6" x14ac:dyDescent="0.3">
      <c r="A11" s="111" t="s">
        <v>3690</v>
      </c>
      <c r="B11" s="37" t="s">
        <v>3704</v>
      </c>
      <c r="C11" s="23"/>
      <c r="D11" s="36"/>
    </row>
    <row r="12" spans="1:4" ht="28.8" x14ac:dyDescent="0.3">
      <c r="A12" s="111" t="s">
        <v>3690</v>
      </c>
      <c r="B12" s="247" t="s">
        <v>3707</v>
      </c>
      <c r="C12" s="23"/>
      <c r="D12" s="49"/>
    </row>
    <row r="13" spans="1:4" ht="14.4" x14ac:dyDescent="0.3">
      <c r="A13" s="263" t="s">
        <v>3690</v>
      </c>
      <c r="B13" s="264" t="s">
        <v>1145</v>
      </c>
      <c r="C13" s="31"/>
      <c r="D13" s="31"/>
    </row>
    <row r="14" spans="1:4" ht="14.4" x14ac:dyDescent="0.3">
      <c r="A14" s="111" t="s">
        <v>3690</v>
      </c>
      <c r="B14" s="247" t="s">
        <v>1338</v>
      </c>
      <c r="C14" s="23"/>
      <c r="D14" s="49"/>
    </row>
    <row r="15" spans="1:4" ht="55.2" x14ac:dyDescent="0.3">
      <c r="A15" s="111" t="s">
        <v>3690</v>
      </c>
      <c r="B15" s="247" t="s">
        <v>3711</v>
      </c>
      <c r="C15" s="23"/>
      <c r="D15" s="49"/>
    </row>
    <row r="16" spans="1:4" ht="14.4" x14ac:dyDescent="0.3">
      <c r="A16" s="263" t="s">
        <v>3690</v>
      </c>
      <c r="B16" s="264" t="s">
        <v>3713</v>
      </c>
      <c r="C16" s="31"/>
      <c r="D16" s="31"/>
    </row>
    <row r="17" spans="1:4" ht="14.4" x14ac:dyDescent="0.3">
      <c r="A17" s="263" t="s">
        <v>3690</v>
      </c>
      <c r="B17" s="264" t="s">
        <v>3694</v>
      </c>
      <c r="C17" s="31"/>
      <c r="D17" s="31"/>
    </row>
    <row r="18" spans="1:4" ht="14.4" x14ac:dyDescent="0.3">
      <c r="A18" s="263" t="s">
        <v>3690</v>
      </c>
      <c r="B18" s="264" t="s">
        <v>1084</v>
      </c>
      <c r="C18" s="31"/>
      <c r="D18" s="31"/>
    </row>
    <row r="19" spans="1:4" ht="27.6" x14ac:dyDescent="0.3">
      <c r="A19" s="111" t="s">
        <v>3690</v>
      </c>
      <c r="B19" s="37" t="s">
        <v>3718</v>
      </c>
      <c r="C19" s="23"/>
      <c r="D19" s="36"/>
    </row>
    <row r="20" spans="1:4" ht="14.4" x14ac:dyDescent="0.3">
      <c r="A20" s="111" t="s">
        <v>3690</v>
      </c>
      <c r="B20" s="37" t="s">
        <v>3720</v>
      </c>
      <c r="C20" s="23"/>
      <c r="D20" s="36"/>
    </row>
    <row r="21" spans="1:4" ht="28.8" x14ac:dyDescent="0.3">
      <c r="A21" s="111" t="s">
        <v>3690</v>
      </c>
      <c r="B21" s="37" t="s">
        <v>3723</v>
      </c>
      <c r="C21" s="23"/>
      <c r="D21" s="36"/>
    </row>
    <row r="22" spans="1:4" ht="14.4" x14ac:dyDescent="0.3">
      <c r="A22" s="263" t="s">
        <v>3690</v>
      </c>
      <c r="B22" s="264" t="s">
        <v>1342</v>
      </c>
      <c r="C22" s="31"/>
      <c r="D22" s="31"/>
    </row>
    <row r="23" spans="1:4" ht="41.4" x14ac:dyDescent="0.3">
      <c r="A23" s="111" t="s">
        <v>3690</v>
      </c>
      <c r="B23" s="37" t="s">
        <v>3725</v>
      </c>
      <c r="C23" s="23"/>
      <c r="D23" s="36"/>
    </row>
    <row r="24" spans="1:4" ht="14.4" x14ac:dyDescent="0.3">
      <c r="A24" s="111" t="s">
        <v>3690</v>
      </c>
      <c r="B24" s="37" t="s">
        <v>3727</v>
      </c>
      <c r="C24" s="23"/>
      <c r="D24" s="36"/>
    </row>
    <row r="25" spans="1:4" ht="55.2" x14ac:dyDescent="0.3">
      <c r="A25" s="111" t="s">
        <v>3690</v>
      </c>
      <c r="B25" s="37" t="s">
        <v>3729</v>
      </c>
      <c r="C25" s="23"/>
      <c r="D25" s="36"/>
    </row>
    <row r="26" spans="1:4" ht="14.4" x14ac:dyDescent="0.3">
      <c r="A26" s="263" t="s">
        <v>3690</v>
      </c>
      <c r="B26" s="264" t="s">
        <v>1145</v>
      </c>
      <c r="C26" s="31"/>
      <c r="D26" s="31"/>
    </row>
    <row r="27" spans="1:4" ht="14.4" x14ac:dyDescent="0.3">
      <c r="A27" s="111" t="s">
        <v>3690</v>
      </c>
      <c r="B27" s="37" t="s">
        <v>1097</v>
      </c>
      <c r="C27" s="23"/>
      <c r="D27" s="50"/>
    </row>
    <row r="28" spans="1:4" ht="55.2" x14ac:dyDescent="0.3">
      <c r="A28" s="111" t="s">
        <v>3690</v>
      </c>
      <c r="B28" s="37" t="s">
        <v>3733</v>
      </c>
      <c r="C28" s="23"/>
      <c r="D28" s="50"/>
    </row>
    <row r="29" spans="1:4" ht="55.2" x14ac:dyDescent="0.3">
      <c r="A29" s="111" t="s">
        <v>3690</v>
      </c>
      <c r="B29" s="37" t="s">
        <v>3735</v>
      </c>
      <c r="C29" s="23"/>
      <c r="D29" s="50"/>
    </row>
    <row r="30" spans="1:4" ht="14.4" x14ac:dyDescent="0.3">
      <c r="A30" s="263" t="s">
        <v>3690</v>
      </c>
      <c r="B30" s="264" t="s">
        <v>3737</v>
      </c>
      <c r="C30" s="31"/>
      <c r="D30" s="31"/>
    </row>
    <row r="31" spans="1:4" ht="14.4" x14ac:dyDescent="0.3">
      <c r="A31" s="263" t="s">
        <v>3690</v>
      </c>
      <c r="B31" s="264" t="s">
        <v>3694</v>
      </c>
      <c r="C31" s="31"/>
      <c r="D31" s="31"/>
    </row>
    <row r="32" spans="1:4" ht="14.4" x14ac:dyDescent="0.3">
      <c r="A32" s="263" t="s">
        <v>3690</v>
      </c>
      <c r="B32" s="264" t="s">
        <v>3740</v>
      </c>
      <c r="C32" s="31"/>
      <c r="D32" s="31"/>
    </row>
    <row r="33" spans="1:4" ht="27.6" x14ac:dyDescent="0.3">
      <c r="A33" s="111" t="s">
        <v>3690</v>
      </c>
      <c r="B33" s="37" t="s">
        <v>3742</v>
      </c>
      <c r="C33" s="23"/>
      <c r="D33" s="36"/>
    </row>
    <row r="34" spans="1:4" ht="14.4" x14ac:dyDescent="0.3">
      <c r="A34" s="111" t="s">
        <v>3690</v>
      </c>
      <c r="B34" s="37" t="s">
        <v>3744</v>
      </c>
      <c r="C34" s="23"/>
      <c r="D34" s="36"/>
    </row>
    <row r="35" spans="1:4" ht="27.6" x14ac:dyDescent="0.3">
      <c r="A35" s="111" t="s">
        <v>3690</v>
      </c>
      <c r="B35" s="37" t="s">
        <v>3746</v>
      </c>
      <c r="C35" s="23"/>
      <c r="D35" s="36"/>
    </row>
    <row r="36" spans="1:4" ht="41.4" x14ac:dyDescent="0.3">
      <c r="A36" s="111" t="s">
        <v>3690</v>
      </c>
      <c r="B36" s="37" t="s">
        <v>3748</v>
      </c>
      <c r="C36" s="23"/>
      <c r="D36" s="50"/>
    </row>
    <row r="37" spans="1:4" ht="14.4" x14ac:dyDescent="0.3">
      <c r="A37" s="263" t="s">
        <v>3690</v>
      </c>
      <c r="B37" s="264" t="s">
        <v>3750</v>
      </c>
      <c r="C37" s="31"/>
      <c r="D37" s="31"/>
    </row>
    <row r="38" spans="1:4" ht="14.4" x14ac:dyDescent="0.3">
      <c r="A38" s="111" t="s">
        <v>3690</v>
      </c>
      <c r="B38" s="37" t="s">
        <v>3752</v>
      </c>
      <c r="C38" s="23"/>
      <c r="D38" s="50"/>
    </row>
    <row r="39" spans="1:4" ht="55.2" x14ac:dyDescent="0.3">
      <c r="A39" s="111" t="s">
        <v>3690</v>
      </c>
      <c r="B39" s="37" t="s">
        <v>3754</v>
      </c>
      <c r="C39" s="23"/>
      <c r="D39" s="50"/>
    </row>
    <row r="40" spans="1:4" ht="14.4" x14ac:dyDescent="0.3">
      <c r="A40" s="263" t="s">
        <v>3690</v>
      </c>
      <c r="B40" s="264" t="s">
        <v>1145</v>
      </c>
      <c r="C40" s="31"/>
      <c r="D40" s="31"/>
    </row>
    <row r="41" spans="1:4" ht="55.2" x14ac:dyDescent="0.3">
      <c r="A41" s="111" t="s">
        <v>3690</v>
      </c>
      <c r="B41" s="37" t="s">
        <v>3757</v>
      </c>
      <c r="C41" s="23"/>
      <c r="D41" s="50"/>
    </row>
    <row r="42" spans="1:4" ht="14.4" x14ac:dyDescent="0.3">
      <c r="A42" s="263" t="s">
        <v>3759</v>
      </c>
      <c r="B42" s="264" t="s">
        <v>1099</v>
      </c>
      <c r="C42" s="31"/>
      <c r="D42" s="31"/>
    </row>
    <row r="43" spans="1:4" ht="14.4" x14ac:dyDescent="0.3">
      <c r="A43" s="263" t="s">
        <v>3759</v>
      </c>
      <c r="B43" s="264" t="s">
        <v>3694</v>
      </c>
      <c r="C43" s="31"/>
      <c r="D43" s="31"/>
    </row>
    <row r="44" spans="1:4" ht="27.6" x14ac:dyDescent="0.3">
      <c r="A44" s="111" t="s">
        <v>3759</v>
      </c>
      <c r="B44" s="37" t="s">
        <v>3762</v>
      </c>
      <c r="C44" s="23"/>
      <c r="D44" s="50"/>
    </row>
    <row r="45" spans="1:4" ht="14.4" x14ac:dyDescent="0.3">
      <c r="A45" s="263" t="s">
        <v>3759</v>
      </c>
      <c r="B45" s="264" t="s">
        <v>3764</v>
      </c>
      <c r="C45" s="31"/>
      <c r="D45" s="31"/>
    </row>
    <row r="46" spans="1:4" ht="27.6" x14ac:dyDescent="0.3">
      <c r="A46" s="111" t="s">
        <v>3759</v>
      </c>
      <c r="B46" s="37" t="s">
        <v>3765</v>
      </c>
      <c r="C46" s="23"/>
      <c r="D46" s="50"/>
    </row>
    <row r="47" spans="1:4" ht="27.6" x14ac:dyDescent="0.3">
      <c r="A47" s="111" t="s">
        <v>3759</v>
      </c>
      <c r="B47" s="37" t="s">
        <v>3767</v>
      </c>
      <c r="C47" s="23"/>
      <c r="D47" s="50"/>
    </row>
    <row r="48" spans="1:4" ht="55.2" x14ac:dyDescent="0.3">
      <c r="A48" s="111" t="s">
        <v>3759</v>
      </c>
      <c r="B48" s="37" t="s">
        <v>3770</v>
      </c>
      <c r="C48" s="23"/>
      <c r="D48" s="50"/>
    </row>
    <row r="49" spans="1:4" ht="138" x14ac:dyDescent="0.3">
      <c r="A49" s="111" t="s">
        <v>3759</v>
      </c>
      <c r="B49" s="37" t="s">
        <v>3772</v>
      </c>
      <c r="C49" s="23"/>
      <c r="D49" s="50"/>
    </row>
    <row r="50" spans="1:4" ht="14.4" x14ac:dyDescent="0.3">
      <c r="A50" s="263" t="s">
        <v>3759</v>
      </c>
      <c r="B50" s="264" t="s">
        <v>1081</v>
      </c>
      <c r="C50" s="31"/>
      <c r="D50" s="31"/>
    </row>
    <row r="51" spans="1:4" ht="14.4" x14ac:dyDescent="0.3">
      <c r="A51" s="263" t="s">
        <v>3759</v>
      </c>
      <c r="B51" s="264" t="s">
        <v>3694</v>
      </c>
      <c r="C51" s="31"/>
      <c r="D51" s="31"/>
    </row>
    <row r="52" spans="1:4" ht="27.6" x14ac:dyDescent="0.3">
      <c r="A52" s="111" t="s">
        <v>3759</v>
      </c>
      <c r="B52" s="37" t="s">
        <v>1883</v>
      </c>
      <c r="C52" s="23"/>
      <c r="D52" s="50"/>
    </row>
    <row r="53" spans="1:4" ht="14.4" x14ac:dyDescent="0.3">
      <c r="A53" s="111" t="s">
        <v>3759</v>
      </c>
      <c r="B53" s="110" t="s">
        <v>3776</v>
      </c>
      <c r="C53" s="23"/>
      <c r="D53" s="50"/>
    </row>
    <row r="54" spans="1:4" ht="41.4" x14ac:dyDescent="0.3">
      <c r="A54" s="111" t="s">
        <v>3759</v>
      </c>
      <c r="B54" s="265" t="s">
        <v>3779</v>
      </c>
      <c r="C54" s="23"/>
      <c r="D54" s="36"/>
    </row>
    <row r="55" spans="1:4" ht="14.4" x14ac:dyDescent="0.3">
      <c r="A55" s="111" t="s">
        <v>3759</v>
      </c>
      <c r="B55" s="110" t="s">
        <v>3782</v>
      </c>
      <c r="C55" s="23"/>
      <c r="D55" s="36"/>
    </row>
    <row r="56" spans="1:4" ht="27.6" x14ac:dyDescent="0.3">
      <c r="A56" s="111" t="s">
        <v>3759</v>
      </c>
      <c r="B56" s="110" t="s">
        <v>3783</v>
      </c>
      <c r="C56" s="23"/>
      <c r="D56" s="36"/>
    </row>
    <row r="57" spans="1:4" ht="27.6" x14ac:dyDescent="0.3">
      <c r="A57" s="111" t="s">
        <v>3759</v>
      </c>
      <c r="B57" s="265" t="s">
        <v>3784</v>
      </c>
      <c r="C57" s="23"/>
      <c r="D57" s="36"/>
    </row>
    <row r="58" spans="1:4" ht="14.4" x14ac:dyDescent="0.3">
      <c r="A58" s="111" t="s">
        <v>3759</v>
      </c>
      <c r="B58" s="140" t="s">
        <v>3786</v>
      </c>
      <c r="C58" s="23"/>
      <c r="D58" s="36"/>
    </row>
    <row r="59" spans="1:4" ht="14.4" x14ac:dyDescent="0.3">
      <c r="A59" s="111" t="s">
        <v>3759</v>
      </c>
      <c r="B59" s="110" t="s">
        <v>3787</v>
      </c>
      <c r="C59" s="23"/>
      <c r="D59" s="36"/>
    </row>
    <row r="60" spans="1:4" ht="14.4" x14ac:dyDescent="0.3">
      <c r="A60" s="111" t="s">
        <v>3759</v>
      </c>
      <c r="B60" s="110" t="s">
        <v>3790</v>
      </c>
      <c r="C60" s="23"/>
      <c r="D60" s="36"/>
    </row>
    <row r="61" spans="1:4" ht="27.6" x14ac:dyDescent="0.3">
      <c r="A61" s="111" t="s">
        <v>3759</v>
      </c>
      <c r="B61" s="110" t="s">
        <v>3792</v>
      </c>
      <c r="C61" s="23"/>
      <c r="D61" s="36"/>
    </row>
    <row r="62" spans="1:4" ht="14.4" x14ac:dyDescent="0.3">
      <c r="A62" s="111" t="s">
        <v>3759</v>
      </c>
      <c r="B62" s="110" t="s">
        <v>3794</v>
      </c>
      <c r="C62" s="23"/>
      <c r="D62" s="36"/>
    </row>
    <row r="63" spans="1:4" ht="14.4" x14ac:dyDescent="0.3">
      <c r="A63" s="111" t="s">
        <v>3759</v>
      </c>
      <c r="B63" s="110" t="s">
        <v>3797</v>
      </c>
      <c r="C63" s="23"/>
      <c r="D63" s="36"/>
    </row>
    <row r="64" spans="1:4" ht="14.4" x14ac:dyDescent="0.3">
      <c r="A64" s="111" t="s">
        <v>3759</v>
      </c>
      <c r="B64" s="110" t="s">
        <v>3799</v>
      </c>
      <c r="C64" s="23"/>
      <c r="D64" s="36"/>
    </row>
    <row r="65" spans="1:4" ht="14.4" x14ac:dyDescent="0.3">
      <c r="A65" s="111" t="s">
        <v>3759</v>
      </c>
      <c r="B65" s="110" t="s">
        <v>3801</v>
      </c>
      <c r="C65" s="23"/>
      <c r="D65" s="54"/>
    </row>
    <row r="66" spans="1:4" ht="14.4" x14ac:dyDescent="0.3">
      <c r="A66" s="111" t="s">
        <v>3759</v>
      </c>
      <c r="B66" s="110" t="s">
        <v>3804</v>
      </c>
      <c r="C66" s="23"/>
      <c r="D66" s="54"/>
    </row>
    <row r="67" spans="1:4" ht="14.4" x14ac:dyDescent="0.3">
      <c r="A67" s="111" t="s">
        <v>3759</v>
      </c>
      <c r="B67" s="110" t="s">
        <v>3806</v>
      </c>
      <c r="C67" s="23"/>
      <c r="D67" s="54"/>
    </row>
    <row r="68" spans="1:4" ht="14.4" x14ac:dyDescent="0.3">
      <c r="A68" s="111" t="s">
        <v>3759</v>
      </c>
      <c r="B68" s="110" t="s">
        <v>3808</v>
      </c>
      <c r="C68" s="23"/>
      <c r="D68" s="36"/>
    </row>
    <row r="69" spans="1:4" ht="27.6" x14ac:dyDescent="0.3">
      <c r="A69" s="111" t="s">
        <v>3759</v>
      </c>
      <c r="B69" s="110" t="s">
        <v>3810</v>
      </c>
      <c r="C69" s="23"/>
      <c r="D69" s="54"/>
    </row>
    <row r="70" spans="1:4" ht="27.6" x14ac:dyDescent="0.3">
      <c r="A70" s="111" t="s">
        <v>3759</v>
      </c>
      <c r="B70" s="110" t="s">
        <v>3813</v>
      </c>
      <c r="C70" s="23"/>
      <c r="D70" s="36"/>
    </row>
    <row r="71" spans="1:4" ht="14.4" x14ac:dyDescent="0.3">
      <c r="A71" s="111" t="s">
        <v>3759</v>
      </c>
      <c r="B71" s="110" t="s">
        <v>3815</v>
      </c>
      <c r="C71" s="23"/>
      <c r="D71" s="36"/>
    </row>
    <row r="72" spans="1:4" ht="14.4" x14ac:dyDescent="0.3">
      <c r="A72" s="111" t="s">
        <v>3759</v>
      </c>
      <c r="B72" s="110" t="s">
        <v>3818</v>
      </c>
      <c r="C72" s="23"/>
      <c r="D72" s="36"/>
    </row>
    <row r="73" spans="1:4" ht="27.6" x14ac:dyDescent="0.3">
      <c r="A73" s="111" t="s">
        <v>3759</v>
      </c>
      <c r="B73" s="110" t="s">
        <v>3821</v>
      </c>
      <c r="C73" s="23"/>
      <c r="D73" s="36"/>
    </row>
    <row r="74" spans="1:4" ht="27.6" x14ac:dyDescent="0.3">
      <c r="A74" s="111" t="s">
        <v>3759</v>
      </c>
      <c r="B74" s="110" t="s">
        <v>3823</v>
      </c>
      <c r="C74" s="23"/>
      <c r="D74" s="36"/>
    </row>
    <row r="75" spans="1:4" ht="27.6" x14ac:dyDescent="0.3">
      <c r="A75" s="111" t="s">
        <v>3759</v>
      </c>
      <c r="B75" s="110" t="s">
        <v>3825</v>
      </c>
      <c r="C75" s="23"/>
      <c r="D75" s="36"/>
    </row>
    <row r="76" spans="1:4" ht="27.6" x14ac:dyDescent="0.3">
      <c r="A76" s="111" t="s">
        <v>3759</v>
      </c>
      <c r="B76" s="110" t="s">
        <v>3828</v>
      </c>
      <c r="C76" s="23"/>
      <c r="D76" s="36"/>
    </row>
    <row r="77" spans="1:4" ht="14.4" x14ac:dyDescent="0.3">
      <c r="A77" s="111" t="s">
        <v>3759</v>
      </c>
      <c r="B77" s="110" t="s">
        <v>3830</v>
      </c>
      <c r="C77" s="23"/>
      <c r="D77" s="36"/>
    </row>
    <row r="78" spans="1:4" ht="27.6" x14ac:dyDescent="0.3">
      <c r="A78" s="111" t="s">
        <v>3759</v>
      </c>
      <c r="B78" s="110" t="s">
        <v>3833</v>
      </c>
      <c r="C78" s="23"/>
      <c r="D78" s="36"/>
    </row>
    <row r="79" spans="1:4" ht="41.4" x14ac:dyDescent="0.3">
      <c r="A79" s="111" t="s">
        <v>3759</v>
      </c>
      <c r="B79" s="266" t="s">
        <v>3834</v>
      </c>
      <c r="C79" s="23"/>
      <c r="D79" s="36"/>
    </row>
    <row r="80" spans="1:4" ht="14.4" x14ac:dyDescent="0.3">
      <c r="A80" s="111" t="s">
        <v>3759</v>
      </c>
      <c r="B80" s="110" t="s">
        <v>3837</v>
      </c>
      <c r="C80" s="23"/>
      <c r="D80" s="36"/>
    </row>
    <row r="81" spans="1:4" ht="14.4" x14ac:dyDescent="0.3">
      <c r="A81" s="111" t="s">
        <v>3759</v>
      </c>
      <c r="B81" s="110" t="s">
        <v>3838</v>
      </c>
      <c r="C81" s="23"/>
      <c r="D81" s="36"/>
    </row>
    <row r="82" spans="1:4" ht="27.6" x14ac:dyDescent="0.3">
      <c r="A82" s="111" t="s">
        <v>3759</v>
      </c>
      <c r="B82" s="110" t="s">
        <v>3839</v>
      </c>
      <c r="C82" s="23"/>
      <c r="D82" s="36"/>
    </row>
    <row r="83" spans="1:4" ht="14.4" x14ac:dyDescent="0.3">
      <c r="A83" s="263" t="s">
        <v>3759</v>
      </c>
      <c r="B83" s="264" t="s">
        <v>1145</v>
      </c>
      <c r="C83" s="31"/>
      <c r="D83" s="31"/>
    </row>
    <row r="84" spans="1:4" ht="27.6" x14ac:dyDescent="0.3">
      <c r="A84" s="111" t="s">
        <v>3759</v>
      </c>
      <c r="B84" s="110" t="s">
        <v>3843</v>
      </c>
      <c r="C84" s="23"/>
      <c r="D84" s="36"/>
    </row>
    <row r="85" spans="1:4" ht="14.4" x14ac:dyDescent="0.3">
      <c r="A85" s="263" t="s">
        <v>3759</v>
      </c>
      <c r="B85" s="264" t="s">
        <v>3641</v>
      </c>
      <c r="C85" s="31"/>
      <c r="D85" s="31"/>
    </row>
    <row r="86" spans="1:4" ht="14.4" x14ac:dyDescent="0.3">
      <c r="A86" s="263" t="s">
        <v>3759</v>
      </c>
      <c r="B86" s="264" t="s">
        <v>3694</v>
      </c>
      <c r="C86" s="31"/>
      <c r="D86" s="31"/>
    </row>
    <row r="87" spans="1:4" ht="27.6" x14ac:dyDescent="0.3">
      <c r="A87" s="111" t="s">
        <v>3759</v>
      </c>
      <c r="B87" s="110" t="s">
        <v>3846</v>
      </c>
      <c r="C87" s="23"/>
      <c r="D87" s="36"/>
    </row>
    <row r="88" spans="1:4" ht="14.4" x14ac:dyDescent="0.3">
      <c r="A88" s="263" t="s">
        <v>3759</v>
      </c>
      <c r="B88" s="264" t="s">
        <v>1145</v>
      </c>
      <c r="C88" s="31"/>
      <c r="D88" s="31"/>
    </row>
    <row r="89" spans="1:4" ht="27.6" x14ac:dyDescent="0.3">
      <c r="A89" s="111" t="s">
        <v>3759</v>
      </c>
      <c r="B89" s="110" t="s">
        <v>1055</v>
      </c>
      <c r="C89" s="23"/>
      <c r="D89" s="36"/>
    </row>
    <row r="90" spans="1:4" ht="14.4" x14ac:dyDescent="0.3">
      <c r="A90" s="263" t="s">
        <v>3850</v>
      </c>
      <c r="B90" s="264" t="s">
        <v>3851</v>
      </c>
      <c r="C90" s="31"/>
      <c r="D90" s="31"/>
    </row>
    <row r="91" spans="1:4" ht="14.4" x14ac:dyDescent="0.3">
      <c r="A91" s="263" t="s">
        <v>3850</v>
      </c>
      <c r="B91" s="264" t="s">
        <v>3694</v>
      </c>
      <c r="C91" s="31"/>
      <c r="D91" s="31"/>
    </row>
    <row r="92" spans="1:4" ht="27.6" x14ac:dyDescent="0.3">
      <c r="A92" s="111" t="s">
        <v>3850</v>
      </c>
      <c r="B92" s="110" t="s">
        <v>3001</v>
      </c>
      <c r="C92" s="23"/>
      <c r="D92" s="36"/>
    </row>
    <row r="93" spans="1:4" ht="14.4" x14ac:dyDescent="0.3">
      <c r="A93" s="111" t="s">
        <v>3850</v>
      </c>
      <c r="B93" s="110" t="s">
        <v>3855</v>
      </c>
      <c r="C93" s="23"/>
      <c r="D93" s="36"/>
    </row>
    <row r="94" spans="1:4" ht="14.4" x14ac:dyDescent="0.3">
      <c r="A94" s="111" t="s">
        <v>3850</v>
      </c>
      <c r="B94" s="110" t="s">
        <v>3857</v>
      </c>
      <c r="C94" s="23"/>
      <c r="D94" s="36"/>
    </row>
    <row r="95" spans="1:4" ht="27.6" x14ac:dyDescent="0.3">
      <c r="A95" s="111" t="s">
        <v>3850</v>
      </c>
      <c r="B95" s="110" t="s">
        <v>3859</v>
      </c>
      <c r="C95" s="23"/>
      <c r="D95" s="36"/>
    </row>
    <row r="96" spans="1:4" ht="14.4" x14ac:dyDescent="0.3">
      <c r="A96" s="111" t="s">
        <v>3850</v>
      </c>
      <c r="B96" s="37" t="s">
        <v>3860</v>
      </c>
      <c r="C96" s="23"/>
      <c r="D96" s="36"/>
    </row>
    <row r="97" spans="1:4" ht="14.4" x14ac:dyDescent="0.3">
      <c r="A97" s="111" t="s">
        <v>3850</v>
      </c>
      <c r="B97" s="37" t="s">
        <v>3862</v>
      </c>
      <c r="C97" s="23"/>
      <c r="D97" s="36"/>
    </row>
    <row r="98" spans="1:4" ht="27.6" x14ac:dyDescent="0.3">
      <c r="A98" s="111" t="s">
        <v>3850</v>
      </c>
      <c r="B98" s="37" t="s">
        <v>3864</v>
      </c>
      <c r="C98" s="23"/>
      <c r="D98" s="36"/>
    </row>
    <row r="99" spans="1:4" ht="14.4" x14ac:dyDescent="0.3">
      <c r="A99" s="111" t="s">
        <v>3850</v>
      </c>
      <c r="B99" s="37" t="s">
        <v>3866</v>
      </c>
      <c r="C99" s="23"/>
      <c r="D99" s="36"/>
    </row>
    <row r="100" spans="1:4" ht="14.4" x14ac:dyDescent="0.3">
      <c r="A100" s="111" t="s">
        <v>3850</v>
      </c>
      <c r="B100" s="37" t="s">
        <v>3868</v>
      </c>
      <c r="C100" s="23"/>
      <c r="D100" s="36"/>
    </row>
    <row r="101" spans="1:4" ht="14.4" x14ac:dyDescent="0.3">
      <c r="A101" s="111" t="s">
        <v>3850</v>
      </c>
      <c r="B101" s="37" t="s">
        <v>3870</v>
      </c>
      <c r="C101" s="23"/>
      <c r="D101" s="36"/>
    </row>
    <row r="102" spans="1:4" ht="14.4" x14ac:dyDescent="0.3">
      <c r="A102" s="111" t="s">
        <v>3850</v>
      </c>
      <c r="B102" s="37" t="s">
        <v>3873</v>
      </c>
      <c r="C102" s="23"/>
      <c r="D102" s="36"/>
    </row>
    <row r="103" spans="1:4" ht="14.4" x14ac:dyDescent="0.3">
      <c r="A103" s="111" t="s">
        <v>3850</v>
      </c>
      <c r="B103" s="37" t="s">
        <v>3875</v>
      </c>
      <c r="C103" s="23"/>
      <c r="D103" s="36"/>
    </row>
    <row r="104" spans="1:4" ht="27.6" x14ac:dyDescent="0.3">
      <c r="A104" s="111" t="s">
        <v>3850</v>
      </c>
      <c r="B104" s="37" t="s">
        <v>3877</v>
      </c>
      <c r="C104" s="23"/>
      <c r="D104" s="36"/>
    </row>
    <row r="105" spans="1:4" ht="14.4" x14ac:dyDescent="0.3">
      <c r="A105" s="111" t="s">
        <v>3850</v>
      </c>
      <c r="B105" s="37" t="s">
        <v>3879</v>
      </c>
      <c r="C105" s="23"/>
      <c r="D105" s="36"/>
    </row>
    <row r="106" spans="1:4" ht="14.4" x14ac:dyDescent="0.3">
      <c r="A106" s="111" t="s">
        <v>3850</v>
      </c>
      <c r="B106" s="37" t="s">
        <v>3881</v>
      </c>
      <c r="C106" s="23"/>
      <c r="D106" s="36"/>
    </row>
    <row r="107" spans="1:4" ht="14.4" x14ac:dyDescent="0.3">
      <c r="A107" s="111" t="s">
        <v>3850</v>
      </c>
      <c r="B107" s="37" t="s">
        <v>3883</v>
      </c>
      <c r="C107" s="23"/>
      <c r="D107" s="36"/>
    </row>
    <row r="108" spans="1:4" ht="41.4" x14ac:dyDescent="0.3">
      <c r="A108" s="111" t="s">
        <v>3850</v>
      </c>
      <c r="B108" s="37" t="s">
        <v>3885</v>
      </c>
      <c r="C108" s="23"/>
      <c r="D108" s="36"/>
    </row>
    <row r="109" spans="1:4" ht="14.4" x14ac:dyDescent="0.3">
      <c r="A109" s="111" t="s">
        <v>3850</v>
      </c>
      <c r="B109" s="37" t="s">
        <v>3887</v>
      </c>
      <c r="C109" s="23"/>
      <c r="D109" s="36"/>
    </row>
    <row r="110" spans="1:4" ht="14.4" x14ac:dyDescent="0.3">
      <c r="A110" s="111" t="s">
        <v>3850</v>
      </c>
      <c r="B110" s="37" t="s">
        <v>3889</v>
      </c>
      <c r="C110" s="23"/>
      <c r="D110" s="36"/>
    </row>
    <row r="111" spans="1:4" ht="14.4" x14ac:dyDescent="0.3">
      <c r="A111" s="111" t="s">
        <v>3850</v>
      </c>
      <c r="B111" s="37" t="s">
        <v>3891</v>
      </c>
      <c r="C111" s="23"/>
      <c r="D111" s="36"/>
    </row>
    <row r="112" spans="1:4" ht="14.4" x14ac:dyDescent="0.3">
      <c r="A112" s="111" t="s">
        <v>3850</v>
      </c>
      <c r="B112" s="37" t="s">
        <v>3892</v>
      </c>
      <c r="C112" s="23"/>
      <c r="D112" s="36"/>
    </row>
    <row r="113" spans="1:4" ht="14.4" x14ac:dyDescent="0.3">
      <c r="A113" s="111" t="s">
        <v>3850</v>
      </c>
      <c r="B113" s="37" t="s">
        <v>3894</v>
      </c>
      <c r="C113" s="23"/>
      <c r="D113" s="36"/>
    </row>
    <row r="114" spans="1:4" ht="14.4" x14ac:dyDescent="0.3">
      <c r="A114" s="111" t="s">
        <v>3850</v>
      </c>
      <c r="B114" s="37" t="s">
        <v>3896</v>
      </c>
      <c r="C114" s="23"/>
      <c r="D114" s="36"/>
    </row>
    <row r="115" spans="1:4" ht="14.4" x14ac:dyDescent="0.3">
      <c r="A115" s="111" t="s">
        <v>3850</v>
      </c>
      <c r="B115" s="37" t="s">
        <v>3897</v>
      </c>
      <c r="C115" s="23"/>
      <c r="D115" s="36"/>
    </row>
    <row r="116" spans="1:4" ht="14.4" x14ac:dyDescent="0.3">
      <c r="A116" s="111" t="s">
        <v>3850</v>
      </c>
      <c r="B116" s="37" t="s">
        <v>3899</v>
      </c>
      <c r="C116" s="23"/>
      <c r="D116" s="36"/>
    </row>
    <row r="117" spans="1:4" ht="14.4" x14ac:dyDescent="0.3">
      <c r="A117" s="111" t="s">
        <v>3850</v>
      </c>
      <c r="B117" s="37" t="s">
        <v>3901</v>
      </c>
      <c r="C117" s="23"/>
      <c r="D117" s="36"/>
    </row>
    <row r="118" spans="1:4" ht="14.4" x14ac:dyDescent="0.3">
      <c r="A118" s="111" t="s">
        <v>3850</v>
      </c>
      <c r="B118" s="37" t="s">
        <v>3903</v>
      </c>
      <c r="C118" s="23"/>
      <c r="D118" s="36"/>
    </row>
    <row r="119" spans="1:4" ht="14.4" x14ac:dyDescent="0.3">
      <c r="A119" s="111" t="s">
        <v>3850</v>
      </c>
      <c r="B119" s="37" t="s">
        <v>3905</v>
      </c>
      <c r="C119" s="23"/>
      <c r="D119" s="36"/>
    </row>
    <row r="120" spans="1:4" ht="14.4" x14ac:dyDescent="0.3">
      <c r="A120" s="111" t="s">
        <v>3850</v>
      </c>
      <c r="B120" s="37" t="s">
        <v>3907</v>
      </c>
      <c r="C120" s="23"/>
      <c r="D120" s="36"/>
    </row>
    <row r="121" spans="1:4" ht="14.4" x14ac:dyDescent="0.3">
      <c r="A121" s="111" t="s">
        <v>3850</v>
      </c>
      <c r="B121" s="37" t="s">
        <v>3909</v>
      </c>
      <c r="C121" s="23"/>
      <c r="D121" s="36"/>
    </row>
    <row r="122" spans="1:4" ht="14.4" x14ac:dyDescent="0.3">
      <c r="A122" s="111" t="s">
        <v>3850</v>
      </c>
      <c r="B122" s="37" t="s">
        <v>3912</v>
      </c>
      <c r="C122" s="23"/>
      <c r="D122" s="36"/>
    </row>
    <row r="123" spans="1:4" ht="27.6" x14ac:dyDescent="0.3">
      <c r="A123" s="111" t="s">
        <v>3850</v>
      </c>
      <c r="B123" s="37" t="s">
        <v>3913</v>
      </c>
      <c r="C123" s="23"/>
      <c r="D123" s="36"/>
    </row>
    <row r="124" spans="1:4" ht="27.6" x14ac:dyDescent="0.3">
      <c r="A124" s="111" t="s">
        <v>3850</v>
      </c>
      <c r="B124" s="37" t="s">
        <v>3915</v>
      </c>
      <c r="C124" s="23"/>
      <c r="D124" s="36"/>
    </row>
    <row r="125" spans="1:4" ht="27.6" x14ac:dyDescent="0.3">
      <c r="A125" s="111" t="s">
        <v>3850</v>
      </c>
      <c r="B125" s="239" t="s">
        <v>3916</v>
      </c>
      <c r="C125" s="23"/>
      <c r="D125" s="36"/>
    </row>
    <row r="126" spans="1:4" ht="14.4" x14ac:dyDescent="0.3">
      <c r="A126" s="111" t="s">
        <v>3850</v>
      </c>
      <c r="B126" s="37" t="s">
        <v>3917</v>
      </c>
      <c r="C126" s="23"/>
      <c r="D126" s="36"/>
    </row>
    <row r="127" spans="1:4" ht="27.6" x14ac:dyDescent="0.3">
      <c r="A127" s="111" t="s">
        <v>3850</v>
      </c>
      <c r="B127" s="37" t="s">
        <v>3918</v>
      </c>
      <c r="C127" s="23"/>
      <c r="D127" s="36"/>
    </row>
    <row r="128" spans="1:4" ht="27.6" x14ac:dyDescent="0.3">
      <c r="A128" s="111" t="s">
        <v>3850</v>
      </c>
      <c r="B128" s="37" t="s">
        <v>3919</v>
      </c>
      <c r="C128" s="23"/>
      <c r="D128" s="36"/>
    </row>
    <row r="129" spans="1:4" ht="14.4" x14ac:dyDescent="0.3">
      <c r="A129" s="111" t="s">
        <v>3850</v>
      </c>
      <c r="B129" s="37" t="s">
        <v>3920</v>
      </c>
      <c r="C129" s="23"/>
      <c r="D129" s="36"/>
    </row>
    <row r="130" spans="1:4" ht="14.4" x14ac:dyDescent="0.3">
      <c r="A130" s="111" t="s">
        <v>3850</v>
      </c>
      <c r="B130" s="37" t="s">
        <v>3921</v>
      </c>
      <c r="C130" s="23"/>
      <c r="D130" s="36"/>
    </row>
    <row r="131" spans="1:4" ht="27.6" x14ac:dyDescent="0.3">
      <c r="A131" s="111" t="s">
        <v>3850</v>
      </c>
      <c r="B131" s="37" t="s">
        <v>3922</v>
      </c>
      <c r="C131" s="23"/>
      <c r="D131" s="36"/>
    </row>
    <row r="132" spans="1:4" ht="27.6" x14ac:dyDescent="0.3">
      <c r="A132" s="111" t="s">
        <v>3850</v>
      </c>
      <c r="B132" s="37" t="s">
        <v>3923</v>
      </c>
      <c r="C132" s="23"/>
      <c r="D132" s="36"/>
    </row>
    <row r="133" spans="1:4" ht="27.6" x14ac:dyDescent="0.3">
      <c r="A133" s="111" t="s">
        <v>3850</v>
      </c>
      <c r="B133" s="37" t="s">
        <v>3924</v>
      </c>
      <c r="C133" s="23"/>
      <c r="D133" s="36"/>
    </row>
    <row r="134" spans="1:4" ht="14.4" x14ac:dyDescent="0.3">
      <c r="A134" s="111" t="s">
        <v>3850</v>
      </c>
      <c r="B134" s="37" t="s">
        <v>3925</v>
      </c>
      <c r="C134" s="23"/>
      <c r="D134" s="36"/>
    </row>
    <row r="135" spans="1:4" ht="14.4" x14ac:dyDescent="0.3">
      <c r="A135" s="111" t="s">
        <v>3850</v>
      </c>
      <c r="B135" s="37" t="s">
        <v>3926</v>
      </c>
      <c r="C135" s="23"/>
      <c r="D135" s="36"/>
    </row>
    <row r="136" spans="1:4" ht="14.4" x14ac:dyDescent="0.3">
      <c r="A136" s="111" t="s">
        <v>3850</v>
      </c>
      <c r="B136" s="37" t="s">
        <v>3927</v>
      </c>
      <c r="C136" s="23"/>
      <c r="D136" s="36"/>
    </row>
    <row r="137" spans="1:4" ht="14.4" x14ac:dyDescent="0.3">
      <c r="A137" s="111" t="s">
        <v>3850</v>
      </c>
      <c r="B137" s="37" t="s">
        <v>3928</v>
      </c>
      <c r="C137" s="23"/>
      <c r="D137" s="36"/>
    </row>
    <row r="138" spans="1:4" ht="14.4" x14ac:dyDescent="0.3">
      <c r="A138" s="111" t="s">
        <v>3850</v>
      </c>
      <c r="B138" s="37" t="s">
        <v>3929</v>
      </c>
      <c r="C138" s="23"/>
      <c r="D138" s="36"/>
    </row>
    <row r="139" spans="1:4" ht="14.4" x14ac:dyDescent="0.3">
      <c r="A139" s="111" t="s">
        <v>3850</v>
      </c>
      <c r="B139" s="37" t="s">
        <v>3930</v>
      </c>
      <c r="C139" s="23"/>
      <c r="D139" s="36"/>
    </row>
    <row r="140" spans="1:4" ht="28.8" x14ac:dyDescent="0.3">
      <c r="A140" s="111" t="s">
        <v>3850</v>
      </c>
      <c r="B140" s="37" t="s">
        <v>3931</v>
      </c>
      <c r="C140" s="23"/>
      <c r="D140" s="36"/>
    </row>
    <row r="141" spans="1:4" ht="14.4" x14ac:dyDescent="0.3">
      <c r="A141" s="111" t="s">
        <v>3850</v>
      </c>
      <c r="B141" s="37" t="s">
        <v>3932</v>
      </c>
      <c r="C141" s="23"/>
      <c r="D141" s="36"/>
    </row>
    <row r="142" spans="1:4" ht="14.4" x14ac:dyDescent="0.3">
      <c r="A142" s="111" t="s">
        <v>3850</v>
      </c>
      <c r="B142" s="37" t="s">
        <v>3933</v>
      </c>
      <c r="C142" s="23"/>
      <c r="D142" s="36"/>
    </row>
    <row r="143" spans="1:4" ht="14.4" x14ac:dyDescent="0.3">
      <c r="A143" s="111" t="s">
        <v>3850</v>
      </c>
      <c r="B143" s="37" t="s">
        <v>3934</v>
      </c>
      <c r="C143" s="23"/>
      <c r="D143" s="36"/>
    </row>
    <row r="144" spans="1:4" ht="14.4" x14ac:dyDescent="0.3">
      <c r="A144" s="111" t="s">
        <v>3850</v>
      </c>
      <c r="B144" s="37" t="s">
        <v>3935</v>
      </c>
      <c r="C144" s="23"/>
      <c r="D144" s="36"/>
    </row>
    <row r="145" spans="1:4" ht="27.6" x14ac:dyDescent="0.3">
      <c r="A145" s="111" t="s">
        <v>3850</v>
      </c>
      <c r="B145" s="37" t="s">
        <v>3936</v>
      </c>
      <c r="C145" s="23"/>
      <c r="D145" s="36"/>
    </row>
    <row r="146" spans="1:4" ht="14.4" x14ac:dyDescent="0.3">
      <c r="A146" s="111" t="s">
        <v>3850</v>
      </c>
      <c r="B146" s="37" t="s">
        <v>3937</v>
      </c>
      <c r="C146" s="23"/>
      <c r="D146" s="36"/>
    </row>
    <row r="147" spans="1:4" ht="14.4" x14ac:dyDescent="0.3">
      <c r="A147" s="111" t="s">
        <v>3850</v>
      </c>
      <c r="B147" s="37" t="s">
        <v>3938</v>
      </c>
      <c r="C147" s="23"/>
      <c r="D147" s="36"/>
    </row>
    <row r="148" spans="1:4" ht="55.2" x14ac:dyDescent="0.3">
      <c r="A148" s="111" t="s">
        <v>3850</v>
      </c>
      <c r="B148" s="37" t="s">
        <v>3939</v>
      </c>
      <c r="C148" s="23"/>
      <c r="D148" s="36"/>
    </row>
    <row r="149" spans="1:4" ht="55.2" x14ac:dyDescent="0.3">
      <c r="A149" s="111" t="s">
        <v>3850</v>
      </c>
      <c r="B149" s="37" t="s">
        <v>3940</v>
      </c>
      <c r="C149" s="23"/>
      <c r="D149" s="36"/>
    </row>
    <row r="150" spans="1:4" ht="14.4" x14ac:dyDescent="0.3">
      <c r="A150" s="111" t="s">
        <v>3850</v>
      </c>
      <c r="B150" s="267" t="s">
        <v>1145</v>
      </c>
      <c r="C150" s="23"/>
      <c r="D150" s="36"/>
    </row>
    <row r="151" spans="1:4" ht="14.4" x14ac:dyDescent="0.3">
      <c r="A151" s="263" t="s">
        <v>3850</v>
      </c>
      <c r="B151" s="264" t="s">
        <v>3941</v>
      </c>
      <c r="C151" s="31"/>
      <c r="D151" s="31"/>
    </row>
    <row r="152" spans="1:4" ht="27.6" x14ac:dyDescent="0.3">
      <c r="A152" s="111" t="s">
        <v>3850</v>
      </c>
      <c r="B152" s="37" t="s">
        <v>3942</v>
      </c>
      <c r="C152" s="23"/>
      <c r="D152" s="36"/>
    </row>
    <row r="153" spans="1:4" ht="14.4" x14ac:dyDescent="0.3">
      <c r="A153" s="111" t="s">
        <v>3850</v>
      </c>
      <c r="B153" s="37" t="s">
        <v>1106</v>
      </c>
      <c r="C153" s="23"/>
      <c r="D153" s="36"/>
    </row>
    <row r="154" spans="1:4" ht="14.4" x14ac:dyDescent="0.3">
      <c r="A154" s="263" t="s">
        <v>3943</v>
      </c>
      <c r="B154" s="264" t="s">
        <v>2045</v>
      </c>
      <c r="C154" s="31"/>
      <c r="D154" s="31"/>
    </row>
    <row r="155" spans="1:4" ht="27.6" x14ac:dyDescent="0.3">
      <c r="A155" s="111" t="s">
        <v>3943</v>
      </c>
      <c r="B155" s="37" t="s">
        <v>3944</v>
      </c>
      <c r="C155" s="23"/>
      <c r="D155" s="36"/>
    </row>
    <row r="156" spans="1:4" ht="14.4" x14ac:dyDescent="0.3">
      <c r="A156" s="263" t="s">
        <v>3943</v>
      </c>
      <c r="B156" s="264" t="s">
        <v>1145</v>
      </c>
      <c r="C156" s="31"/>
      <c r="D156" s="31"/>
    </row>
    <row r="157" spans="1:4" ht="27.6" x14ac:dyDescent="0.3">
      <c r="A157" s="111" t="s">
        <v>3943</v>
      </c>
      <c r="B157" s="37" t="s">
        <v>3945</v>
      </c>
      <c r="C157" s="23"/>
      <c r="D157" s="36"/>
    </row>
    <row r="158" spans="1:4" ht="14.4" x14ac:dyDescent="0.3">
      <c r="A158" s="263" t="s">
        <v>3943</v>
      </c>
      <c r="B158" s="264" t="s">
        <v>1099</v>
      </c>
      <c r="C158" s="31"/>
      <c r="D158" s="31"/>
    </row>
    <row r="159" spans="1:4" ht="14.4" x14ac:dyDescent="0.3">
      <c r="A159" s="263" t="s">
        <v>3943</v>
      </c>
      <c r="B159" s="264" t="s">
        <v>2045</v>
      </c>
      <c r="C159" s="31"/>
      <c r="D159" s="31"/>
    </row>
    <row r="160" spans="1:4" ht="27.6" x14ac:dyDescent="0.3">
      <c r="A160" s="111" t="s">
        <v>3943</v>
      </c>
      <c r="B160" s="37" t="s">
        <v>3946</v>
      </c>
      <c r="C160" s="23"/>
      <c r="D160" s="36"/>
    </row>
    <row r="161" spans="1:4" ht="55.2" x14ac:dyDescent="0.3">
      <c r="A161" s="111" t="s">
        <v>3943</v>
      </c>
      <c r="B161" s="37" t="s">
        <v>3947</v>
      </c>
      <c r="C161" s="23"/>
      <c r="D161" s="36"/>
    </row>
    <row r="162" spans="1:4" ht="14.4" x14ac:dyDescent="0.3">
      <c r="A162" s="111" t="s">
        <v>3943</v>
      </c>
      <c r="B162" s="37" t="s">
        <v>3948</v>
      </c>
      <c r="C162" s="23"/>
      <c r="D162" s="36"/>
    </row>
    <row r="163" spans="1:4" ht="14.4" x14ac:dyDescent="0.3">
      <c r="A163" s="111" t="s">
        <v>3943</v>
      </c>
      <c r="B163" s="37" t="s">
        <v>1145</v>
      </c>
      <c r="C163" s="23"/>
      <c r="D163" s="36"/>
    </row>
    <row r="164" spans="1:4" ht="27.6" x14ac:dyDescent="0.3">
      <c r="A164" s="111" t="s">
        <v>3943</v>
      </c>
      <c r="B164" s="37" t="s">
        <v>1276</v>
      </c>
      <c r="C164" s="23"/>
      <c r="D164" s="36"/>
    </row>
    <row r="165" spans="1:4" ht="14.4" x14ac:dyDescent="0.3">
      <c r="A165" s="263" t="s">
        <v>3949</v>
      </c>
      <c r="B165" s="264" t="s">
        <v>1099</v>
      </c>
      <c r="C165" s="31"/>
      <c r="D165" s="31"/>
    </row>
    <row r="166" spans="1:4" ht="14.4" x14ac:dyDescent="0.3">
      <c r="A166" s="263" t="s">
        <v>3949</v>
      </c>
      <c r="B166" s="264" t="s">
        <v>2045</v>
      </c>
      <c r="C166" s="31"/>
      <c r="D166" s="31"/>
    </row>
    <row r="167" spans="1:4" ht="27.6" x14ac:dyDescent="0.3">
      <c r="A167" s="111" t="s">
        <v>3949</v>
      </c>
      <c r="B167" s="37" t="s">
        <v>3950</v>
      </c>
      <c r="C167" s="23"/>
      <c r="D167" s="36"/>
    </row>
    <row r="168" spans="1:4" ht="14.4" x14ac:dyDescent="0.3">
      <c r="A168" s="111" t="s">
        <v>3949</v>
      </c>
      <c r="B168" s="37" t="s">
        <v>3951</v>
      </c>
      <c r="C168" s="23"/>
      <c r="D168" s="36"/>
    </row>
    <row r="169" spans="1:4" ht="14.4" x14ac:dyDescent="0.3">
      <c r="A169" s="111" t="s">
        <v>3949</v>
      </c>
      <c r="B169" s="37" t="s">
        <v>3952</v>
      </c>
      <c r="C169" s="23"/>
      <c r="D169" s="36"/>
    </row>
    <row r="170" spans="1:4" ht="14.4" x14ac:dyDescent="0.3">
      <c r="A170" s="111" t="s">
        <v>3949</v>
      </c>
      <c r="B170" s="37" t="s">
        <v>3953</v>
      </c>
      <c r="C170" s="23"/>
      <c r="D170" s="36"/>
    </row>
    <row r="171" spans="1:4" ht="14.4" x14ac:dyDescent="0.3">
      <c r="A171" s="111" t="s">
        <v>3949</v>
      </c>
      <c r="B171" s="37" t="s">
        <v>3954</v>
      </c>
      <c r="C171" s="23"/>
      <c r="D171" s="36"/>
    </row>
    <row r="172" spans="1:4" ht="14.4" x14ac:dyDescent="0.3">
      <c r="A172" s="111" t="s">
        <v>3949</v>
      </c>
      <c r="B172" s="37" t="s">
        <v>3955</v>
      </c>
      <c r="C172" s="23"/>
      <c r="D172" s="36"/>
    </row>
    <row r="173" spans="1:4" ht="14.4" x14ac:dyDescent="0.3">
      <c r="A173" s="111" t="s">
        <v>3949</v>
      </c>
      <c r="B173" s="37" t="s">
        <v>3956</v>
      </c>
      <c r="C173" s="23"/>
      <c r="D173" s="36"/>
    </row>
    <row r="174" spans="1:4" ht="14.4" x14ac:dyDescent="0.3">
      <c r="A174" s="111" t="s">
        <v>3949</v>
      </c>
      <c r="B174" s="37" t="s">
        <v>3957</v>
      </c>
      <c r="C174" s="23"/>
      <c r="D174" s="36"/>
    </row>
    <row r="175" spans="1:4" ht="14.4" x14ac:dyDescent="0.3">
      <c r="A175" s="111" t="s">
        <v>3949</v>
      </c>
      <c r="B175" s="37" t="s">
        <v>3958</v>
      </c>
      <c r="C175" s="23"/>
      <c r="D175" s="36"/>
    </row>
    <row r="176" spans="1:4" ht="14.4" x14ac:dyDescent="0.3">
      <c r="A176" s="111" t="s">
        <v>3949</v>
      </c>
      <c r="B176" s="37" t="s">
        <v>3959</v>
      </c>
      <c r="C176" s="23"/>
      <c r="D176" s="36"/>
    </row>
    <row r="177" spans="1:4" ht="14.4" x14ac:dyDescent="0.3">
      <c r="A177" s="111" t="s">
        <v>3949</v>
      </c>
      <c r="B177" s="37" t="s">
        <v>3960</v>
      </c>
      <c r="C177" s="23"/>
      <c r="D177" s="36"/>
    </row>
    <row r="178" spans="1:4" ht="27.6" x14ac:dyDescent="0.3">
      <c r="A178" s="111" t="s">
        <v>3949</v>
      </c>
      <c r="B178" s="37" t="s">
        <v>3961</v>
      </c>
      <c r="C178" s="23"/>
      <c r="D178" s="36"/>
    </row>
    <row r="179" spans="1:4" ht="27.6" x14ac:dyDescent="0.3">
      <c r="A179" s="111" t="s">
        <v>3949</v>
      </c>
      <c r="B179" s="37" t="s">
        <v>3962</v>
      </c>
      <c r="C179" s="23"/>
      <c r="D179" s="36"/>
    </row>
    <row r="180" spans="1:4" ht="14.4" x14ac:dyDescent="0.3">
      <c r="A180" s="111" t="s">
        <v>3949</v>
      </c>
      <c r="B180" s="37" t="s">
        <v>3963</v>
      </c>
      <c r="C180" s="23"/>
      <c r="D180" s="36"/>
    </row>
    <row r="181" spans="1:4" ht="41.4" x14ac:dyDescent="0.3">
      <c r="A181" s="111" t="s">
        <v>3949</v>
      </c>
      <c r="B181" s="37" t="s">
        <v>3964</v>
      </c>
      <c r="C181" s="23"/>
      <c r="D181" s="36"/>
    </row>
    <row r="182" spans="1:4" ht="27.6" x14ac:dyDescent="0.3">
      <c r="A182" s="111" t="s">
        <v>3949</v>
      </c>
      <c r="B182" s="37" t="s">
        <v>3965</v>
      </c>
      <c r="C182" s="23"/>
      <c r="D182" s="36"/>
    </row>
    <row r="183" spans="1:4" ht="41.4" x14ac:dyDescent="0.3">
      <c r="A183" s="111" t="s">
        <v>3949</v>
      </c>
      <c r="B183" s="37" t="s">
        <v>3966</v>
      </c>
      <c r="C183" s="23"/>
      <c r="D183" s="36"/>
    </row>
    <row r="184" spans="1:4" ht="27.6" x14ac:dyDescent="0.3">
      <c r="A184" s="111" t="s">
        <v>3949</v>
      </c>
      <c r="B184" s="37" t="s">
        <v>3967</v>
      </c>
      <c r="C184" s="23"/>
      <c r="D184" s="36"/>
    </row>
    <row r="185" spans="1:4" ht="41.4" x14ac:dyDescent="0.3">
      <c r="A185" s="111" t="s">
        <v>3949</v>
      </c>
      <c r="B185" s="37" t="s">
        <v>3968</v>
      </c>
      <c r="C185" s="23"/>
      <c r="D185" s="36"/>
    </row>
    <row r="186" spans="1:4" ht="14.4" x14ac:dyDescent="0.3">
      <c r="A186" s="111" t="s">
        <v>3949</v>
      </c>
      <c r="B186" s="37" t="s">
        <v>3969</v>
      </c>
      <c r="C186" s="23"/>
      <c r="D186" s="36"/>
    </row>
    <row r="187" spans="1:4" ht="27.6" x14ac:dyDescent="0.3">
      <c r="A187" s="111" t="s">
        <v>3949</v>
      </c>
      <c r="B187" s="37" t="s">
        <v>3970</v>
      </c>
      <c r="C187" s="23"/>
      <c r="D187" s="36"/>
    </row>
    <row r="188" spans="1:4" ht="14.4" x14ac:dyDescent="0.3">
      <c r="A188" s="111" t="s">
        <v>3949</v>
      </c>
      <c r="B188" s="37" t="s">
        <v>3971</v>
      </c>
      <c r="C188" s="23"/>
      <c r="D188" s="36"/>
    </row>
    <row r="189" spans="1:4" ht="14.4" x14ac:dyDescent="0.3">
      <c r="A189" s="111" t="s">
        <v>3949</v>
      </c>
      <c r="B189" s="37" t="s">
        <v>3972</v>
      </c>
      <c r="C189" s="23"/>
      <c r="D189" s="36"/>
    </row>
    <row r="190" spans="1:4" ht="14.4" x14ac:dyDescent="0.3">
      <c r="A190" s="111" t="s">
        <v>3949</v>
      </c>
      <c r="B190" s="37" t="s">
        <v>3973</v>
      </c>
      <c r="C190" s="23"/>
      <c r="D190" s="36"/>
    </row>
    <row r="191" spans="1:4" ht="27.6" x14ac:dyDescent="0.3">
      <c r="A191" s="111" t="s">
        <v>3949</v>
      </c>
      <c r="B191" s="37" t="s">
        <v>3974</v>
      </c>
      <c r="C191" s="23"/>
      <c r="D191" s="36"/>
    </row>
    <row r="192" spans="1:4" ht="27.6" x14ac:dyDescent="0.3">
      <c r="A192" s="111" t="s">
        <v>3949</v>
      </c>
      <c r="B192" s="37" t="s">
        <v>3975</v>
      </c>
      <c r="C192" s="23"/>
      <c r="D192" s="36"/>
    </row>
    <row r="193" spans="1:4" ht="27.6" x14ac:dyDescent="0.3">
      <c r="A193" s="111" t="s">
        <v>3949</v>
      </c>
      <c r="B193" s="37" t="s">
        <v>3976</v>
      </c>
      <c r="C193" s="23"/>
      <c r="D193" s="36"/>
    </row>
    <row r="194" spans="1:4" ht="27.6" x14ac:dyDescent="0.3">
      <c r="A194" s="111" t="s">
        <v>3949</v>
      </c>
      <c r="B194" s="37" t="s">
        <v>3977</v>
      </c>
      <c r="C194" s="23"/>
      <c r="D194" s="36"/>
    </row>
    <row r="195" spans="1:4" ht="41.4" x14ac:dyDescent="0.3">
      <c r="A195" s="111" t="s">
        <v>3949</v>
      </c>
      <c r="B195" s="37" t="s">
        <v>3978</v>
      </c>
      <c r="C195" s="23"/>
      <c r="D195" s="36"/>
    </row>
    <row r="196" spans="1:4" ht="55.2" x14ac:dyDescent="0.3">
      <c r="A196" s="111" t="s">
        <v>3949</v>
      </c>
      <c r="B196" s="37" t="s">
        <v>3979</v>
      </c>
      <c r="C196" s="23"/>
      <c r="D196" s="36"/>
    </row>
    <row r="197" spans="1:4" ht="27.6" x14ac:dyDescent="0.3">
      <c r="A197" s="111" t="s">
        <v>3949</v>
      </c>
      <c r="B197" s="37" t="s">
        <v>3980</v>
      </c>
      <c r="C197" s="23"/>
      <c r="D197" s="36"/>
    </row>
    <row r="198" spans="1:4" ht="14.4" x14ac:dyDescent="0.3">
      <c r="A198" s="111" t="s">
        <v>3949</v>
      </c>
      <c r="B198" s="37" t="s">
        <v>3981</v>
      </c>
      <c r="C198" s="23"/>
      <c r="D198" s="36"/>
    </row>
    <row r="199" spans="1:4" ht="41.4" x14ac:dyDescent="0.3">
      <c r="A199" s="111" t="s">
        <v>3949</v>
      </c>
      <c r="B199" s="37" t="s">
        <v>3982</v>
      </c>
      <c r="C199" s="23"/>
      <c r="D199" s="36"/>
    </row>
    <row r="200" spans="1:4" ht="41.4" x14ac:dyDescent="0.3">
      <c r="A200" s="111" t="s">
        <v>3949</v>
      </c>
      <c r="B200" s="37" t="s">
        <v>3983</v>
      </c>
      <c r="C200" s="23"/>
      <c r="D200" s="36"/>
    </row>
    <row r="201" spans="1:4" ht="55.2" x14ac:dyDescent="0.3">
      <c r="A201" s="111" t="s">
        <v>3949</v>
      </c>
      <c r="B201" s="37" t="s">
        <v>3984</v>
      </c>
      <c r="C201" s="23"/>
      <c r="D201" s="36"/>
    </row>
    <row r="202" spans="1:4" ht="14.4" x14ac:dyDescent="0.3">
      <c r="A202" s="111" t="s">
        <v>3949</v>
      </c>
      <c r="B202" s="37" t="s">
        <v>1145</v>
      </c>
      <c r="C202" s="23"/>
      <c r="D202" s="36"/>
    </row>
    <row r="203" spans="1:4" ht="27.6" x14ac:dyDescent="0.3">
      <c r="A203" s="111" t="s">
        <v>3949</v>
      </c>
      <c r="B203" s="37" t="s">
        <v>3985</v>
      </c>
      <c r="C203" s="23"/>
      <c r="D203" s="36"/>
    </row>
    <row r="204" spans="1:4" ht="14.4" x14ac:dyDescent="0.3">
      <c r="A204" s="263" t="s">
        <v>3986</v>
      </c>
      <c r="B204" s="264" t="s">
        <v>1099</v>
      </c>
      <c r="C204" s="31"/>
      <c r="D204" s="31"/>
    </row>
    <row r="205" spans="1:4" ht="27.6" x14ac:dyDescent="0.3">
      <c r="A205" s="263" t="s">
        <v>3986</v>
      </c>
      <c r="B205" s="264" t="s">
        <v>3987</v>
      </c>
      <c r="C205" s="31"/>
      <c r="D205" s="31"/>
    </row>
    <row r="206" spans="1:4" ht="27.6" x14ac:dyDescent="0.3">
      <c r="A206" s="111" t="s">
        <v>3986</v>
      </c>
      <c r="B206" s="37" t="s">
        <v>2375</v>
      </c>
      <c r="C206" s="23"/>
      <c r="D206" s="36"/>
    </row>
    <row r="207" spans="1:4" ht="14.4" x14ac:dyDescent="0.3">
      <c r="A207" s="263" t="s">
        <v>3988</v>
      </c>
      <c r="B207" s="264" t="s">
        <v>1081</v>
      </c>
      <c r="C207" s="31"/>
      <c r="D207" s="31"/>
    </row>
    <row r="208" spans="1:4" ht="14.4" x14ac:dyDescent="0.3">
      <c r="A208" s="263" t="s">
        <v>3988</v>
      </c>
      <c r="B208" s="264" t="s">
        <v>837</v>
      </c>
      <c r="C208" s="31"/>
      <c r="D208" s="31"/>
    </row>
    <row r="209" spans="1:4" ht="27.6" x14ac:dyDescent="0.3">
      <c r="A209" s="111" t="s">
        <v>3988</v>
      </c>
      <c r="B209" s="37" t="s">
        <v>3989</v>
      </c>
      <c r="C209" s="23"/>
      <c r="D209" s="36"/>
    </row>
    <row r="210" spans="1:4" ht="14.4" x14ac:dyDescent="0.3">
      <c r="A210" s="263" t="s">
        <v>3988</v>
      </c>
      <c r="B210" s="264" t="s">
        <v>3874</v>
      </c>
      <c r="C210" s="31"/>
      <c r="D210" s="31"/>
    </row>
    <row r="211" spans="1:4" ht="27.6" x14ac:dyDescent="0.3">
      <c r="A211" s="111" t="s">
        <v>3988</v>
      </c>
      <c r="B211" s="37" t="s">
        <v>3990</v>
      </c>
      <c r="C211" s="23"/>
      <c r="D211" s="36"/>
    </row>
    <row r="212" spans="1:4" ht="14.4" x14ac:dyDescent="0.3">
      <c r="A212" s="111" t="s">
        <v>3988</v>
      </c>
      <c r="B212" s="37" t="s">
        <v>3991</v>
      </c>
      <c r="C212" s="23"/>
      <c r="D212" s="36"/>
    </row>
    <row r="213" spans="1:4" ht="14.4" x14ac:dyDescent="0.3">
      <c r="A213" s="111" t="s">
        <v>3988</v>
      </c>
      <c r="B213" s="37" t="s">
        <v>3992</v>
      </c>
      <c r="C213" s="23"/>
      <c r="D213" s="36"/>
    </row>
    <row r="214" spans="1:4" ht="14.4" x14ac:dyDescent="0.3">
      <c r="A214" s="111" t="s">
        <v>3988</v>
      </c>
      <c r="B214" s="37" t="s">
        <v>3993</v>
      </c>
      <c r="C214" s="23"/>
      <c r="D214" s="36"/>
    </row>
    <row r="215" spans="1:4" ht="14.4" x14ac:dyDescent="0.3">
      <c r="A215" s="111" t="s">
        <v>3988</v>
      </c>
      <c r="B215" s="37" t="s">
        <v>3994</v>
      </c>
      <c r="C215" s="23"/>
      <c r="D215" s="36"/>
    </row>
    <row r="216" spans="1:4" ht="14.4" x14ac:dyDescent="0.3">
      <c r="A216" s="111" t="s">
        <v>3988</v>
      </c>
      <c r="B216" s="37" t="s">
        <v>3995</v>
      </c>
      <c r="C216" s="23"/>
      <c r="D216" s="36"/>
    </row>
    <row r="217" spans="1:4" ht="14.4" x14ac:dyDescent="0.3">
      <c r="A217" s="263" t="s">
        <v>3988</v>
      </c>
      <c r="B217" s="264" t="s">
        <v>3996</v>
      </c>
      <c r="C217" s="31"/>
      <c r="D217" s="31"/>
    </row>
    <row r="218" spans="1:4" ht="14.4" x14ac:dyDescent="0.3">
      <c r="A218" s="111" t="s">
        <v>3988</v>
      </c>
      <c r="B218" s="37" t="s">
        <v>3997</v>
      </c>
      <c r="C218" s="23"/>
      <c r="D218" s="36"/>
    </row>
    <row r="219" spans="1:4" ht="14.4" x14ac:dyDescent="0.3">
      <c r="A219" s="263" t="s">
        <v>3988</v>
      </c>
      <c r="B219" s="264" t="s">
        <v>922</v>
      </c>
      <c r="C219" s="31"/>
      <c r="D219" s="31"/>
    </row>
    <row r="220" spans="1:4" ht="14.4" x14ac:dyDescent="0.3">
      <c r="A220" s="263" t="s">
        <v>3988</v>
      </c>
      <c r="B220" s="264" t="s">
        <v>837</v>
      </c>
      <c r="C220" s="31"/>
      <c r="D220" s="31"/>
    </row>
    <row r="221" spans="1:4" ht="27.6" x14ac:dyDescent="0.3">
      <c r="A221" s="111" t="s">
        <v>3988</v>
      </c>
      <c r="B221" s="37" t="s">
        <v>3998</v>
      </c>
      <c r="C221" s="23"/>
      <c r="D221" s="36"/>
    </row>
    <row r="222" spans="1:4" ht="14.4" x14ac:dyDescent="0.3">
      <c r="A222" s="111" t="s">
        <v>3988</v>
      </c>
      <c r="B222" s="37" t="s">
        <v>3999</v>
      </c>
      <c r="C222" s="23"/>
      <c r="D222" s="36"/>
    </row>
    <row r="223" spans="1:4" ht="14.4" x14ac:dyDescent="0.3">
      <c r="A223" s="111" t="s">
        <v>3988</v>
      </c>
      <c r="B223" s="37" t="s">
        <v>4000</v>
      </c>
      <c r="C223" s="23"/>
      <c r="D223" s="36"/>
    </row>
    <row r="224" spans="1:4" ht="14.4" x14ac:dyDescent="0.3">
      <c r="A224" s="111" t="s">
        <v>3988</v>
      </c>
      <c r="B224" s="37" t="s">
        <v>4001</v>
      </c>
      <c r="C224" s="23"/>
      <c r="D224" s="36"/>
    </row>
    <row r="225" spans="1:4" ht="14.4" x14ac:dyDescent="0.3">
      <c r="A225" s="111" t="s">
        <v>3988</v>
      </c>
      <c r="B225" s="37" t="s">
        <v>4002</v>
      </c>
      <c r="C225" s="23"/>
      <c r="D225" s="36"/>
    </row>
    <row r="226" spans="1:4" ht="14.4" x14ac:dyDescent="0.3">
      <c r="A226" s="111" t="s">
        <v>3988</v>
      </c>
      <c r="B226" s="37" t="s">
        <v>4003</v>
      </c>
      <c r="C226" s="23"/>
      <c r="D226" s="36"/>
    </row>
    <row r="227" spans="1:4" ht="14.4" x14ac:dyDescent="0.3">
      <c r="A227" s="263" t="s">
        <v>3988</v>
      </c>
      <c r="B227" s="264" t="s">
        <v>4004</v>
      </c>
      <c r="C227" s="31"/>
      <c r="D227" s="31"/>
    </row>
    <row r="228" spans="1:4" ht="14.4" x14ac:dyDescent="0.3">
      <c r="A228" s="111" t="s">
        <v>3988</v>
      </c>
      <c r="B228" s="37" t="s">
        <v>4005</v>
      </c>
      <c r="C228" s="23"/>
      <c r="D228" s="36"/>
    </row>
    <row r="229" spans="1:4" ht="14.4" x14ac:dyDescent="0.3">
      <c r="A229" s="111" t="s">
        <v>3988</v>
      </c>
      <c r="B229" s="37" t="s">
        <v>4006</v>
      </c>
      <c r="C229" s="23"/>
      <c r="D229" s="36"/>
    </row>
    <row r="230" spans="1:4" ht="14.4" x14ac:dyDescent="0.3">
      <c r="A230" s="111" t="s">
        <v>3988</v>
      </c>
      <c r="B230" s="37" t="s">
        <v>4007</v>
      </c>
      <c r="C230" s="23"/>
      <c r="D230" s="36"/>
    </row>
    <row r="231" spans="1:4" ht="14.4" x14ac:dyDescent="0.3">
      <c r="A231" s="111" t="s">
        <v>3988</v>
      </c>
      <c r="B231" s="37" t="s">
        <v>4008</v>
      </c>
      <c r="C231" s="23"/>
      <c r="D231" s="36"/>
    </row>
    <row r="232" spans="1:4" ht="14.4" x14ac:dyDescent="0.3">
      <c r="A232" s="263" t="s">
        <v>3988</v>
      </c>
      <c r="B232" s="264" t="s">
        <v>1217</v>
      </c>
      <c r="C232" s="31"/>
      <c r="D232" s="31"/>
    </row>
    <row r="233" spans="1:4" ht="14.4" x14ac:dyDescent="0.3">
      <c r="A233" s="263" t="s">
        <v>3988</v>
      </c>
      <c r="B233" s="264" t="s">
        <v>837</v>
      </c>
      <c r="C233" s="31"/>
      <c r="D233" s="31"/>
    </row>
    <row r="234" spans="1:4" ht="27.6" x14ac:dyDescent="0.3">
      <c r="A234" s="111" t="s">
        <v>3988</v>
      </c>
      <c r="B234" s="37" t="s">
        <v>4009</v>
      </c>
      <c r="C234" s="23"/>
      <c r="D234" s="36"/>
    </row>
    <row r="235" spans="1:4" ht="14.4" x14ac:dyDescent="0.3">
      <c r="A235" s="111" t="s">
        <v>3988</v>
      </c>
      <c r="B235" s="37" t="s">
        <v>4010</v>
      </c>
      <c r="C235" s="23"/>
      <c r="D235" s="36"/>
    </row>
    <row r="236" spans="1:4" ht="14.4" x14ac:dyDescent="0.3">
      <c r="A236" s="111" t="s">
        <v>3988</v>
      </c>
      <c r="B236" s="37" t="s">
        <v>4011</v>
      </c>
      <c r="C236" s="23"/>
      <c r="D236" s="36"/>
    </row>
    <row r="237" spans="1:4" ht="27.6" x14ac:dyDescent="0.3">
      <c r="A237" s="111" t="s">
        <v>3988</v>
      </c>
      <c r="B237" s="37" t="s">
        <v>4012</v>
      </c>
      <c r="C237" s="23"/>
      <c r="D237" s="36"/>
    </row>
    <row r="238" spans="1:4" ht="14.4" x14ac:dyDescent="0.3">
      <c r="A238" s="111" t="s">
        <v>3988</v>
      </c>
      <c r="B238" s="37" t="s">
        <v>4013</v>
      </c>
      <c r="C238" s="23"/>
      <c r="D238" s="36"/>
    </row>
    <row r="239" spans="1:4" ht="14.4" x14ac:dyDescent="0.3">
      <c r="A239" s="111" t="s">
        <v>3988</v>
      </c>
      <c r="B239" s="37" t="s">
        <v>4014</v>
      </c>
      <c r="C239" s="23"/>
      <c r="D239" s="36"/>
    </row>
    <row r="240" spans="1:4" ht="14.4" x14ac:dyDescent="0.3">
      <c r="A240" s="111" t="s">
        <v>3988</v>
      </c>
      <c r="B240" s="37" t="s">
        <v>4015</v>
      </c>
      <c r="C240" s="23"/>
      <c r="D240" s="36"/>
    </row>
    <row r="241" spans="1:4" ht="14.4" x14ac:dyDescent="0.3">
      <c r="A241" s="111" t="s">
        <v>3988</v>
      </c>
      <c r="B241" s="37" t="s">
        <v>4016</v>
      </c>
      <c r="C241" s="23"/>
      <c r="D241" s="36"/>
    </row>
    <row r="242" spans="1:4" ht="14.4" x14ac:dyDescent="0.3">
      <c r="A242" s="263" t="s">
        <v>3988</v>
      </c>
      <c r="B242" s="264" t="s">
        <v>4017</v>
      </c>
      <c r="C242" s="31"/>
      <c r="D242" s="31"/>
    </row>
    <row r="243" spans="1:4" ht="14.4" x14ac:dyDescent="0.3">
      <c r="A243" s="111" t="s">
        <v>3988</v>
      </c>
      <c r="B243" s="37" t="s">
        <v>4018</v>
      </c>
      <c r="C243" s="23"/>
      <c r="D243" s="37"/>
    </row>
    <row r="244" spans="1:4" ht="14.4" x14ac:dyDescent="0.3">
      <c r="A244" s="111" t="s">
        <v>3988</v>
      </c>
      <c r="B244" s="37" t="s">
        <v>4019</v>
      </c>
      <c r="C244" s="23"/>
      <c r="D244" s="37"/>
    </row>
    <row r="245" spans="1:4" ht="14.4" x14ac:dyDescent="0.3">
      <c r="A245" s="263" t="s">
        <v>3988</v>
      </c>
      <c r="B245" s="264" t="s">
        <v>4020</v>
      </c>
      <c r="C245" s="31"/>
      <c r="D245" s="31"/>
    </row>
    <row r="246" spans="1:4" ht="14.4" x14ac:dyDescent="0.3">
      <c r="A246" s="36" t="s">
        <v>3988</v>
      </c>
      <c r="B246" s="37" t="s">
        <v>4021</v>
      </c>
      <c r="C246" s="23"/>
      <c r="D246" s="37"/>
    </row>
    <row r="247" spans="1:4" ht="14.4" x14ac:dyDescent="0.3">
      <c r="A247" s="17"/>
      <c r="B247" s="14"/>
      <c r="C247" s="17"/>
      <c r="D247" s="17"/>
    </row>
    <row r="248" spans="1:4" ht="14.4" x14ac:dyDescent="0.3">
      <c r="A248" s="17"/>
      <c r="B248" s="14"/>
      <c r="C248" s="17"/>
      <c r="D248" s="17"/>
    </row>
    <row r="249" spans="1:4" ht="14.4" x14ac:dyDescent="0.3">
      <c r="A249" s="17"/>
      <c r="B249" s="15" t="s">
        <v>75</v>
      </c>
      <c r="C249" s="2">
        <f>COUNTIF($C$4:$C$246,"C")</f>
        <v>1</v>
      </c>
      <c r="D249" s="17"/>
    </row>
    <row r="250" spans="1:4" ht="14.4" x14ac:dyDescent="0.3">
      <c r="A250" s="17"/>
      <c r="B250" s="15" t="s">
        <v>81</v>
      </c>
      <c r="C250" s="2">
        <f>COUNTIF($C$4:$C$246,"NC")</f>
        <v>1</v>
      </c>
      <c r="D250" s="17"/>
    </row>
    <row r="251" spans="1:4" ht="14.4" x14ac:dyDescent="0.3">
      <c r="A251" s="17"/>
      <c r="B251" s="15" t="s">
        <v>84</v>
      </c>
      <c r="C251" s="2">
        <f>COUNTIF($C$4:$C$246,"NA")</f>
        <v>1</v>
      </c>
      <c r="D251" s="17"/>
    </row>
  </sheetData>
  <conditionalFormatting sqref="C7:C9 C11:C12 C14:C15 C19:C21 C23:C25 C27:C29 C33:C36 C38:C39 C41 C44 C46:C49 C52:C82 C84 C87 C89 C92:C150 C152:C153 C155 C157 C160:C164 C167:C203 C206 C209 C211:C216 C218 C221:C226 C228:C231 C234:C241 C243:C244 C246">
    <cfRule type="beginsWith" dxfId="11" priority="1" operator="beginsWith" text="C">
      <formula>LEFT((C7),LEN("C"))=("C")</formula>
    </cfRule>
    <cfRule type="beginsWith" dxfId="10" priority="2" operator="beginsWith" text="NC">
      <formula>LEFT((C7),LEN("NC"))=("NC")</formula>
    </cfRule>
    <cfRule type="beginsWith" dxfId="9" priority="3" operator="beginsWith" text="NA">
      <formula>LEFT((C7),LEN("NA"))=("NA")</formula>
    </cfRule>
  </conditionalFormatting>
  <dataValidations count="1">
    <dataValidation type="list" allowBlank="1" sqref="C7:C9 C11:C12 C14:C15 C19:C21 C23:C25 C27:C29 C33:C36 C38:C39 C41 C44 C46:C49 C52:C82 C84 C87 C89 C92:C150 C152:C153 C155 C157 C160:C164 C167:C203 C206 C209 C211:C216 C218 C221:C226 C228:C231 C234:C241 C243:C244 C246" xr:uid="{00000000-0002-0000-2B00-000000000000}">
      <formula1>"C,NC,NA"</formula1>
    </dataValidation>
  </dataValidations>
  <hyperlinks>
    <hyperlink ref="B1" location="'Tabla de contenido'!A1" display="VOLVER A TABLA DE CONTENIDO" xr:uid="{00000000-0004-0000-2B00-000000000000}"/>
  </hyperlinks>
  <pageMargins left="0.7" right="0.7" top="0.75" bottom="0.75" header="0" footer="0"/>
  <pageSetup orientation="portrait"/>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660000"/>
  </sheetPr>
  <dimension ref="A1:D290"/>
  <sheetViews>
    <sheetView showGridLines="0" workbookViewId="0">
      <selection sqref="A1:D1"/>
    </sheetView>
  </sheetViews>
  <sheetFormatPr baseColWidth="10" defaultColWidth="14.44140625" defaultRowHeight="15" customHeight="1" outlineLevelCol="1" x14ac:dyDescent="0.3"/>
  <cols>
    <col min="1" max="1" width="18.33203125" customWidth="1"/>
    <col min="2" max="2" width="66.88671875" customWidth="1"/>
    <col min="3" max="3" width="11.5546875" customWidth="1"/>
    <col min="4" max="4" width="25.77734375" customWidth="1" outlineLevel="1"/>
    <col min="5" max="5" width="5.21875" customWidth="1"/>
    <col min="6" max="12" width="10.77734375" customWidth="1"/>
  </cols>
  <sheetData>
    <row r="1" spans="1:4" ht="14.4" x14ac:dyDescent="0.3">
      <c r="A1" s="269"/>
      <c r="B1" s="270" t="s">
        <v>0</v>
      </c>
      <c r="C1" s="269"/>
      <c r="D1" s="269"/>
    </row>
    <row r="2" spans="1:4" ht="14.4" x14ac:dyDescent="0.3">
      <c r="A2" s="74"/>
      <c r="B2" s="75" t="s">
        <v>3684</v>
      </c>
      <c r="C2" s="76"/>
      <c r="D2" s="77"/>
    </row>
    <row r="3" spans="1:4" ht="14.4" x14ac:dyDescent="0.3">
      <c r="A3" s="6"/>
      <c r="B3" s="18" t="s">
        <v>4022</v>
      </c>
      <c r="C3" s="117"/>
      <c r="D3" s="19"/>
    </row>
    <row r="4" spans="1:4" ht="172.8" x14ac:dyDescent="0.3">
      <c r="A4" s="6"/>
      <c r="B4" s="268" t="s">
        <v>4023</v>
      </c>
      <c r="C4" s="6"/>
      <c r="D4" s="6"/>
    </row>
    <row r="5" spans="1:4" ht="14.4" x14ac:dyDescent="0.3">
      <c r="A5" s="6" t="s">
        <v>7</v>
      </c>
      <c r="B5" s="6" t="s">
        <v>9</v>
      </c>
      <c r="C5" s="6" t="s">
        <v>10</v>
      </c>
      <c r="D5" s="6" t="s">
        <v>11</v>
      </c>
    </row>
    <row r="6" spans="1:4" ht="14.4" x14ac:dyDescent="0.3">
      <c r="A6" s="263" t="s">
        <v>4024</v>
      </c>
      <c r="B6" s="32" t="s">
        <v>1081</v>
      </c>
      <c r="C6" s="134"/>
      <c r="D6" s="134"/>
    </row>
    <row r="7" spans="1:4" ht="14.4" x14ac:dyDescent="0.3">
      <c r="A7" s="263" t="s">
        <v>4024</v>
      </c>
      <c r="B7" s="32" t="s">
        <v>4025</v>
      </c>
      <c r="C7" s="134"/>
      <c r="D7" s="134"/>
    </row>
    <row r="8" spans="1:4" ht="14.4" x14ac:dyDescent="0.3">
      <c r="A8" s="263" t="s">
        <v>4024</v>
      </c>
      <c r="B8" s="32" t="s">
        <v>4026</v>
      </c>
      <c r="C8" s="134"/>
      <c r="D8" s="134"/>
    </row>
    <row r="9" spans="1:4" ht="27.6" x14ac:dyDescent="0.3">
      <c r="A9" s="36" t="s">
        <v>4024</v>
      </c>
      <c r="B9" s="37" t="s">
        <v>1290</v>
      </c>
      <c r="C9" s="23" t="s">
        <v>16</v>
      </c>
      <c r="D9" s="36"/>
    </row>
    <row r="10" spans="1:4" ht="55.2" x14ac:dyDescent="0.3">
      <c r="A10" s="36" t="s">
        <v>4024</v>
      </c>
      <c r="B10" s="37" t="s">
        <v>4027</v>
      </c>
      <c r="C10" s="23" t="s">
        <v>20</v>
      </c>
      <c r="D10" s="36"/>
    </row>
    <row r="11" spans="1:4" ht="55.2" x14ac:dyDescent="0.3">
      <c r="A11" s="36" t="s">
        <v>4024</v>
      </c>
      <c r="B11" s="37" t="s">
        <v>4028</v>
      </c>
      <c r="C11" s="23" t="s">
        <v>24</v>
      </c>
      <c r="D11" s="36"/>
    </row>
    <row r="12" spans="1:4" ht="14.4" x14ac:dyDescent="0.3">
      <c r="A12" s="263" t="s">
        <v>4024</v>
      </c>
      <c r="B12" s="32" t="s">
        <v>4029</v>
      </c>
      <c r="C12" s="134"/>
      <c r="D12" s="134"/>
    </row>
    <row r="13" spans="1:4" ht="27.6" x14ac:dyDescent="0.3">
      <c r="A13" s="36" t="s">
        <v>4024</v>
      </c>
      <c r="B13" s="37" t="s">
        <v>4030</v>
      </c>
      <c r="C13" s="23"/>
      <c r="D13" s="36"/>
    </row>
    <row r="14" spans="1:4" ht="55.2" x14ac:dyDescent="0.3">
      <c r="A14" s="36" t="s">
        <v>4024</v>
      </c>
      <c r="B14" s="37" t="s">
        <v>4031</v>
      </c>
      <c r="C14" s="23"/>
      <c r="D14" s="36"/>
    </row>
    <row r="15" spans="1:4" ht="27.6" x14ac:dyDescent="0.3">
      <c r="A15" s="36" t="s">
        <v>4024</v>
      </c>
      <c r="B15" s="37" t="s">
        <v>4032</v>
      </c>
      <c r="C15" s="23"/>
      <c r="D15" s="36"/>
    </row>
    <row r="16" spans="1:4" ht="55.2" x14ac:dyDescent="0.3">
      <c r="A16" s="36" t="s">
        <v>4024</v>
      </c>
      <c r="B16" s="37" t="s">
        <v>4033</v>
      </c>
      <c r="C16" s="23"/>
      <c r="D16" s="36"/>
    </row>
    <row r="17" spans="1:4" ht="96.6" x14ac:dyDescent="0.3">
      <c r="A17" s="36" t="s">
        <v>4024</v>
      </c>
      <c r="B17" s="37" t="s">
        <v>4034</v>
      </c>
      <c r="C17" s="23"/>
      <c r="D17" s="36"/>
    </row>
    <row r="18" spans="1:4" ht="14.4" x14ac:dyDescent="0.3">
      <c r="A18" s="263" t="s">
        <v>4024</v>
      </c>
      <c r="B18" s="32" t="s">
        <v>922</v>
      </c>
      <c r="C18" s="134"/>
      <c r="D18" s="134"/>
    </row>
    <row r="19" spans="1:4" ht="14.4" x14ac:dyDescent="0.3">
      <c r="A19" s="263" t="s">
        <v>4024</v>
      </c>
      <c r="B19" s="32" t="s">
        <v>4025</v>
      </c>
      <c r="C19" s="134"/>
      <c r="D19" s="134"/>
    </row>
    <row r="20" spans="1:4" ht="14.4" x14ac:dyDescent="0.3">
      <c r="A20" s="263" t="s">
        <v>4024</v>
      </c>
      <c r="B20" s="32" t="s">
        <v>4035</v>
      </c>
      <c r="C20" s="134"/>
      <c r="D20" s="134"/>
    </row>
    <row r="21" spans="1:4" ht="27.6" x14ac:dyDescent="0.3">
      <c r="A21" s="36" t="s">
        <v>4024</v>
      </c>
      <c r="B21" s="37" t="s">
        <v>1915</v>
      </c>
      <c r="C21" s="23"/>
      <c r="D21" s="36"/>
    </row>
    <row r="22" spans="1:4" ht="41.4" x14ac:dyDescent="0.3">
      <c r="A22" s="36" t="s">
        <v>4024</v>
      </c>
      <c r="B22" s="37" t="s">
        <v>4036</v>
      </c>
      <c r="C22" s="23"/>
      <c r="D22" s="36"/>
    </row>
    <row r="23" spans="1:4" ht="14.4" x14ac:dyDescent="0.3">
      <c r="A23" s="36" t="s">
        <v>4024</v>
      </c>
      <c r="B23" s="37" t="s">
        <v>4037</v>
      </c>
      <c r="C23" s="23"/>
      <c r="D23" s="36"/>
    </row>
    <row r="24" spans="1:4" ht="14.4" x14ac:dyDescent="0.3">
      <c r="A24" s="36" t="s">
        <v>4024</v>
      </c>
      <c r="B24" s="37" t="s">
        <v>4038</v>
      </c>
      <c r="C24" s="23"/>
      <c r="D24" s="36"/>
    </row>
    <row r="25" spans="1:4" ht="27.6" x14ac:dyDescent="0.3">
      <c r="A25" s="36" t="s">
        <v>4024</v>
      </c>
      <c r="B25" s="37" t="s">
        <v>4039</v>
      </c>
      <c r="C25" s="23"/>
      <c r="D25" s="36"/>
    </row>
    <row r="26" spans="1:4" ht="55.2" x14ac:dyDescent="0.3">
      <c r="A26" s="36" t="s">
        <v>4024</v>
      </c>
      <c r="B26" s="37" t="s">
        <v>4040</v>
      </c>
      <c r="C26" s="23"/>
      <c r="D26" s="36"/>
    </row>
    <row r="27" spans="1:4" ht="41.4" x14ac:dyDescent="0.3">
      <c r="A27" s="36" t="s">
        <v>4024</v>
      </c>
      <c r="B27" s="37" t="s">
        <v>4041</v>
      </c>
      <c r="C27" s="23"/>
      <c r="D27" s="36"/>
    </row>
    <row r="28" spans="1:4" ht="27.6" x14ac:dyDescent="0.3">
      <c r="A28" s="36" t="s">
        <v>4024</v>
      </c>
      <c r="B28" s="37" t="s">
        <v>4042</v>
      </c>
      <c r="C28" s="23"/>
      <c r="D28" s="36"/>
    </row>
    <row r="29" spans="1:4" ht="14.4" x14ac:dyDescent="0.3">
      <c r="A29" s="263" t="s">
        <v>4024</v>
      </c>
      <c r="B29" s="32" t="s">
        <v>4043</v>
      </c>
      <c r="C29" s="134"/>
      <c r="D29" s="134"/>
    </row>
    <row r="30" spans="1:4" ht="69" x14ac:dyDescent="0.3">
      <c r="A30" s="36" t="s">
        <v>4024</v>
      </c>
      <c r="B30" s="37" t="s">
        <v>4044</v>
      </c>
      <c r="C30" s="23"/>
      <c r="D30" s="36"/>
    </row>
    <row r="31" spans="1:4" ht="96.6" x14ac:dyDescent="0.3">
      <c r="A31" s="36" t="s">
        <v>4024</v>
      </c>
      <c r="B31" s="37" t="s">
        <v>4045</v>
      </c>
      <c r="C31" s="23"/>
      <c r="D31" s="36"/>
    </row>
    <row r="32" spans="1:4" ht="14.4" x14ac:dyDescent="0.3">
      <c r="A32" s="263" t="s">
        <v>4024</v>
      </c>
      <c r="B32" s="32" t="s">
        <v>4046</v>
      </c>
      <c r="C32" s="134"/>
      <c r="D32" s="134"/>
    </row>
    <row r="33" spans="1:4" ht="27.6" x14ac:dyDescent="0.3">
      <c r="A33" s="36" t="s">
        <v>4024</v>
      </c>
      <c r="B33" s="37" t="s">
        <v>1803</v>
      </c>
      <c r="C33" s="23"/>
      <c r="D33" s="36"/>
    </row>
    <row r="34" spans="1:4" ht="14.4" x14ac:dyDescent="0.3">
      <c r="A34" s="36" t="s">
        <v>4024</v>
      </c>
      <c r="B34" s="37" t="s">
        <v>4047</v>
      </c>
      <c r="C34" s="23"/>
      <c r="D34" s="36"/>
    </row>
    <row r="35" spans="1:4" ht="27.6" x14ac:dyDescent="0.3">
      <c r="A35" s="36" t="s">
        <v>4024</v>
      </c>
      <c r="B35" s="37" t="s">
        <v>4048</v>
      </c>
      <c r="C35" s="23"/>
      <c r="D35" s="36"/>
    </row>
    <row r="36" spans="1:4" ht="41.4" x14ac:dyDescent="0.3">
      <c r="A36" s="36" t="s">
        <v>4024</v>
      </c>
      <c r="B36" s="37" t="s">
        <v>4049</v>
      </c>
      <c r="C36" s="23"/>
      <c r="D36" s="36"/>
    </row>
    <row r="37" spans="1:4" ht="41.4" x14ac:dyDescent="0.3">
      <c r="A37" s="36" t="s">
        <v>4024</v>
      </c>
      <c r="B37" s="37" t="s">
        <v>4050</v>
      </c>
      <c r="C37" s="23"/>
      <c r="D37" s="36"/>
    </row>
    <row r="38" spans="1:4" ht="27.6" x14ac:dyDescent="0.3">
      <c r="A38" s="36" t="s">
        <v>4024</v>
      </c>
      <c r="B38" s="37" t="s">
        <v>4051</v>
      </c>
      <c r="C38" s="23"/>
      <c r="D38" s="36"/>
    </row>
    <row r="39" spans="1:4" ht="69" x14ac:dyDescent="0.3">
      <c r="A39" s="36" t="s">
        <v>4024</v>
      </c>
      <c r="B39" s="37" t="s">
        <v>4052</v>
      </c>
      <c r="C39" s="23"/>
      <c r="D39" s="36"/>
    </row>
    <row r="40" spans="1:4" ht="14.4" x14ac:dyDescent="0.3">
      <c r="A40" s="263" t="s">
        <v>4024</v>
      </c>
      <c r="B40" s="32" t="s">
        <v>1227</v>
      </c>
      <c r="C40" s="134"/>
      <c r="D40" s="134"/>
    </row>
    <row r="41" spans="1:4" ht="14.4" x14ac:dyDescent="0.3">
      <c r="A41" s="263" t="s">
        <v>4024</v>
      </c>
      <c r="B41" s="32" t="s">
        <v>1939</v>
      </c>
      <c r="C41" s="134"/>
      <c r="D41" s="134"/>
    </row>
    <row r="42" spans="1:4" ht="14.4" x14ac:dyDescent="0.3">
      <c r="A42" s="36" t="s">
        <v>4024</v>
      </c>
      <c r="B42" s="37" t="s">
        <v>1097</v>
      </c>
      <c r="C42" s="23"/>
      <c r="D42" s="36"/>
    </row>
    <row r="43" spans="1:4" ht="55.2" x14ac:dyDescent="0.3">
      <c r="A43" s="36" t="s">
        <v>4024</v>
      </c>
      <c r="B43" s="37" t="s">
        <v>4053</v>
      </c>
      <c r="C43" s="23"/>
      <c r="D43" s="36"/>
    </row>
    <row r="44" spans="1:4" ht="55.2" x14ac:dyDescent="0.3">
      <c r="A44" s="36" t="s">
        <v>4024</v>
      </c>
      <c r="B44" s="37" t="s">
        <v>4054</v>
      </c>
      <c r="C44" s="23"/>
      <c r="D44" s="36"/>
    </row>
    <row r="45" spans="1:4" ht="14.4" x14ac:dyDescent="0.3">
      <c r="A45" s="263" t="s">
        <v>4055</v>
      </c>
      <c r="B45" s="32" t="s">
        <v>1081</v>
      </c>
      <c r="C45" s="134"/>
      <c r="D45" s="134"/>
    </row>
    <row r="46" spans="1:4" ht="14.4" x14ac:dyDescent="0.3">
      <c r="A46" s="263" t="s">
        <v>4055</v>
      </c>
      <c r="B46" s="32" t="s">
        <v>4025</v>
      </c>
      <c r="C46" s="134"/>
      <c r="D46" s="134"/>
    </row>
    <row r="47" spans="1:4" ht="55.2" x14ac:dyDescent="0.3">
      <c r="A47" s="36" t="s">
        <v>4055</v>
      </c>
      <c r="B47" s="37" t="s">
        <v>4056</v>
      </c>
      <c r="C47" s="23"/>
      <c r="D47" s="36"/>
    </row>
    <row r="48" spans="1:4" ht="14.4" x14ac:dyDescent="0.3">
      <c r="A48" s="263" t="s">
        <v>4055</v>
      </c>
      <c r="B48" s="32" t="s">
        <v>4035</v>
      </c>
      <c r="C48" s="134"/>
      <c r="D48" s="134"/>
    </row>
    <row r="49" spans="1:4" ht="27.6" x14ac:dyDescent="0.3">
      <c r="A49" s="36" t="s">
        <v>4055</v>
      </c>
      <c r="B49" s="37" t="s">
        <v>4057</v>
      </c>
      <c r="C49" s="23"/>
      <c r="D49" s="36"/>
    </row>
    <row r="50" spans="1:4" ht="27.6" x14ac:dyDescent="0.3">
      <c r="A50" s="36" t="s">
        <v>4055</v>
      </c>
      <c r="B50" s="37" t="s">
        <v>4058</v>
      </c>
      <c r="C50" s="23"/>
      <c r="D50" s="36"/>
    </row>
    <row r="51" spans="1:4" ht="27.6" x14ac:dyDescent="0.3">
      <c r="A51" s="36" t="s">
        <v>4055</v>
      </c>
      <c r="B51" s="37" t="s">
        <v>4059</v>
      </c>
      <c r="C51" s="23"/>
      <c r="D51" s="36"/>
    </row>
    <row r="52" spans="1:4" ht="14.4" x14ac:dyDescent="0.3">
      <c r="A52" s="36" t="s">
        <v>4055</v>
      </c>
      <c r="B52" s="37" t="s">
        <v>4060</v>
      </c>
      <c r="C52" s="23"/>
      <c r="D52" s="36"/>
    </row>
    <row r="53" spans="1:4" ht="27.6" x14ac:dyDescent="0.3">
      <c r="A53" s="36" t="s">
        <v>4055</v>
      </c>
      <c r="B53" s="37" t="s">
        <v>4061</v>
      </c>
      <c r="C53" s="23"/>
      <c r="D53" s="36"/>
    </row>
    <row r="54" spans="1:4" ht="27.6" x14ac:dyDescent="0.3">
      <c r="A54" s="36" t="s">
        <v>4055</v>
      </c>
      <c r="B54" s="37" t="s">
        <v>4062</v>
      </c>
      <c r="C54" s="23"/>
      <c r="D54" s="36"/>
    </row>
    <row r="55" spans="1:4" ht="14.4" x14ac:dyDescent="0.3">
      <c r="A55" s="36" t="s">
        <v>4055</v>
      </c>
      <c r="B55" s="37" t="s">
        <v>4063</v>
      </c>
      <c r="C55" s="23"/>
      <c r="D55" s="36"/>
    </row>
    <row r="56" spans="1:4" ht="96.6" x14ac:dyDescent="0.3">
      <c r="A56" s="36" t="s">
        <v>4055</v>
      </c>
      <c r="B56" s="37" t="s">
        <v>4064</v>
      </c>
      <c r="C56" s="23"/>
      <c r="D56" s="36"/>
    </row>
    <row r="57" spans="1:4" ht="14.4" x14ac:dyDescent="0.3">
      <c r="A57" s="263" t="s">
        <v>4055</v>
      </c>
      <c r="B57" s="32" t="s">
        <v>4065</v>
      </c>
      <c r="C57" s="134"/>
      <c r="D57" s="134"/>
    </row>
    <row r="58" spans="1:4" ht="14.4" x14ac:dyDescent="0.3">
      <c r="A58" s="263" t="s">
        <v>4055</v>
      </c>
      <c r="B58" s="32" t="s">
        <v>4066</v>
      </c>
      <c r="C58" s="134"/>
      <c r="D58" s="134"/>
    </row>
    <row r="59" spans="1:4" ht="14.4" x14ac:dyDescent="0.3">
      <c r="A59" s="263" t="s">
        <v>4055</v>
      </c>
      <c r="B59" s="32" t="s">
        <v>4067</v>
      </c>
      <c r="C59" s="134"/>
      <c r="D59" s="134"/>
    </row>
    <row r="60" spans="1:4" ht="27.6" x14ac:dyDescent="0.3">
      <c r="A60" s="36" t="s">
        <v>4055</v>
      </c>
      <c r="B60" s="37" t="s">
        <v>4068</v>
      </c>
      <c r="C60" s="23"/>
      <c r="D60" s="36"/>
    </row>
    <row r="61" spans="1:4" ht="96.6" x14ac:dyDescent="0.3">
      <c r="A61" s="36" t="s">
        <v>4055</v>
      </c>
      <c r="B61" s="37" t="s">
        <v>4069</v>
      </c>
      <c r="C61" s="23"/>
      <c r="D61" s="36"/>
    </row>
    <row r="62" spans="1:4" ht="55.2" x14ac:dyDescent="0.3">
      <c r="A62" s="36" t="s">
        <v>4055</v>
      </c>
      <c r="B62" s="37" t="s">
        <v>4070</v>
      </c>
      <c r="C62" s="23"/>
      <c r="D62" s="36"/>
    </row>
    <row r="63" spans="1:4" ht="41.4" x14ac:dyDescent="0.3">
      <c r="A63" s="36" t="s">
        <v>4055</v>
      </c>
      <c r="B63" s="37" t="s">
        <v>4071</v>
      </c>
      <c r="C63" s="23"/>
      <c r="D63" s="36"/>
    </row>
    <row r="64" spans="1:4" ht="69" x14ac:dyDescent="0.3">
      <c r="A64" s="36" t="s">
        <v>4055</v>
      </c>
      <c r="B64" s="37" t="s">
        <v>4072</v>
      </c>
      <c r="C64" s="23"/>
      <c r="D64" s="36"/>
    </row>
    <row r="65" spans="1:4" ht="55.2" x14ac:dyDescent="0.3">
      <c r="A65" s="36" t="s">
        <v>4055</v>
      </c>
      <c r="B65" s="37" t="s">
        <v>4073</v>
      </c>
      <c r="C65" s="23"/>
      <c r="D65" s="36"/>
    </row>
    <row r="66" spans="1:4" ht="82.8" x14ac:dyDescent="0.3">
      <c r="A66" s="36" t="s">
        <v>4055</v>
      </c>
      <c r="B66" s="37" t="s">
        <v>4074</v>
      </c>
      <c r="C66" s="23"/>
      <c r="D66" s="36"/>
    </row>
    <row r="67" spans="1:4" ht="124.2" x14ac:dyDescent="0.3">
      <c r="A67" s="36" t="s">
        <v>4055</v>
      </c>
      <c r="B67" s="37" t="s">
        <v>4075</v>
      </c>
      <c r="C67" s="23"/>
      <c r="D67" s="36"/>
    </row>
    <row r="68" spans="1:4" ht="14.4" x14ac:dyDescent="0.3">
      <c r="A68" s="263" t="s">
        <v>4055</v>
      </c>
      <c r="B68" s="32" t="s">
        <v>4077</v>
      </c>
      <c r="C68" s="134"/>
      <c r="D68" s="134"/>
    </row>
    <row r="69" spans="1:4" ht="55.2" x14ac:dyDescent="0.3">
      <c r="A69" s="36" t="s">
        <v>4055</v>
      </c>
      <c r="B69" s="37" t="s">
        <v>4079</v>
      </c>
      <c r="C69" s="23"/>
      <c r="D69" s="36"/>
    </row>
    <row r="70" spans="1:4" ht="55.2" x14ac:dyDescent="0.3">
      <c r="A70" s="36" t="s">
        <v>4055</v>
      </c>
      <c r="B70" s="37" t="s">
        <v>4081</v>
      </c>
      <c r="C70" s="23"/>
      <c r="D70" s="36"/>
    </row>
    <row r="71" spans="1:4" ht="27.6" x14ac:dyDescent="0.3">
      <c r="A71" s="36" t="s">
        <v>4055</v>
      </c>
      <c r="B71" s="37" t="s">
        <v>4083</v>
      </c>
      <c r="C71" s="23"/>
      <c r="D71" s="36"/>
    </row>
    <row r="72" spans="1:4" ht="27.6" x14ac:dyDescent="0.3">
      <c r="A72" s="36" t="s">
        <v>4055</v>
      </c>
      <c r="B72" s="37" t="s">
        <v>4085</v>
      </c>
      <c r="C72" s="23"/>
      <c r="D72" s="36"/>
    </row>
    <row r="73" spans="1:4" ht="14.4" x14ac:dyDescent="0.3">
      <c r="A73" s="263" t="s">
        <v>4055</v>
      </c>
      <c r="B73" s="32" t="s">
        <v>4087</v>
      </c>
      <c r="C73" s="134"/>
      <c r="D73" s="134"/>
    </row>
    <row r="74" spans="1:4" ht="14.4" x14ac:dyDescent="0.3">
      <c r="A74" s="263" t="s">
        <v>4055</v>
      </c>
      <c r="B74" s="32" t="s">
        <v>3533</v>
      </c>
      <c r="C74" s="134"/>
      <c r="D74" s="134"/>
    </row>
    <row r="75" spans="1:4" ht="41.4" x14ac:dyDescent="0.3">
      <c r="A75" s="36" t="s">
        <v>4055</v>
      </c>
      <c r="B75" s="37" t="s">
        <v>4090</v>
      </c>
      <c r="C75" s="23"/>
      <c r="D75" s="36"/>
    </row>
    <row r="76" spans="1:4" ht="27.6" x14ac:dyDescent="0.3">
      <c r="A76" s="36" t="s">
        <v>4055</v>
      </c>
      <c r="B76" s="37" t="s">
        <v>4093</v>
      </c>
      <c r="C76" s="23"/>
      <c r="D76" s="36"/>
    </row>
    <row r="77" spans="1:4" ht="41.4" x14ac:dyDescent="0.3">
      <c r="A77" s="36" t="s">
        <v>4055</v>
      </c>
      <c r="B77" s="37" t="s">
        <v>4095</v>
      </c>
      <c r="C77" s="23"/>
      <c r="D77" s="36"/>
    </row>
    <row r="78" spans="1:4" ht="27.6" x14ac:dyDescent="0.3">
      <c r="A78" s="36" t="s">
        <v>4055</v>
      </c>
      <c r="B78" s="37" t="s">
        <v>4097</v>
      </c>
      <c r="C78" s="23"/>
      <c r="D78" s="36"/>
    </row>
    <row r="79" spans="1:4" ht="41.4" x14ac:dyDescent="0.3">
      <c r="A79" s="36" t="s">
        <v>4055</v>
      </c>
      <c r="B79" s="37" t="s">
        <v>4101</v>
      </c>
      <c r="C79" s="23"/>
      <c r="D79" s="36"/>
    </row>
    <row r="80" spans="1:4" ht="55.2" x14ac:dyDescent="0.3">
      <c r="A80" s="36" t="s">
        <v>4055</v>
      </c>
      <c r="B80" s="37" t="s">
        <v>4104</v>
      </c>
      <c r="C80" s="23"/>
      <c r="D80" s="36"/>
    </row>
    <row r="81" spans="1:4" ht="55.2" x14ac:dyDescent="0.3">
      <c r="A81" s="36" t="s">
        <v>4055</v>
      </c>
      <c r="B81" s="37" t="s">
        <v>4105</v>
      </c>
      <c r="C81" s="23"/>
      <c r="D81" s="36"/>
    </row>
    <row r="82" spans="1:4" ht="41.4" x14ac:dyDescent="0.3">
      <c r="A82" s="36" t="s">
        <v>4055</v>
      </c>
      <c r="B82" s="37" t="s">
        <v>4108</v>
      </c>
      <c r="C82" s="23"/>
      <c r="D82" s="36"/>
    </row>
    <row r="83" spans="1:4" ht="27.6" x14ac:dyDescent="0.3">
      <c r="A83" s="36" t="s">
        <v>4055</v>
      </c>
      <c r="B83" s="37" t="s">
        <v>4112</v>
      </c>
      <c r="C83" s="23"/>
      <c r="D83" s="36"/>
    </row>
    <row r="84" spans="1:4" ht="27.6" x14ac:dyDescent="0.3">
      <c r="A84" s="36" t="s">
        <v>4055</v>
      </c>
      <c r="B84" s="37" t="s">
        <v>4114</v>
      </c>
      <c r="C84" s="23"/>
      <c r="D84" s="36"/>
    </row>
    <row r="85" spans="1:4" ht="27.6" x14ac:dyDescent="0.3">
      <c r="A85" s="36" t="s">
        <v>4055</v>
      </c>
      <c r="B85" s="37" t="s">
        <v>4116</v>
      </c>
      <c r="C85" s="23"/>
      <c r="D85" s="36"/>
    </row>
    <row r="86" spans="1:4" ht="41.4" x14ac:dyDescent="0.3">
      <c r="A86" s="36" t="s">
        <v>4055</v>
      </c>
      <c r="B86" s="37" t="s">
        <v>4119</v>
      </c>
      <c r="C86" s="23"/>
      <c r="D86" s="36"/>
    </row>
    <row r="87" spans="1:4" ht="41.4" x14ac:dyDescent="0.3">
      <c r="A87" s="36" t="s">
        <v>4055</v>
      </c>
      <c r="B87" s="37" t="s">
        <v>4122</v>
      </c>
      <c r="C87" s="23"/>
      <c r="D87" s="36"/>
    </row>
    <row r="88" spans="1:4" ht="14.4" x14ac:dyDescent="0.3">
      <c r="A88" s="263" t="s">
        <v>4055</v>
      </c>
      <c r="B88" s="32" t="s">
        <v>4125</v>
      </c>
      <c r="C88" s="134"/>
      <c r="D88" s="134"/>
    </row>
    <row r="89" spans="1:4" ht="14.4" x14ac:dyDescent="0.3">
      <c r="A89" s="263" t="s">
        <v>4055</v>
      </c>
      <c r="B89" s="32" t="s">
        <v>3411</v>
      </c>
      <c r="C89" s="134"/>
      <c r="D89" s="134"/>
    </row>
    <row r="90" spans="1:4" ht="14.4" x14ac:dyDescent="0.3">
      <c r="A90" s="36" t="s">
        <v>4055</v>
      </c>
      <c r="B90" s="37" t="s">
        <v>4129</v>
      </c>
      <c r="C90" s="23"/>
      <c r="D90" s="36"/>
    </row>
    <row r="91" spans="1:4" ht="41.4" x14ac:dyDescent="0.3">
      <c r="A91" s="36" t="s">
        <v>4055</v>
      </c>
      <c r="B91" s="37" t="s">
        <v>4131</v>
      </c>
      <c r="C91" s="23"/>
      <c r="D91" s="36"/>
    </row>
    <row r="92" spans="1:4" ht="41.4" x14ac:dyDescent="0.3">
      <c r="A92" s="36" t="s">
        <v>4055</v>
      </c>
      <c r="B92" s="37" t="s">
        <v>4134</v>
      </c>
      <c r="C92" s="23"/>
      <c r="D92" s="36"/>
    </row>
    <row r="93" spans="1:4" ht="14.4" x14ac:dyDescent="0.3">
      <c r="A93" s="263" t="s">
        <v>4055</v>
      </c>
      <c r="B93" s="32" t="s">
        <v>4136</v>
      </c>
      <c r="C93" s="134"/>
      <c r="D93" s="134"/>
    </row>
    <row r="94" spans="1:4" ht="14.4" x14ac:dyDescent="0.3">
      <c r="A94" s="263" t="s">
        <v>4055</v>
      </c>
      <c r="B94" s="32" t="s">
        <v>4138</v>
      </c>
      <c r="C94" s="134"/>
      <c r="D94" s="134"/>
    </row>
    <row r="95" spans="1:4" ht="41.4" x14ac:dyDescent="0.3">
      <c r="A95" s="36" t="s">
        <v>4055</v>
      </c>
      <c r="B95" s="37" t="s">
        <v>4140</v>
      </c>
      <c r="C95" s="23"/>
      <c r="D95" s="36"/>
    </row>
    <row r="96" spans="1:4" ht="14.4" x14ac:dyDescent="0.3">
      <c r="A96" s="36" t="s">
        <v>4055</v>
      </c>
      <c r="B96" s="37" t="s">
        <v>4143</v>
      </c>
      <c r="C96" s="23"/>
      <c r="D96" s="36"/>
    </row>
    <row r="97" spans="1:4" ht="14.4" x14ac:dyDescent="0.3">
      <c r="A97" s="263" t="s">
        <v>4055</v>
      </c>
      <c r="B97" s="32" t="s">
        <v>4145</v>
      </c>
      <c r="C97" s="134"/>
      <c r="D97" s="134"/>
    </row>
    <row r="98" spans="1:4" ht="14.4" x14ac:dyDescent="0.3">
      <c r="A98" s="263" t="s">
        <v>4055</v>
      </c>
      <c r="B98" s="32" t="s">
        <v>4147</v>
      </c>
      <c r="C98" s="134"/>
      <c r="D98" s="134"/>
    </row>
    <row r="99" spans="1:4" ht="14.4" x14ac:dyDescent="0.3">
      <c r="A99" s="263" t="s">
        <v>4055</v>
      </c>
      <c r="B99" s="32" t="s">
        <v>4149</v>
      </c>
      <c r="C99" s="134"/>
      <c r="D99" s="134"/>
    </row>
    <row r="100" spans="1:4" ht="41.4" x14ac:dyDescent="0.3">
      <c r="A100" s="36" t="s">
        <v>4055</v>
      </c>
      <c r="B100" s="37" t="s">
        <v>4151</v>
      </c>
      <c r="C100" s="23"/>
      <c r="D100" s="36"/>
    </row>
    <row r="101" spans="1:4" ht="55.2" x14ac:dyDescent="0.3">
      <c r="A101" s="36" t="s">
        <v>4055</v>
      </c>
      <c r="B101" s="37" t="s">
        <v>4153</v>
      </c>
      <c r="C101" s="23"/>
      <c r="D101" s="36"/>
    </row>
    <row r="102" spans="1:4" ht="27.6" x14ac:dyDescent="0.3">
      <c r="A102" s="36" t="s">
        <v>4055</v>
      </c>
      <c r="B102" s="37" t="s">
        <v>4155</v>
      </c>
      <c r="C102" s="23"/>
      <c r="D102" s="36"/>
    </row>
    <row r="103" spans="1:4" ht="27.6" x14ac:dyDescent="0.3">
      <c r="A103" s="36" t="s">
        <v>4055</v>
      </c>
      <c r="B103" s="37" t="s">
        <v>4157</v>
      </c>
      <c r="C103" s="23"/>
      <c r="D103" s="36"/>
    </row>
    <row r="104" spans="1:4" ht="69" x14ac:dyDescent="0.3">
      <c r="A104" s="36" t="s">
        <v>4055</v>
      </c>
      <c r="B104" s="37" t="s">
        <v>4159</v>
      </c>
      <c r="C104" s="23"/>
      <c r="D104" s="36"/>
    </row>
    <row r="105" spans="1:4" ht="27.6" x14ac:dyDescent="0.3">
      <c r="A105" s="36" t="s">
        <v>4055</v>
      </c>
      <c r="B105" s="37" t="s">
        <v>4161</v>
      </c>
      <c r="C105" s="23"/>
      <c r="D105" s="36"/>
    </row>
    <row r="106" spans="1:4" ht="55.2" x14ac:dyDescent="0.3">
      <c r="A106" s="36" t="s">
        <v>4055</v>
      </c>
      <c r="B106" s="37" t="s">
        <v>4162</v>
      </c>
      <c r="C106" s="23"/>
      <c r="D106" s="36"/>
    </row>
    <row r="107" spans="1:4" ht="41.4" x14ac:dyDescent="0.3">
      <c r="A107" s="36" t="s">
        <v>4055</v>
      </c>
      <c r="B107" s="37" t="s">
        <v>4164</v>
      </c>
      <c r="C107" s="23"/>
      <c r="D107" s="36"/>
    </row>
    <row r="108" spans="1:4" ht="27.6" x14ac:dyDescent="0.3">
      <c r="A108" s="36" t="s">
        <v>4055</v>
      </c>
      <c r="B108" s="37" t="s">
        <v>4166</v>
      </c>
      <c r="C108" s="23"/>
      <c r="D108" s="36"/>
    </row>
    <row r="109" spans="1:4" ht="55.2" x14ac:dyDescent="0.3">
      <c r="A109" s="36" t="s">
        <v>4055</v>
      </c>
      <c r="B109" s="37" t="s">
        <v>4168</v>
      </c>
      <c r="C109" s="23"/>
      <c r="D109" s="36"/>
    </row>
    <row r="110" spans="1:4" ht="14.4" x14ac:dyDescent="0.3">
      <c r="A110" s="263" t="s">
        <v>4055</v>
      </c>
      <c r="B110" s="32" t="s">
        <v>4136</v>
      </c>
      <c r="C110" s="134"/>
      <c r="D110" s="134"/>
    </row>
    <row r="111" spans="1:4" ht="14.4" x14ac:dyDescent="0.3">
      <c r="A111" s="263" t="s">
        <v>4055</v>
      </c>
      <c r="B111" s="32" t="s">
        <v>1232</v>
      </c>
      <c r="C111" s="134"/>
      <c r="D111" s="134"/>
    </row>
    <row r="112" spans="1:4" ht="27.6" x14ac:dyDescent="0.3">
      <c r="A112" s="36" t="s">
        <v>4055</v>
      </c>
      <c r="B112" s="37" t="s">
        <v>4173</v>
      </c>
      <c r="C112" s="23"/>
      <c r="D112" s="36"/>
    </row>
    <row r="113" spans="1:4" ht="14.4" x14ac:dyDescent="0.3">
      <c r="A113" s="36" t="s">
        <v>4055</v>
      </c>
      <c r="B113" s="37" t="s">
        <v>4174</v>
      </c>
      <c r="C113" s="23"/>
      <c r="D113" s="36"/>
    </row>
    <row r="114" spans="1:4" ht="14.4" x14ac:dyDescent="0.3">
      <c r="A114" s="263" t="s">
        <v>4055</v>
      </c>
      <c r="B114" s="32" t="s">
        <v>4176</v>
      </c>
      <c r="C114" s="134"/>
      <c r="D114" s="134"/>
    </row>
    <row r="115" spans="1:4" ht="14.4" x14ac:dyDescent="0.3">
      <c r="A115" s="263" t="s">
        <v>4055</v>
      </c>
      <c r="B115" s="32" t="s">
        <v>4177</v>
      </c>
      <c r="C115" s="134"/>
      <c r="D115" s="134"/>
    </row>
    <row r="116" spans="1:4" ht="27.6" x14ac:dyDescent="0.3">
      <c r="A116" s="36" t="s">
        <v>4055</v>
      </c>
      <c r="B116" s="37" t="s">
        <v>4179</v>
      </c>
      <c r="C116" s="23"/>
      <c r="D116" s="36"/>
    </row>
    <row r="117" spans="1:4" ht="27.6" x14ac:dyDescent="0.3">
      <c r="A117" s="36" t="s">
        <v>4055</v>
      </c>
      <c r="B117" s="37" t="s">
        <v>4180</v>
      </c>
      <c r="C117" s="23"/>
      <c r="D117" s="36"/>
    </row>
    <row r="118" spans="1:4" ht="41.4" x14ac:dyDescent="0.3">
      <c r="A118" s="36" t="s">
        <v>4055</v>
      </c>
      <c r="B118" s="37" t="s">
        <v>4182</v>
      </c>
      <c r="C118" s="23"/>
      <c r="D118" s="36"/>
    </row>
    <row r="119" spans="1:4" ht="55.2" x14ac:dyDescent="0.3">
      <c r="A119" s="36" t="s">
        <v>4055</v>
      </c>
      <c r="B119" s="37" t="s">
        <v>4183</v>
      </c>
      <c r="C119" s="23"/>
      <c r="D119" s="36"/>
    </row>
    <row r="120" spans="1:4" ht="27.6" x14ac:dyDescent="0.3">
      <c r="A120" s="36" t="s">
        <v>4055</v>
      </c>
      <c r="B120" s="37" t="s">
        <v>4185</v>
      </c>
      <c r="C120" s="23"/>
      <c r="D120" s="36"/>
    </row>
    <row r="121" spans="1:4" ht="14.4" x14ac:dyDescent="0.3">
      <c r="A121" s="263" t="s">
        <v>4055</v>
      </c>
      <c r="B121" s="32" t="s">
        <v>4187</v>
      </c>
      <c r="C121" s="134"/>
      <c r="D121" s="134"/>
    </row>
    <row r="122" spans="1:4" ht="14.4" x14ac:dyDescent="0.3">
      <c r="A122" s="263" t="s">
        <v>4055</v>
      </c>
      <c r="B122" s="32" t="s">
        <v>3423</v>
      </c>
      <c r="C122" s="134"/>
      <c r="D122" s="134"/>
    </row>
    <row r="123" spans="1:4" ht="14.4" x14ac:dyDescent="0.3">
      <c r="A123" s="36" t="s">
        <v>4055</v>
      </c>
      <c r="B123" s="37" t="s">
        <v>4191</v>
      </c>
      <c r="C123" s="23"/>
      <c r="D123" s="36"/>
    </row>
    <row r="124" spans="1:4" ht="14.4" x14ac:dyDescent="0.3">
      <c r="A124" s="36" t="s">
        <v>4055</v>
      </c>
      <c r="B124" s="37" t="s">
        <v>4192</v>
      </c>
      <c r="C124" s="23"/>
      <c r="D124" s="36"/>
    </row>
    <row r="125" spans="1:4" ht="41.4" x14ac:dyDescent="0.3">
      <c r="A125" s="36" t="s">
        <v>4055</v>
      </c>
      <c r="B125" s="37" t="s">
        <v>4194</v>
      </c>
      <c r="C125" s="23"/>
      <c r="D125" s="36"/>
    </row>
    <row r="126" spans="1:4" ht="41.4" x14ac:dyDescent="0.3">
      <c r="A126" s="36" t="s">
        <v>4055</v>
      </c>
      <c r="B126" s="37" t="s">
        <v>4196</v>
      </c>
      <c r="C126" s="23"/>
      <c r="D126" s="36"/>
    </row>
    <row r="127" spans="1:4" ht="14.4" x14ac:dyDescent="0.3">
      <c r="A127" s="263" t="s">
        <v>4055</v>
      </c>
      <c r="B127" s="32" t="s">
        <v>4197</v>
      </c>
      <c r="C127" s="134"/>
      <c r="D127" s="134"/>
    </row>
    <row r="128" spans="1:4" ht="27.6" x14ac:dyDescent="0.3">
      <c r="A128" s="36" t="s">
        <v>4055</v>
      </c>
      <c r="B128" s="37" t="s">
        <v>4200</v>
      </c>
      <c r="C128" s="23"/>
      <c r="D128" s="36"/>
    </row>
    <row r="129" spans="1:4" ht="27.6" x14ac:dyDescent="0.3">
      <c r="A129" s="36" t="s">
        <v>4055</v>
      </c>
      <c r="B129" s="37" t="s">
        <v>4202</v>
      </c>
      <c r="C129" s="23"/>
      <c r="D129" s="36"/>
    </row>
    <row r="130" spans="1:4" ht="41.4" x14ac:dyDescent="0.3">
      <c r="A130" s="36" t="s">
        <v>4055</v>
      </c>
      <c r="B130" s="37" t="s">
        <v>4204</v>
      </c>
      <c r="C130" s="23"/>
      <c r="D130" s="36"/>
    </row>
    <row r="131" spans="1:4" ht="14.4" x14ac:dyDescent="0.3">
      <c r="A131" s="263" t="s">
        <v>4055</v>
      </c>
      <c r="B131" s="32" t="s">
        <v>922</v>
      </c>
      <c r="C131" s="134"/>
      <c r="D131" s="134"/>
    </row>
    <row r="132" spans="1:4" ht="14.4" x14ac:dyDescent="0.3">
      <c r="A132" s="263" t="s">
        <v>4055</v>
      </c>
      <c r="B132" s="32" t="s">
        <v>4025</v>
      </c>
      <c r="C132" s="134"/>
      <c r="D132" s="134"/>
    </row>
    <row r="133" spans="1:4" ht="55.2" x14ac:dyDescent="0.3">
      <c r="A133" s="36" t="s">
        <v>4055</v>
      </c>
      <c r="B133" s="37" t="s">
        <v>4209</v>
      </c>
      <c r="C133" s="23"/>
      <c r="D133" s="36"/>
    </row>
    <row r="134" spans="1:4" ht="14.4" x14ac:dyDescent="0.3">
      <c r="A134" s="263" t="s">
        <v>4055</v>
      </c>
      <c r="B134" s="32" t="s">
        <v>4065</v>
      </c>
      <c r="C134" s="134"/>
      <c r="D134" s="134"/>
    </row>
    <row r="135" spans="1:4" ht="14.4" x14ac:dyDescent="0.3">
      <c r="A135" s="263" t="s">
        <v>4055</v>
      </c>
      <c r="B135" s="32" t="s">
        <v>4066</v>
      </c>
      <c r="C135" s="134"/>
      <c r="D135" s="134"/>
    </row>
    <row r="136" spans="1:4" ht="27.6" x14ac:dyDescent="0.3">
      <c r="A136" s="36" t="s">
        <v>4055</v>
      </c>
      <c r="B136" s="37" t="s">
        <v>4212</v>
      </c>
      <c r="C136" s="23"/>
      <c r="D136" s="36"/>
    </row>
    <row r="137" spans="1:4" ht="14.4" x14ac:dyDescent="0.3">
      <c r="A137" s="36" t="s">
        <v>4055</v>
      </c>
      <c r="B137" s="37" t="s">
        <v>4213</v>
      </c>
      <c r="C137" s="23"/>
      <c r="D137" s="36"/>
    </row>
    <row r="138" spans="1:4" ht="41.4" x14ac:dyDescent="0.3">
      <c r="A138" s="36" t="s">
        <v>4055</v>
      </c>
      <c r="B138" s="37" t="s">
        <v>4214</v>
      </c>
      <c r="C138" s="23"/>
      <c r="D138" s="36"/>
    </row>
    <row r="139" spans="1:4" ht="27.6" x14ac:dyDescent="0.3">
      <c r="A139" s="36" t="s">
        <v>4055</v>
      </c>
      <c r="B139" s="37" t="s">
        <v>4215</v>
      </c>
      <c r="C139" s="23"/>
      <c r="D139" s="36"/>
    </row>
    <row r="140" spans="1:4" ht="27.6" x14ac:dyDescent="0.3">
      <c r="A140" s="36" t="s">
        <v>4055</v>
      </c>
      <c r="B140" s="37" t="s">
        <v>4216</v>
      </c>
      <c r="C140" s="23"/>
      <c r="D140" s="36"/>
    </row>
    <row r="141" spans="1:4" ht="41.4" x14ac:dyDescent="0.3">
      <c r="A141" s="36" t="s">
        <v>4055</v>
      </c>
      <c r="B141" s="37" t="s">
        <v>4219</v>
      </c>
      <c r="C141" s="23"/>
      <c r="D141" s="36"/>
    </row>
    <row r="142" spans="1:4" ht="27.6" x14ac:dyDescent="0.3">
      <c r="A142" s="36" t="s">
        <v>4055</v>
      </c>
      <c r="B142" s="37" t="s">
        <v>4221</v>
      </c>
      <c r="C142" s="23"/>
      <c r="D142" s="36"/>
    </row>
    <row r="143" spans="1:4" ht="41.4" x14ac:dyDescent="0.3">
      <c r="A143" s="36" t="s">
        <v>4055</v>
      </c>
      <c r="B143" s="37" t="s">
        <v>4222</v>
      </c>
      <c r="C143" s="23"/>
      <c r="D143" s="36"/>
    </row>
    <row r="144" spans="1:4" ht="41.4" x14ac:dyDescent="0.3">
      <c r="A144" s="36" t="s">
        <v>4055</v>
      </c>
      <c r="B144" s="37" t="s">
        <v>4223</v>
      </c>
      <c r="C144" s="23"/>
      <c r="D144" s="36"/>
    </row>
    <row r="145" spans="1:4" ht="14.4" x14ac:dyDescent="0.3">
      <c r="A145" s="263" t="s">
        <v>4055</v>
      </c>
      <c r="B145" s="32" t="s">
        <v>4224</v>
      </c>
      <c r="C145" s="134"/>
      <c r="D145" s="134"/>
    </row>
    <row r="146" spans="1:4" ht="69" x14ac:dyDescent="0.3">
      <c r="A146" s="36" t="s">
        <v>4055</v>
      </c>
      <c r="B146" s="37" t="s">
        <v>4225</v>
      </c>
      <c r="C146" s="23"/>
      <c r="D146" s="36"/>
    </row>
    <row r="147" spans="1:4" ht="27.6" x14ac:dyDescent="0.3">
      <c r="A147" s="36" t="s">
        <v>4055</v>
      </c>
      <c r="B147" s="37" t="s">
        <v>4226</v>
      </c>
      <c r="C147" s="23"/>
      <c r="D147" s="36"/>
    </row>
    <row r="148" spans="1:4" ht="14.4" x14ac:dyDescent="0.3">
      <c r="A148" s="36" t="s">
        <v>4055</v>
      </c>
      <c r="B148" s="37" t="s">
        <v>4227</v>
      </c>
      <c r="C148" s="23"/>
      <c r="D148" s="36"/>
    </row>
    <row r="149" spans="1:4" ht="14.4" x14ac:dyDescent="0.3">
      <c r="A149" s="36" t="s">
        <v>4055</v>
      </c>
      <c r="B149" s="37" t="s">
        <v>4228</v>
      </c>
      <c r="C149" s="23"/>
      <c r="D149" s="36"/>
    </row>
    <row r="150" spans="1:4" ht="27.6" x14ac:dyDescent="0.3">
      <c r="A150" s="36" t="s">
        <v>4055</v>
      </c>
      <c r="B150" s="37" t="s">
        <v>4229</v>
      </c>
      <c r="C150" s="23"/>
      <c r="D150" s="36"/>
    </row>
    <row r="151" spans="1:4" ht="14.4" x14ac:dyDescent="0.3">
      <c r="A151" s="263" t="s">
        <v>4055</v>
      </c>
      <c r="B151" s="32" t="s">
        <v>4230</v>
      </c>
      <c r="C151" s="134"/>
      <c r="D151" s="134"/>
    </row>
    <row r="152" spans="1:4" ht="14.4" x14ac:dyDescent="0.3">
      <c r="A152" s="263" t="s">
        <v>4055</v>
      </c>
      <c r="B152" s="32" t="s">
        <v>4231</v>
      </c>
      <c r="C152" s="134"/>
      <c r="D152" s="134"/>
    </row>
    <row r="153" spans="1:4" ht="27.6" x14ac:dyDescent="0.3">
      <c r="A153" s="36" t="s">
        <v>4055</v>
      </c>
      <c r="B153" s="37" t="s">
        <v>4232</v>
      </c>
      <c r="C153" s="23"/>
      <c r="D153" s="36"/>
    </row>
    <row r="154" spans="1:4" ht="14.4" x14ac:dyDescent="0.3">
      <c r="A154" s="36" t="s">
        <v>4055</v>
      </c>
      <c r="B154" s="37" t="s">
        <v>4233</v>
      </c>
      <c r="C154" s="23"/>
      <c r="D154" s="36"/>
    </row>
    <row r="155" spans="1:4" ht="27.6" x14ac:dyDescent="0.3">
      <c r="A155" s="36" t="s">
        <v>4055</v>
      </c>
      <c r="B155" s="37" t="s">
        <v>4234</v>
      </c>
      <c r="C155" s="23"/>
      <c r="D155" s="36"/>
    </row>
    <row r="156" spans="1:4" ht="27.6" x14ac:dyDescent="0.3">
      <c r="A156" s="36" t="s">
        <v>4055</v>
      </c>
      <c r="B156" s="37" t="s">
        <v>4235</v>
      </c>
      <c r="C156" s="23"/>
      <c r="D156" s="36"/>
    </row>
    <row r="157" spans="1:4" ht="41.4" x14ac:dyDescent="0.3">
      <c r="A157" s="36" t="s">
        <v>4055</v>
      </c>
      <c r="B157" s="37" t="s">
        <v>4236</v>
      </c>
      <c r="C157" s="23"/>
      <c r="D157" s="36"/>
    </row>
    <row r="158" spans="1:4" ht="14.4" x14ac:dyDescent="0.3">
      <c r="A158" s="36" t="s">
        <v>4055</v>
      </c>
      <c r="B158" s="37" t="s">
        <v>4237</v>
      </c>
      <c r="C158" s="23"/>
      <c r="D158" s="36"/>
    </row>
    <row r="159" spans="1:4" ht="14.4" x14ac:dyDescent="0.3">
      <c r="A159" s="36" t="s">
        <v>4055</v>
      </c>
      <c r="B159" s="37" t="s">
        <v>4238</v>
      </c>
      <c r="C159" s="23"/>
      <c r="D159" s="36"/>
    </row>
    <row r="160" spans="1:4" ht="41.4" x14ac:dyDescent="0.3">
      <c r="A160" s="36" t="s">
        <v>4055</v>
      </c>
      <c r="B160" s="37" t="s">
        <v>4239</v>
      </c>
      <c r="C160" s="23"/>
      <c r="D160" s="36"/>
    </row>
    <row r="161" spans="1:4" ht="14.4" x14ac:dyDescent="0.3">
      <c r="A161" s="36" t="s">
        <v>4055</v>
      </c>
      <c r="B161" s="37" t="s">
        <v>4240</v>
      </c>
      <c r="C161" s="23"/>
      <c r="D161" s="36"/>
    </row>
    <row r="162" spans="1:4" ht="14.4" x14ac:dyDescent="0.3">
      <c r="A162" s="263" t="s">
        <v>4055</v>
      </c>
      <c r="B162" s="32" t="s">
        <v>4241</v>
      </c>
      <c r="C162" s="134"/>
      <c r="D162" s="134"/>
    </row>
    <row r="163" spans="1:4" ht="14.4" x14ac:dyDescent="0.3">
      <c r="A163" s="263" t="s">
        <v>4055</v>
      </c>
      <c r="B163" s="32" t="s">
        <v>4242</v>
      </c>
      <c r="C163" s="134"/>
      <c r="D163" s="134"/>
    </row>
    <row r="164" spans="1:4" ht="14.4" x14ac:dyDescent="0.3">
      <c r="A164" s="36" t="s">
        <v>4055</v>
      </c>
      <c r="B164" s="37" t="s">
        <v>4243</v>
      </c>
      <c r="C164" s="23"/>
      <c r="D164" s="36"/>
    </row>
    <row r="165" spans="1:4" ht="55.2" x14ac:dyDescent="0.3">
      <c r="A165" s="36" t="s">
        <v>4055</v>
      </c>
      <c r="B165" s="37" t="s">
        <v>4244</v>
      </c>
      <c r="C165" s="23"/>
      <c r="D165" s="36"/>
    </row>
    <row r="166" spans="1:4" ht="14.4" x14ac:dyDescent="0.3">
      <c r="A166" s="36" t="s">
        <v>4055</v>
      </c>
      <c r="B166" s="37" t="s">
        <v>4245</v>
      </c>
      <c r="C166" s="23"/>
      <c r="D166" s="36"/>
    </row>
    <row r="167" spans="1:4" ht="14.4" x14ac:dyDescent="0.3">
      <c r="A167" s="263" t="s">
        <v>4055</v>
      </c>
      <c r="B167" s="32" t="s">
        <v>4197</v>
      </c>
      <c r="C167" s="134"/>
      <c r="D167" s="134"/>
    </row>
    <row r="168" spans="1:4" ht="14.4" x14ac:dyDescent="0.3">
      <c r="A168" s="263" t="s">
        <v>4055</v>
      </c>
      <c r="B168" s="32" t="s">
        <v>4246</v>
      </c>
      <c r="C168" s="134"/>
      <c r="D168" s="134"/>
    </row>
    <row r="169" spans="1:4" ht="27.6" x14ac:dyDescent="0.3">
      <c r="A169" s="36" t="s">
        <v>4055</v>
      </c>
      <c r="B169" s="37" t="s">
        <v>4247</v>
      </c>
      <c r="C169" s="23"/>
      <c r="D169" s="36"/>
    </row>
    <row r="170" spans="1:4" ht="41.4" x14ac:dyDescent="0.3">
      <c r="A170" s="36" t="s">
        <v>4055</v>
      </c>
      <c r="B170" s="37" t="s">
        <v>4248</v>
      </c>
      <c r="C170" s="23"/>
      <c r="D170" s="36"/>
    </row>
    <row r="171" spans="1:4" ht="14.4" x14ac:dyDescent="0.3">
      <c r="A171" s="36" t="s">
        <v>4055</v>
      </c>
      <c r="B171" s="37" t="s">
        <v>1227</v>
      </c>
      <c r="C171" s="23"/>
      <c r="D171" s="36"/>
    </row>
    <row r="172" spans="1:4" ht="14.4" x14ac:dyDescent="0.3">
      <c r="A172" s="263" t="s">
        <v>4055</v>
      </c>
      <c r="B172" s="32" t="s">
        <v>1939</v>
      </c>
      <c r="C172" s="134"/>
      <c r="D172" s="134"/>
    </row>
    <row r="173" spans="1:4" ht="27.6" x14ac:dyDescent="0.3">
      <c r="A173" s="36" t="s">
        <v>4055</v>
      </c>
      <c r="B173" s="37" t="s">
        <v>2327</v>
      </c>
      <c r="C173" s="23"/>
      <c r="D173" s="36"/>
    </row>
    <row r="174" spans="1:4" ht="14.4" x14ac:dyDescent="0.3">
      <c r="A174" s="263" t="s">
        <v>4249</v>
      </c>
      <c r="B174" s="32" t="s">
        <v>1081</v>
      </c>
      <c r="C174" s="134"/>
      <c r="D174" s="134"/>
    </row>
    <row r="175" spans="1:4" ht="14.4" x14ac:dyDescent="0.3">
      <c r="A175" s="263" t="s">
        <v>4249</v>
      </c>
      <c r="B175" s="32" t="s">
        <v>4025</v>
      </c>
      <c r="C175" s="134"/>
      <c r="D175" s="134"/>
    </row>
    <row r="176" spans="1:4" ht="14.4" x14ac:dyDescent="0.3">
      <c r="A176" s="263" t="s">
        <v>4249</v>
      </c>
      <c r="B176" s="32" t="s">
        <v>4250</v>
      </c>
      <c r="C176" s="134"/>
      <c r="D176" s="134"/>
    </row>
    <row r="177" spans="1:4" ht="27.6" x14ac:dyDescent="0.3">
      <c r="A177" s="36" t="s">
        <v>4249</v>
      </c>
      <c r="B177" s="37" t="s">
        <v>4251</v>
      </c>
      <c r="C177" s="23"/>
      <c r="D177" s="36"/>
    </row>
    <row r="178" spans="1:4" ht="27.6" x14ac:dyDescent="0.3">
      <c r="A178" s="36" t="s">
        <v>4249</v>
      </c>
      <c r="B178" s="37" t="s">
        <v>4252</v>
      </c>
      <c r="C178" s="23"/>
      <c r="D178" s="36"/>
    </row>
    <row r="179" spans="1:4" ht="14.4" x14ac:dyDescent="0.3">
      <c r="A179" s="36" t="s">
        <v>4249</v>
      </c>
      <c r="B179" s="37" t="s">
        <v>4253</v>
      </c>
      <c r="C179" s="23"/>
      <c r="D179" s="36"/>
    </row>
    <row r="180" spans="1:4" ht="14.4" x14ac:dyDescent="0.3">
      <c r="A180" s="36" t="s">
        <v>4249</v>
      </c>
      <c r="B180" s="37" t="s">
        <v>4254</v>
      </c>
      <c r="C180" s="23"/>
      <c r="D180" s="36"/>
    </row>
    <row r="181" spans="1:4" ht="41.4" x14ac:dyDescent="0.3">
      <c r="A181" s="36" t="s">
        <v>4249</v>
      </c>
      <c r="B181" s="37" t="s">
        <v>4255</v>
      </c>
      <c r="C181" s="23"/>
      <c r="D181" s="36"/>
    </row>
    <row r="182" spans="1:4" ht="14.4" x14ac:dyDescent="0.3">
      <c r="A182" s="36" t="s">
        <v>4249</v>
      </c>
      <c r="B182" s="37" t="s">
        <v>4256</v>
      </c>
      <c r="C182" s="23"/>
      <c r="D182" s="36"/>
    </row>
    <row r="183" spans="1:4" ht="14.4" x14ac:dyDescent="0.3">
      <c r="A183" s="36" t="s">
        <v>4249</v>
      </c>
      <c r="B183" s="37" t="s">
        <v>4257</v>
      </c>
      <c r="C183" s="23"/>
      <c r="D183" s="36"/>
    </row>
    <row r="184" spans="1:4" ht="14.4" x14ac:dyDescent="0.3">
      <c r="A184" s="36" t="s">
        <v>4249</v>
      </c>
      <c r="B184" s="37" t="s">
        <v>4258</v>
      </c>
      <c r="C184" s="23"/>
      <c r="D184" s="36"/>
    </row>
    <row r="185" spans="1:4" ht="27.6" x14ac:dyDescent="0.3">
      <c r="A185" s="36" t="s">
        <v>4249</v>
      </c>
      <c r="B185" s="37" t="s">
        <v>4259</v>
      </c>
      <c r="C185" s="23"/>
      <c r="D185" s="36"/>
    </row>
    <row r="186" spans="1:4" ht="27.6" x14ac:dyDescent="0.3">
      <c r="A186" s="36" t="s">
        <v>4249</v>
      </c>
      <c r="B186" s="37" t="s">
        <v>4260</v>
      </c>
      <c r="C186" s="23"/>
      <c r="D186" s="36"/>
    </row>
    <row r="187" spans="1:4" ht="14.4" x14ac:dyDescent="0.3">
      <c r="A187" s="36" t="s">
        <v>4249</v>
      </c>
      <c r="B187" s="37" t="s">
        <v>4261</v>
      </c>
      <c r="C187" s="23"/>
      <c r="D187" s="36"/>
    </row>
    <row r="188" spans="1:4" ht="14.4" x14ac:dyDescent="0.3">
      <c r="A188" s="36" t="s">
        <v>4249</v>
      </c>
      <c r="B188" s="37" t="s">
        <v>4262</v>
      </c>
      <c r="C188" s="23"/>
      <c r="D188" s="36"/>
    </row>
    <row r="189" spans="1:4" ht="55.2" x14ac:dyDescent="0.3">
      <c r="A189" s="36" t="s">
        <v>4249</v>
      </c>
      <c r="B189" s="37" t="s">
        <v>4264</v>
      </c>
      <c r="C189" s="23"/>
      <c r="D189" s="36"/>
    </row>
    <row r="190" spans="1:4" ht="14.4" x14ac:dyDescent="0.3">
      <c r="A190" s="36" t="s">
        <v>4249</v>
      </c>
      <c r="B190" s="37" t="s">
        <v>4266</v>
      </c>
      <c r="C190" s="23"/>
      <c r="D190" s="36"/>
    </row>
    <row r="191" spans="1:4" ht="14.4" x14ac:dyDescent="0.3">
      <c r="A191" s="36" t="s">
        <v>4249</v>
      </c>
      <c r="B191" s="37" t="s">
        <v>4267</v>
      </c>
      <c r="C191" s="23"/>
      <c r="D191" s="36"/>
    </row>
    <row r="192" spans="1:4" ht="14.4" x14ac:dyDescent="0.3">
      <c r="A192" s="36" t="s">
        <v>4249</v>
      </c>
      <c r="B192" s="37" t="s">
        <v>4268</v>
      </c>
      <c r="C192" s="23"/>
      <c r="D192" s="36"/>
    </row>
    <row r="193" spans="1:4" ht="14.4" x14ac:dyDescent="0.3">
      <c r="A193" s="36" t="s">
        <v>4249</v>
      </c>
      <c r="B193" s="37" t="s">
        <v>4270</v>
      </c>
      <c r="C193" s="23"/>
      <c r="D193" s="36"/>
    </row>
    <row r="194" spans="1:4" ht="14.4" x14ac:dyDescent="0.3">
      <c r="A194" s="36" t="s">
        <v>4249</v>
      </c>
      <c r="B194" s="37" t="s">
        <v>4273</v>
      </c>
      <c r="C194" s="23"/>
      <c r="D194" s="36"/>
    </row>
    <row r="195" spans="1:4" ht="14.4" x14ac:dyDescent="0.3">
      <c r="A195" s="36" t="s">
        <v>4249</v>
      </c>
      <c r="B195" s="37" t="s">
        <v>4275</v>
      </c>
      <c r="C195" s="23"/>
      <c r="D195" s="36"/>
    </row>
    <row r="196" spans="1:4" ht="14.4" x14ac:dyDescent="0.3">
      <c r="A196" s="36" t="s">
        <v>4249</v>
      </c>
      <c r="B196" s="37" t="s">
        <v>4279</v>
      </c>
      <c r="C196" s="23"/>
      <c r="D196" s="36"/>
    </row>
    <row r="197" spans="1:4" ht="27.6" x14ac:dyDescent="0.3">
      <c r="A197" s="36" t="s">
        <v>4249</v>
      </c>
      <c r="B197" s="37" t="s">
        <v>4281</v>
      </c>
      <c r="C197" s="23"/>
      <c r="D197" s="36"/>
    </row>
    <row r="198" spans="1:4" ht="41.4" x14ac:dyDescent="0.3">
      <c r="A198" s="36" t="s">
        <v>4249</v>
      </c>
      <c r="B198" s="37" t="s">
        <v>4284</v>
      </c>
      <c r="C198" s="23"/>
      <c r="D198" s="36"/>
    </row>
    <row r="199" spans="1:4" ht="55.2" x14ac:dyDescent="0.3">
      <c r="A199" s="36" t="s">
        <v>4249</v>
      </c>
      <c r="B199" s="37" t="s">
        <v>4287</v>
      </c>
      <c r="C199" s="23"/>
      <c r="D199" s="36"/>
    </row>
    <row r="200" spans="1:4" ht="14.4" x14ac:dyDescent="0.3">
      <c r="A200" s="36" t="s">
        <v>4249</v>
      </c>
      <c r="B200" s="37" t="s">
        <v>4291</v>
      </c>
      <c r="C200" s="23"/>
      <c r="D200" s="36"/>
    </row>
    <row r="201" spans="1:4" ht="27.6" x14ac:dyDescent="0.3">
      <c r="A201" s="36" t="s">
        <v>4249</v>
      </c>
      <c r="B201" s="37" t="s">
        <v>4293</v>
      </c>
      <c r="C201" s="23"/>
      <c r="D201" s="36"/>
    </row>
    <row r="202" spans="1:4" ht="27.6" x14ac:dyDescent="0.3">
      <c r="A202" s="36" t="s">
        <v>4249</v>
      </c>
      <c r="B202" s="37" t="s">
        <v>4296</v>
      </c>
      <c r="C202" s="23"/>
      <c r="D202" s="36"/>
    </row>
    <row r="203" spans="1:4" ht="27.6" x14ac:dyDescent="0.3">
      <c r="A203" s="36" t="s">
        <v>4249</v>
      </c>
      <c r="B203" s="37" t="s">
        <v>4297</v>
      </c>
      <c r="C203" s="23"/>
      <c r="D203" s="36"/>
    </row>
    <row r="204" spans="1:4" ht="14.4" x14ac:dyDescent="0.3">
      <c r="A204" s="36" t="s">
        <v>4249</v>
      </c>
      <c r="B204" s="37" t="s">
        <v>4300</v>
      </c>
      <c r="C204" s="23"/>
      <c r="D204" s="36"/>
    </row>
    <row r="205" spans="1:4" ht="27.6" x14ac:dyDescent="0.3">
      <c r="A205" s="36" t="s">
        <v>4249</v>
      </c>
      <c r="B205" s="37" t="s">
        <v>4303</v>
      </c>
      <c r="C205" s="23"/>
      <c r="D205" s="36"/>
    </row>
    <row r="206" spans="1:4" ht="14.4" x14ac:dyDescent="0.3">
      <c r="A206" s="263" t="s">
        <v>4249</v>
      </c>
      <c r="B206" s="32" t="s">
        <v>922</v>
      </c>
      <c r="C206" s="134"/>
      <c r="D206" s="134"/>
    </row>
    <row r="207" spans="1:4" ht="14.4" x14ac:dyDescent="0.3">
      <c r="A207" s="263" t="s">
        <v>4249</v>
      </c>
      <c r="B207" s="32" t="s">
        <v>4025</v>
      </c>
      <c r="C207" s="134"/>
      <c r="D207" s="134"/>
    </row>
    <row r="208" spans="1:4" ht="14.4" x14ac:dyDescent="0.3">
      <c r="A208" s="263" t="s">
        <v>4249</v>
      </c>
      <c r="B208" s="32" t="s">
        <v>4311</v>
      </c>
      <c r="C208" s="134"/>
      <c r="D208" s="134"/>
    </row>
    <row r="209" spans="1:4" ht="27.6" x14ac:dyDescent="0.3">
      <c r="A209" s="36" t="s">
        <v>4249</v>
      </c>
      <c r="B209" s="37" t="s">
        <v>4314</v>
      </c>
      <c r="C209" s="23"/>
      <c r="D209" s="36"/>
    </row>
    <row r="210" spans="1:4" ht="55.2" x14ac:dyDescent="0.3">
      <c r="A210" s="36" t="s">
        <v>4249</v>
      </c>
      <c r="B210" s="37" t="s">
        <v>4318</v>
      </c>
      <c r="C210" s="23"/>
      <c r="D210" s="36"/>
    </row>
    <row r="211" spans="1:4" ht="27.6" x14ac:dyDescent="0.3">
      <c r="A211" s="36" t="s">
        <v>4249</v>
      </c>
      <c r="B211" s="37" t="s">
        <v>4321</v>
      </c>
      <c r="C211" s="23"/>
      <c r="D211" s="36"/>
    </row>
    <row r="212" spans="1:4" ht="14.4" x14ac:dyDescent="0.3">
      <c r="A212" s="36" t="s">
        <v>4249</v>
      </c>
      <c r="B212" s="37" t="s">
        <v>4324</v>
      </c>
      <c r="C212" s="23"/>
      <c r="D212" s="36"/>
    </row>
    <row r="213" spans="1:4" ht="14.4" x14ac:dyDescent="0.3">
      <c r="A213" s="36" t="s">
        <v>4249</v>
      </c>
      <c r="B213" s="37" t="s">
        <v>4328</v>
      </c>
      <c r="C213" s="23"/>
      <c r="D213" s="36"/>
    </row>
    <row r="214" spans="1:4" ht="14.4" x14ac:dyDescent="0.3">
      <c r="A214" s="36" t="s">
        <v>4249</v>
      </c>
      <c r="B214" s="37" t="s">
        <v>4331</v>
      </c>
      <c r="C214" s="23"/>
      <c r="D214" s="36"/>
    </row>
    <row r="215" spans="1:4" ht="14.4" x14ac:dyDescent="0.3">
      <c r="A215" s="36" t="s">
        <v>4249</v>
      </c>
      <c r="B215" s="37" t="s">
        <v>4334</v>
      </c>
      <c r="C215" s="23"/>
      <c r="D215" s="36"/>
    </row>
    <row r="216" spans="1:4" ht="14.4" x14ac:dyDescent="0.3">
      <c r="A216" s="36" t="s">
        <v>4249</v>
      </c>
      <c r="B216" s="37" t="s">
        <v>4336</v>
      </c>
      <c r="C216" s="23"/>
      <c r="D216" s="36"/>
    </row>
    <row r="217" spans="1:4" ht="41.4" x14ac:dyDescent="0.3">
      <c r="A217" s="36" t="s">
        <v>4249</v>
      </c>
      <c r="B217" s="37" t="s">
        <v>4341</v>
      </c>
      <c r="C217" s="23"/>
      <c r="D217" s="36"/>
    </row>
    <row r="218" spans="1:4" ht="27.6" x14ac:dyDescent="0.3">
      <c r="A218" s="36" t="s">
        <v>4249</v>
      </c>
      <c r="B218" s="37" t="s">
        <v>4343</v>
      </c>
      <c r="C218" s="23"/>
      <c r="D218" s="36"/>
    </row>
    <row r="219" spans="1:4" ht="41.4" x14ac:dyDescent="0.3">
      <c r="A219" s="36" t="s">
        <v>4249</v>
      </c>
      <c r="B219" s="37" t="s">
        <v>4346</v>
      </c>
      <c r="C219" s="23"/>
      <c r="D219" s="36"/>
    </row>
    <row r="220" spans="1:4" ht="27.6" x14ac:dyDescent="0.3">
      <c r="A220" s="36" t="s">
        <v>4249</v>
      </c>
      <c r="B220" s="37" t="s">
        <v>4349</v>
      </c>
      <c r="C220" s="23"/>
      <c r="D220" s="36"/>
    </row>
    <row r="221" spans="1:4" ht="14.4" x14ac:dyDescent="0.3">
      <c r="A221" s="36" t="s">
        <v>4249</v>
      </c>
      <c r="B221" s="37" t="s">
        <v>4353</v>
      </c>
      <c r="C221" s="23"/>
      <c r="D221" s="36"/>
    </row>
    <row r="222" spans="1:4" ht="27.6" x14ac:dyDescent="0.3">
      <c r="A222" s="36" t="s">
        <v>4249</v>
      </c>
      <c r="B222" s="37" t="s">
        <v>4356</v>
      </c>
      <c r="C222" s="23"/>
      <c r="D222" s="36"/>
    </row>
    <row r="223" spans="1:4" ht="14.4" x14ac:dyDescent="0.3">
      <c r="A223" s="36" t="s">
        <v>4249</v>
      </c>
      <c r="B223" s="37" t="s">
        <v>4360</v>
      </c>
      <c r="C223" s="23"/>
      <c r="D223" s="36"/>
    </row>
    <row r="224" spans="1:4" ht="27.6" x14ac:dyDescent="0.3">
      <c r="A224" s="36" t="s">
        <v>4249</v>
      </c>
      <c r="B224" s="37" t="s">
        <v>4363</v>
      </c>
      <c r="C224" s="23"/>
      <c r="D224" s="36"/>
    </row>
    <row r="225" spans="1:4" ht="27.6" x14ac:dyDescent="0.3">
      <c r="A225" s="36" t="s">
        <v>4249</v>
      </c>
      <c r="B225" s="37" t="s">
        <v>4367</v>
      </c>
      <c r="C225" s="23"/>
      <c r="D225" s="36"/>
    </row>
    <row r="226" spans="1:4" ht="14.4" x14ac:dyDescent="0.3">
      <c r="A226" s="36" t="s">
        <v>4249</v>
      </c>
      <c r="B226" s="37" t="s">
        <v>4370</v>
      </c>
      <c r="C226" s="23"/>
      <c r="D226" s="36"/>
    </row>
    <row r="227" spans="1:4" ht="41.4" x14ac:dyDescent="0.3">
      <c r="A227" s="36" t="s">
        <v>4249</v>
      </c>
      <c r="B227" s="37" t="s">
        <v>4374</v>
      </c>
      <c r="C227" s="23"/>
      <c r="D227" s="36"/>
    </row>
    <row r="228" spans="1:4" ht="14.4" x14ac:dyDescent="0.3">
      <c r="A228" s="263" t="s">
        <v>4249</v>
      </c>
      <c r="B228" s="32" t="s">
        <v>4046</v>
      </c>
      <c r="C228" s="134"/>
      <c r="D228" s="134"/>
    </row>
    <row r="229" spans="1:4" ht="27.6" x14ac:dyDescent="0.3">
      <c r="A229" s="36" t="s">
        <v>4249</v>
      </c>
      <c r="B229" s="37" t="s">
        <v>4379</v>
      </c>
      <c r="C229" s="23"/>
      <c r="D229" s="36"/>
    </row>
    <row r="230" spans="1:4" ht="55.2" x14ac:dyDescent="0.3">
      <c r="A230" s="36" t="s">
        <v>4249</v>
      </c>
      <c r="B230" s="37" t="s">
        <v>4383</v>
      </c>
      <c r="C230" s="23"/>
      <c r="D230" s="36"/>
    </row>
    <row r="231" spans="1:4" ht="27.6" x14ac:dyDescent="0.3">
      <c r="A231" s="36" t="s">
        <v>4249</v>
      </c>
      <c r="B231" s="37" t="s">
        <v>4385</v>
      </c>
      <c r="C231" s="23"/>
      <c r="D231" s="36"/>
    </row>
    <row r="232" spans="1:4" ht="82.8" x14ac:dyDescent="0.3">
      <c r="A232" s="36" t="s">
        <v>4249</v>
      </c>
      <c r="B232" s="37" t="s">
        <v>4388</v>
      </c>
      <c r="C232" s="23"/>
      <c r="D232" s="36"/>
    </row>
    <row r="233" spans="1:4" ht="14.4" x14ac:dyDescent="0.3">
      <c r="A233" s="36" t="s">
        <v>4249</v>
      </c>
      <c r="B233" s="37" t="s">
        <v>4391</v>
      </c>
      <c r="C233" s="23"/>
      <c r="D233" s="36"/>
    </row>
    <row r="234" spans="1:4" ht="14.4" x14ac:dyDescent="0.3">
      <c r="A234" s="36" t="s">
        <v>4249</v>
      </c>
      <c r="B234" s="37" t="s">
        <v>4393</v>
      </c>
      <c r="C234" s="23"/>
      <c r="D234" s="36"/>
    </row>
    <row r="235" spans="1:4" ht="14.4" x14ac:dyDescent="0.3">
      <c r="A235" s="36" t="s">
        <v>4249</v>
      </c>
      <c r="B235" s="37" t="s">
        <v>4397</v>
      </c>
      <c r="C235" s="23"/>
      <c r="D235" s="36"/>
    </row>
    <row r="236" spans="1:4" ht="14.4" x14ac:dyDescent="0.3">
      <c r="A236" s="263" t="s">
        <v>4249</v>
      </c>
      <c r="B236" s="32" t="s">
        <v>1227</v>
      </c>
      <c r="C236" s="134"/>
      <c r="D236" s="134"/>
    </row>
    <row r="237" spans="1:4" ht="14.4" x14ac:dyDescent="0.3">
      <c r="A237" s="263" t="s">
        <v>4249</v>
      </c>
      <c r="B237" s="32" t="s">
        <v>4190</v>
      </c>
      <c r="C237" s="134"/>
      <c r="D237" s="134"/>
    </row>
    <row r="238" spans="1:4" ht="27.6" x14ac:dyDescent="0.3">
      <c r="A238" s="36" t="s">
        <v>4249</v>
      </c>
      <c r="B238" s="37" t="s">
        <v>1276</v>
      </c>
      <c r="C238" s="23"/>
      <c r="D238" s="36"/>
    </row>
    <row r="239" spans="1:4" ht="14.4" x14ac:dyDescent="0.3">
      <c r="A239" s="263" t="s">
        <v>4408</v>
      </c>
      <c r="B239" s="32" t="s">
        <v>1081</v>
      </c>
      <c r="C239" s="134"/>
      <c r="D239" s="134"/>
    </row>
    <row r="240" spans="1:4" ht="14.4" x14ac:dyDescent="0.3">
      <c r="A240" s="263" t="s">
        <v>4408</v>
      </c>
      <c r="B240" s="32" t="s">
        <v>4025</v>
      </c>
      <c r="C240" s="134"/>
      <c r="D240" s="134"/>
    </row>
    <row r="241" spans="1:4" ht="14.4" x14ac:dyDescent="0.3">
      <c r="A241" s="263" t="s">
        <v>4408</v>
      </c>
      <c r="B241" s="32" t="s">
        <v>4311</v>
      </c>
      <c r="C241" s="134"/>
      <c r="D241" s="134"/>
    </row>
    <row r="242" spans="1:4" ht="55.2" x14ac:dyDescent="0.3">
      <c r="A242" s="111" t="s">
        <v>4408</v>
      </c>
      <c r="B242" s="37" t="s">
        <v>4417</v>
      </c>
      <c r="C242" s="23"/>
      <c r="D242" s="36"/>
    </row>
    <row r="243" spans="1:4" ht="14.4" x14ac:dyDescent="0.3">
      <c r="A243" s="263" t="s">
        <v>4408</v>
      </c>
      <c r="B243" s="32" t="s">
        <v>4421</v>
      </c>
      <c r="C243" s="134"/>
      <c r="D243" s="134"/>
    </row>
    <row r="244" spans="1:4" ht="14.4" x14ac:dyDescent="0.3">
      <c r="A244" s="111" t="s">
        <v>4408</v>
      </c>
      <c r="B244" s="37" t="s">
        <v>4424</v>
      </c>
      <c r="C244" s="23"/>
      <c r="D244" s="36"/>
    </row>
    <row r="245" spans="1:4" ht="14.4" x14ac:dyDescent="0.3">
      <c r="A245" s="111" t="s">
        <v>4408</v>
      </c>
      <c r="B245" s="37" t="s">
        <v>4428</v>
      </c>
      <c r="C245" s="23"/>
      <c r="D245" s="36"/>
    </row>
    <row r="246" spans="1:4" ht="14.4" x14ac:dyDescent="0.3">
      <c r="A246" s="263" t="s">
        <v>4408</v>
      </c>
      <c r="B246" s="32" t="s">
        <v>922</v>
      </c>
      <c r="C246" s="134"/>
      <c r="D246" s="134"/>
    </row>
    <row r="247" spans="1:4" ht="14.4" x14ac:dyDescent="0.3">
      <c r="A247" s="263" t="s">
        <v>4408</v>
      </c>
      <c r="B247" s="32" t="s">
        <v>4025</v>
      </c>
      <c r="C247" s="134"/>
      <c r="D247" s="134"/>
    </row>
    <row r="248" spans="1:4" ht="69" x14ac:dyDescent="0.3">
      <c r="A248" s="111" t="s">
        <v>4408</v>
      </c>
      <c r="B248" s="37" t="s">
        <v>4433</v>
      </c>
      <c r="C248" s="23"/>
      <c r="D248" s="36"/>
    </row>
    <row r="249" spans="1:4" ht="14.4" x14ac:dyDescent="0.3">
      <c r="A249" s="263" t="s">
        <v>4408</v>
      </c>
      <c r="B249" s="32" t="s">
        <v>4311</v>
      </c>
      <c r="C249" s="134"/>
      <c r="D249" s="134"/>
    </row>
    <row r="250" spans="1:4" ht="27.6" x14ac:dyDescent="0.3">
      <c r="A250" s="111" t="s">
        <v>4408</v>
      </c>
      <c r="B250" s="37" t="s">
        <v>4437</v>
      </c>
      <c r="C250" s="23"/>
      <c r="D250" s="36"/>
    </row>
    <row r="251" spans="1:4" ht="55.2" x14ac:dyDescent="0.3">
      <c r="A251" s="111" t="s">
        <v>4408</v>
      </c>
      <c r="B251" s="37" t="s">
        <v>4440</v>
      </c>
      <c r="C251" s="23"/>
      <c r="D251" s="36"/>
    </row>
    <row r="252" spans="1:4" ht="14.4" x14ac:dyDescent="0.3">
      <c r="A252" s="263" t="s">
        <v>4408</v>
      </c>
      <c r="B252" s="32" t="s">
        <v>4046</v>
      </c>
      <c r="C252" s="134"/>
      <c r="D252" s="134"/>
    </row>
    <row r="253" spans="1:4" ht="27.6" x14ac:dyDescent="0.3">
      <c r="A253" s="111" t="s">
        <v>4408</v>
      </c>
      <c r="B253" s="37" t="s">
        <v>4444</v>
      </c>
      <c r="C253" s="23"/>
      <c r="D253" s="36"/>
    </row>
    <row r="254" spans="1:4" ht="82.8" x14ac:dyDescent="0.3">
      <c r="A254" s="111" t="s">
        <v>4408</v>
      </c>
      <c r="B254" s="37" t="s">
        <v>4446</v>
      </c>
      <c r="C254" s="23"/>
      <c r="D254" s="36"/>
    </row>
    <row r="255" spans="1:4" ht="69" x14ac:dyDescent="0.3">
      <c r="A255" s="111" t="s">
        <v>4408</v>
      </c>
      <c r="B255" s="37" t="s">
        <v>4449</v>
      </c>
      <c r="C255" s="23"/>
      <c r="D255" s="36"/>
    </row>
    <row r="256" spans="1:4" ht="14.4" x14ac:dyDescent="0.3">
      <c r="A256" s="263" t="s">
        <v>4452</v>
      </c>
      <c r="B256" s="32" t="s">
        <v>1227</v>
      </c>
      <c r="C256" s="134"/>
      <c r="D256" s="134"/>
    </row>
    <row r="257" spans="1:4" ht="14.4" x14ac:dyDescent="0.3">
      <c r="A257" s="263" t="s">
        <v>4452</v>
      </c>
      <c r="B257" s="32" t="s">
        <v>4025</v>
      </c>
      <c r="C257" s="134"/>
      <c r="D257" s="134"/>
    </row>
    <row r="258" spans="1:4" ht="14.4" x14ac:dyDescent="0.3">
      <c r="A258" s="263" t="s">
        <v>4452</v>
      </c>
      <c r="B258" s="32" t="s">
        <v>4456</v>
      </c>
      <c r="C258" s="134"/>
      <c r="D258" s="134"/>
    </row>
    <row r="259" spans="1:4" ht="27.6" x14ac:dyDescent="0.3">
      <c r="A259" s="111" t="s">
        <v>4452</v>
      </c>
      <c r="B259" s="37" t="s">
        <v>4458</v>
      </c>
      <c r="C259" s="23"/>
      <c r="D259" s="36"/>
    </row>
    <row r="260" spans="1:4" ht="14.4" x14ac:dyDescent="0.3">
      <c r="A260" s="111" t="s">
        <v>4452</v>
      </c>
      <c r="B260" s="37" t="s">
        <v>4461</v>
      </c>
      <c r="C260" s="23"/>
      <c r="D260" s="36"/>
    </row>
    <row r="261" spans="1:4" ht="27.6" x14ac:dyDescent="0.3">
      <c r="A261" s="111" t="s">
        <v>4452</v>
      </c>
      <c r="B261" s="37" t="s">
        <v>4465</v>
      </c>
      <c r="C261" s="23"/>
      <c r="D261" s="36"/>
    </row>
    <row r="262" spans="1:4" ht="27.6" x14ac:dyDescent="0.3">
      <c r="A262" s="111" t="s">
        <v>4452</v>
      </c>
      <c r="B262" s="37" t="s">
        <v>4469</v>
      </c>
      <c r="C262" s="23"/>
      <c r="D262" s="36"/>
    </row>
    <row r="263" spans="1:4" ht="27.6" x14ac:dyDescent="0.3">
      <c r="A263" s="111" t="s">
        <v>4452</v>
      </c>
      <c r="B263" s="37" t="s">
        <v>4472</v>
      </c>
      <c r="C263" s="23"/>
      <c r="D263" s="36"/>
    </row>
    <row r="264" spans="1:4" ht="27.6" x14ac:dyDescent="0.3">
      <c r="A264" s="111" t="s">
        <v>4452</v>
      </c>
      <c r="B264" s="37" t="s">
        <v>4475</v>
      </c>
      <c r="C264" s="23"/>
      <c r="D264" s="36"/>
    </row>
    <row r="265" spans="1:4" ht="27.6" x14ac:dyDescent="0.3">
      <c r="A265" s="111" t="s">
        <v>4452</v>
      </c>
      <c r="B265" s="37" t="s">
        <v>4477</v>
      </c>
      <c r="C265" s="23"/>
      <c r="D265" s="36"/>
    </row>
    <row r="266" spans="1:4" ht="14.4" x14ac:dyDescent="0.3">
      <c r="A266" s="263" t="s">
        <v>4452</v>
      </c>
      <c r="B266" s="32" t="s">
        <v>1939</v>
      </c>
      <c r="C266" s="134"/>
      <c r="D266" s="134"/>
    </row>
    <row r="267" spans="1:4" ht="27.6" x14ac:dyDescent="0.3">
      <c r="A267" s="111" t="s">
        <v>4452</v>
      </c>
      <c r="B267" s="37" t="s">
        <v>4480</v>
      </c>
      <c r="C267" s="23"/>
      <c r="D267" s="36"/>
    </row>
    <row r="268" spans="1:4" ht="14.4" x14ac:dyDescent="0.3">
      <c r="A268" s="263" t="s">
        <v>4483</v>
      </c>
      <c r="B268" s="32" t="s">
        <v>1227</v>
      </c>
      <c r="C268" s="134"/>
      <c r="D268" s="134"/>
    </row>
    <row r="269" spans="1:4" ht="14.4" x14ac:dyDescent="0.3">
      <c r="A269" s="263" t="s">
        <v>4483</v>
      </c>
      <c r="B269" s="32" t="s">
        <v>4025</v>
      </c>
      <c r="C269" s="134"/>
      <c r="D269" s="134"/>
    </row>
    <row r="270" spans="1:4" ht="27.6" x14ac:dyDescent="0.3">
      <c r="A270" s="111" t="s">
        <v>4483</v>
      </c>
      <c r="B270" s="37" t="s">
        <v>4486</v>
      </c>
      <c r="C270" s="23"/>
      <c r="D270" s="36"/>
    </row>
    <row r="271" spans="1:4" ht="27.6" x14ac:dyDescent="0.3">
      <c r="A271" s="111" t="s">
        <v>4483</v>
      </c>
      <c r="B271" s="37" t="s">
        <v>4488</v>
      </c>
      <c r="C271" s="23"/>
      <c r="D271" s="36"/>
    </row>
    <row r="272" spans="1:4" ht="14.4" x14ac:dyDescent="0.3">
      <c r="A272" s="111" t="s">
        <v>4483</v>
      </c>
      <c r="B272" s="37" t="s">
        <v>4490</v>
      </c>
      <c r="C272" s="23"/>
      <c r="D272" s="36"/>
    </row>
    <row r="273" spans="1:4" ht="14.4" x14ac:dyDescent="0.3">
      <c r="A273" s="111" t="s">
        <v>4483</v>
      </c>
      <c r="B273" s="37" t="s">
        <v>4492</v>
      </c>
      <c r="C273" s="23"/>
      <c r="D273" s="36"/>
    </row>
    <row r="274" spans="1:4" ht="14.4" x14ac:dyDescent="0.3">
      <c r="A274" s="111" t="s">
        <v>4483</v>
      </c>
      <c r="B274" s="37" t="s">
        <v>4494</v>
      </c>
      <c r="C274" s="23"/>
      <c r="D274" s="36"/>
    </row>
    <row r="275" spans="1:4" ht="14.4" x14ac:dyDescent="0.3">
      <c r="A275" s="111" t="s">
        <v>4483</v>
      </c>
      <c r="B275" s="37" t="s">
        <v>4497</v>
      </c>
      <c r="C275" s="23"/>
      <c r="D275" s="36"/>
    </row>
    <row r="276" spans="1:4" ht="14.4" x14ac:dyDescent="0.3">
      <c r="A276" s="111" t="s">
        <v>4483</v>
      </c>
      <c r="B276" s="37" t="s">
        <v>4500</v>
      </c>
      <c r="C276" s="23"/>
      <c r="D276" s="36"/>
    </row>
    <row r="277" spans="1:4" ht="14.4" x14ac:dyDescent="0.3">
      <c r="A277" s="111" t="s">
        <v>4483</v>
      </c>
      <c r="B277" s="37" t="s">
        <v>4502</v>
      </c>
      <c r="C277" s="23"/>
      <c r="D277" s="36"/>
    </row>
    <row r="278" spans="1:4" ht="14.4" x14ac:dyDescent="0.3">
      <c r="A278" s="111" t="s">
        <v>4483</v>
      </c>
      <c r="B278" s="37" t="s">
        <v>4505</v>
      </c>
      <c r="C278" s="23"/>
      <c r="D278" s="36"/>
    </row>
    <row r="279" spans="1:4" ht="14.4" x14ac:dyDescent="0.3">
      <c r="A279" s="111" t="s">
        <v>4483</v>
      </c>
      <c r="B279" s="37" t="s">
        <v>4506</v>
      </c>
      <c r="C279" s="23"/>
      <c r="D279" s="36"/>
    </row>
    <row r="280" spans="1:4" ht="27.6" x14ac:dyDescent="0.3">
      <c r="A280" s="111" t="s">
        <v>4483</v>
      </c>
      <c r="B280" s="37" t="s">
        <v>4508</v>
      </c>
      <c r="C280" s="23"/>
      <c r="D280" s="36"/>
    </row>
    <row r="281" spans="1:4" ht="14.4" x14ac:dyDescent="0.3">
      <c r="A281" s="263" t="s">
        <v>4483</v>
      </c>
      <c r="B281" s="32" t="s">
        <v>1145</v>
      </c>
      <c r="C281" s="134"/>
      <c r="D281" s="134"/>
    </row>
    <row r="282" spans="1:4" ht="14.4" x14ac:dyDescent="0.3">
      <c r="A282" s="111" t="s">
        <v>4483</v>
      </c>
      <c r="B282" s="37" t="s">
        <v>4512</v>
      </c>
      <c r="C282" s="23"/>
      <c r="D282" s="36"/>
    </row>
    <row r="283" spans="1:4" ht="14.4" x14ac:dyDescent="0.3">
      <c r="A283" s="263" t="s">
        <v>4514</v>
      </c>
      <c r="B283" s="32" t="s">
        <v>1227</v>
      </c>
      <c r="C283" s="134"/>
      <c r="D283" s="134"/>
    </row>
    <row r="284" spans="1:4" ht="27.6" x14ac:dyDescent="0.3">
      <c r="A284" s="263" t="s">
        <v>4514</v>
      </c>
      <c r="B284" s="32" t="s">
        <v>4218</v>
      </c>
      <c r="C284" s="134"/>
      <c r="D284" s="134"/>
    </row>
    <row r="285" spans="1:4" ht="14.4" x14ac:dyDescent="0.3">
      <c r="A285" s="36" t="s">
        <v>4514</v>
      </c>
      <c r="B285" s="37" t="s">
        <v>4519</v>
      </c>
      <c r="C285" s="23"/>
      <c r="D285" s="36"/>
    </row>
    <row r="286" spans="1:4" ht="14.4" x14ac:dyDescent="0.3">
      <c r="A286" s="188"/>
      <c r="B286" s="188"/>
      <c r="C286" s="188"/>
      <c r="D286" s="188"/>
    </row>
    <row r="287" spans="1:4" ht="14.4" x14ac:dyDescent="0.3">
      <c r="A287" s="188"/>
      <c r="B287" s="188"/>
      <c r="C287" s="188"/>
      <c r="D287" s="188"/>
    </row>
    <row r="288" spans="1:4" ht="14.4" x14ac:dyDescent="0.3">
      <c r="A288" s="188"/>
      <c r="B288" s="15" t="s">
        <v>75</v>
      </c>
      <c r="C288" s="2">
        <f>COUNTIF($C$4:$C$285,"C")</f>
        <v>1</v>
      </c>
      <c r="D288" s="188"/>
    </row>
    <row r="289" spans="2:3" ht="14.4" x14ac:dyDescent="0.3">
      <c r="B289" s="15" t="s">
        <v>81</v>
      </c>
      <c r="C289" s="2">
        <f>COUNTIF($C$4:$C$285,"NC")</f>
        <v>1</v>
      </c>
    </row>
    <row r="290" spans="2:3" ht="14.4" x14ac:dyDescent="0.3">
      <c r="B290" s="15" t="s">
        <v>84</v>
      </c>
      <c r="C290" s="2">
        <f>COUNTIF($C$4:$C$285,"NA")</f>
        <v>1</v>
      </c>
    </row>
  </sheetData>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dxfId="8" priority="1" operator="beginsWith" text="C">
      <formula>LEFT((C9),LEN("C"))=("C")</formula>
    </cfRule>
    <cfRule type="beginsWith" dxfId="7" priority="2" operator="beginsWith" text="NC">
      <formula>LEFT((C9),LEN("NC"))=("NC")</formula>
    </cfRule>
    <cfRule type="beginsWith" dxfId="6" priority="3" operator="beginsWith" text="NA">
      <formula>LEFT((C9),LEN("NA"))=("NA")</formula>
    </cfRule>
  </conditionalFormatting>
  <dataValidations count="1">
    <dataValidation type="list" allowBlank="1"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xr:uid="{00000000-0002-0000-2C00-000000000000}">
      <formula1>"C,NC,NA"</formula1>
    </dataValidation>
  </dataValidations>
  <hyperlinks>
    <hyperlink ref="B1" location="'Tabla de contenido'!A1" display="VOLVER A TABLA DE CONTENIDO" xr:uid="{00000000-0004-0000-2C00-000000000000}"/>
  </hyperlinks>
  <pageMargins left="0.7" right="0.7" top="0.75" bottom="0.75" header="0" footer="0"/>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660000"/>
  </sheetPr>
  <dimension ref="A1:D102"/>
  <sheetViews>
    <sheetView showGridLines="0" workbookViewId="0">
      <selection sqref="A1:D1"/>
    </sheetView>
  </sheetViews>
  <sheetFormatPr baseColWidth="10" defaultColWidth="14.44140625" defaultRowHeight="15" customHeight="1" outlineLevelCol="1" x14ac:dyDescent="0.3"/>
  <cols>
    <col min="1" max="1" width="14.44140625" customWidth="1"/>
    <col min="2" max="2" width="66.88671875" customWidth="1"/>
    <col min="3" max="3" width="11.5546875" customWidth="1"/>
    <col min="4" max="4" width="25.77734375" customWidth="1" outlineLevel="1"/>
    <col min="5" max="5" width="5.21875" customWidth="1"/>
    <col min="6" max="12" width="10.77734375" customWidth="1"/>
  </cols>
  <sheetData>
    <row r="1" spans="1:4" ht="14.4" x14ac:dyDescent="0.3">
      <c r="A1" s="269"/>
      <c r="B1" s="270" t="s">
        <v>0</v>
      </c>
      <c r="C1" s="269"/>
      <c r="D1" s="269"/>
    </row>
    <row r="2" spans="1:4" ht="14.4" x14ac:dyDescent="0.3">
      <c r="A2" s="74"/>
      <c r="B2" s="75" t="s">
        <v>3684</v>
      </c>
      <c r="C2" s="76"/>
      <c r="D2" s="77"/>
    </row>
    <row r="3" spans="1:4" ht="14.4" x14ac:dyDescent="0.3">
      <c r="A3" s="6"/>
      <c r="B3" s="18" t="s">
        <v>4076</v>
      </c>
      <c r="C3" s="117"/>
      <c r="D3" s="19"/>
    </row>
    <row r="4" spans="1:4" ht="14.4" x14ac:dyDescent="0.3">
      <c r="A4" s="6" t="s">
        <v>7</v>
      </c>
      <c r="B4" s="18" t="s">
        <v>9</v>
      </c>
      <c r="C4" s="6" t="s">
        <v>10</v>
      </c>
      <c r="D4" s="6" t="s">
        <v>11</v>
      </c>
    </row>
    <row r="5" spans="1:4" ht="14.25" customHeight="1" x14ac:dyDescent="0.3">
      <c r="A5" s="263" t="s">
        <v>4078</v>
      </c>
      <c r="B5" s="264" t="s">
        <v>1081</v>
      </c>
      <c r="C5" s="31"/>
      <c r="D5" s="31"/>
    </row>
    <row r="6" spans="1:4" ht="14.25" customHeight="1" x14ac:dyDescent="0.3">
      <c r="A6" s="263" t="s">
        <v>4078</v>
      </c>
      <c r="B6" s="264" t="s">
        <v>4080</v>
      </c>
      <c r="C6" s="31"/>
      <c r="D6" s="31"/>
    </row>
    <row r="7" spans="1:4" ht="14.25" customHeight="1" x14ac:dyDescent="0.3">
      <c r="A7" s="111" t="s">
        <v>4078</v>
      </c>
      <c r="B7" s="37" t="s">
        <v>1290</v>
      </c>
      <c r="C7" s="9" t="s">
        <v>16</v>
      </c>
      <c r="D7" s="36"/>
    </row>
    <row r="8" spans="1:4" ht="14.25" customHeight="1" x14ac:dyDescent="0.3">
      <c r="A8" s="111" t="s">
        <v>4078</v>
      </c>
      <c r="B8" s="37" t="s">
        <v>4082</v>
      </c>
      <c r="C8" s="9" t="s">
        <v>20</v>
      </c>
      <c r="D8" s="36"/>
    </row>
    <row r="9" spans="1:4" ht="14.25" customHeight="1" x14ac:dyDescent="0.3">
      <c r="A9" s="111" t="s">
        <v>4078</v>
      </c>
      <c r="B9" s="37" t="s">
        <v>4084</v>
      </c>
      <c r="C9" s="9" t="s">
        <v>24</v>
      </c>
      <c r="D9" s="50"/>
    </row>
    <row r="10" spans="1:4" ht="14.25" customHeight="1" x14ac:dyDescent="0.3">
      <c r="A10" s="263" t="s">
        <v>4078</v>
      </c>
      <c r="B10" s="264" t="s">
        <v>1939</v>
      </c>
      <c r="C10" s="31"/>
      <c r="D10" s="31"/>
    </row>
    <row r="11" spans="1:4" ht="14.25" customHeight="1" x14ac:dyDescent="0.3">
      <c r="A11" s="111" t="s">
        <v>4078</v>
      </c>
      <c r="B11" s="37" t="s">
        <v>4086</v>
      </c>
      <c r="C11" s="9"/>
      <c r="D11" s="49"/>
    </row>
    <row r="12" spans="1:4" ht="14.25" customHeight="1" x14ac:dyDescent="0.3">
      <c r="A12" s="111" t="s">
        <v>4078</v>
      </c>
      <c r="B12" s="37" t="s">
        <v>4088</v>
      </c>
      <c r="C12" s="9"/>
      <c r="D12" s="50"/>
    </row>
    <row r="13" spans="1:4" ht="14.25" customHeight="1" x14ac:dyDescent="0.3">
      <c r="A13" s="111" t="s">
        <v>4078</v>
      </c>
      <c r="B13" s="37" t="s">
        <v>4089</v>
      </c>
      <c r="C13" s="9"/>
      <c r="D13" s="50"/>
    </row>
    <row r="14" spans="1:4" ht="14.25" customHeight="1" x14ac:dyDescent="0.3">
      <c r="A14" s="263" t="s">
        <v>4091</v>
      </c>
      <c r="B14" s="264" t="s">
        <v>4092</v>
      </c>
      <c r="C14" s="31"/>
      <c r="D14" s="31"/>
    </row>
    <row r="15" spans="1:4" ht="14.25" customHeight="1" x14ac:dyDescent="0.3">
      <c r="A15" s="263" t="s">
        <v>4091</v>
      </c>
      <c r="B15" s="264" t="s">
        <v>4025</v>
      </c>
      <c r="C15" s="31"/>
      <c r="D15" s="31"/>
    </row>
    <row r="16" spans="1:4" ht="14.25" customHeight="1" x14ac:dyDescent="0.3">
      <c r="A16" s="111" t="s">
        <v>4091</v>
      </c>
      <c r="B16" s="37" t="s">
        <v>4094</v>
      </c>
      <c r="C16" s="9"/>
      <c r="D16" s="36"/>
    </row>
    <row r="17" spans="1:4" ht="14.25" customHeight="1" x14ac:dyDescent="0.3">
      <c r="A17" s="111" t="s">
        <v>4091</v>
      </c>
      <c r="B17" s="37" t="s">
        <v>4096</v>
      </c>
      <c r="C17" s="9"/>
      <c r="D17" s="50"/>
    </row>
    <row r="18" spans="1:4" ht="14.25" customHeight="1" x14ac:dyDescent="0.3">
      <c r="A18" s="111" t="s">
        <v>4091</v>
      </c>
      <c r="B18" s="37" t="s">
        <v>4098</v>
      </c>
      <c r="C18" s="9"/>
      <c r="D18" s="36"/>
    </row>
    <row r="19" spans="1:4" ht="14.25" customHeight="1" x14ac:dyDescent="0.3">
      <c r="A19" s="111" t="s">
        <v>4091</v>
      </c>
      <c r="B19" s="37" t="s">
        <v>4099</v>
      </c>
      <c r="C19" s="9"/>
      <c r="D19" s="36"/>
    </row>
    <row r="20" spans="1:4" ht="14.25" customHeight="1" x14ac:dyDescent="0.3">
      <c r="A20" s="111" t="s">
        <v>4091</v>
      </c>
      <c r="B20" s="37" t="s">
        <v>4100</v>
      </c>
      <c r="C20" s="9"/>
      <c r="D20" s="36"/>
    </row>
    <row r="21" spans="1:4" ht="14.25" customHeight="1" x14ac:dyDescent="0.3">
      <c r="A21" s="111" t="s">
        <v>4091</v>
      </c>
      <c r="B21" s="37" t="s">
        <v>4102</v>
      </c>
      <c r="C21" s="9"/>
      <c r="D21" s="50"/>
    </row>
    <row r="22" spans="1:4" ht="14.25" customHeight="1" x14ac:dyDescent="0.3">
      <c r="A22" s="111" t="s">
        <v>4091</v>
      </c>
      <c r="B22" s="37" t="s">
        <v>4103</v>
      </c>
      <c r="C22" s="9"/>
      <c r="D22" s="36"/>
    </row>
    <row r="23" spans="1:4" ht="14.25" customHeight="1" x14ac:dyDescent="0.3">
      <c r="A23" s="111" t="s">
        <v>4091</v>
      </c>
      <c r="B23" s="37" t="s">
        <v>4106</v>
      </c>
      <c r="C23" s="9"/>
      <c r="D23" s="36"/>
    </row>
    <row r="24" spans="1:4" ht="14.25" customHeight="1" x14ac:dyDescent="0.3">
      <c r="A24" s="111" t="s">
        <v>4091</v>
      </c>
      <c r="B24" s="37" t="s">
        <v>4107</v>
      </c>
      <c r="C24" s="9"/>
      <c r="D24" s="36"/>
    </row>
    <row r="25" spans="1:4" ht="14.25" customHeight="1" x14ac:dyDescent="0.3">
      <c r="A25" s="111" t="s">
        <v>4091</v>
      </c>
      <c r="B25" s="37" t="s">
        <v>4109</v>
      </c>
      <c r="C25" s="9"/>
      <c r="D25" s="36"/>
    </row>
    <row r="26" spans="1:4" ht="14.25" customHeight="1" x14ac:dyDescent="0.3">
      <c r="A26" s="111" t="s">
        <v>4091</v>
      </c>
      <c r="B26" s="37" t="s">
        <v>4110</v>
      </c>
      <c r="C26" s="9"/>
      <c r="D26" s="36"/>
    </row>
    <row r="27" spans="1:4" ht="14.25" customHeight="1" x14ac:dyDescent="0.3">
      <c r="A27" s="111" t="s">
        <v>4091</v>
      </c>
      <c r="B27" s="37" t="s">
        <v>4111</v>
      </c>
      <c r="C27" s="9"/>
      <c r="D27" s="50"/>
    </row>
    <row r="28" spans="1:4" ht="14.25" customHeight="1" x14ac:dyDescent="0.3">
      <c r="A28" s="111" t="s">
        <v>4091</v>
      </c>
      <c r="B28" s="37" t="s">
        <v>4113</v>
      </c>
      <c r="C28" s="9"/>
      <c r="D28" s="36"/>
    </row>
    <row r="29" spans="1:4" ht="14.25" customHeight="1" x14ac:dyDescent="0.3">
      <c r="A29" s="263" t="s">
        <v>4091</v>
      </c>
      <c r="B29" s="264" t="s">
        <v>1939</v>
      </c>
      <c r="C29" s="31"/>
      <c r="D29" s="31"/>
    </row>
    <row r="30" spans="1:4" ht="14.25" customHeight="1" x14ac:dyDescent="0.3">
      <c r="A30" s="111" t="s">
        <v>4091</v>
      </c>
      <c r="B30" s="37" t="s">
        <v>1147</v>
      </c>
      <c r="C30" s="9"/>
      <c r="D30" s="36"/>
    </row>
    <row r="31" spans="1:4" ht="14.25" customHeight="1" x14ac:dyDescent="0.3">
      <c r="A31" s="263" t="s">
        <v>4115</v>
      </c>
      <c r="B31" s="264" t="s">
        <v>4092</v>
      </c>
      <c r="C31" s="31"/>
      <c r="D31" s="31"/>
    </row>
    <row r="32" spans="1:4" ht="14.25" customHeight="1" x14ac:dyDescent="0.3">
      <c r="A32" s="263" t="s">
        <v>4115</v>
      </c>
      <c r="B32" s="264" t="s">
        <v>1164</v>
      </c>
      <c r="C32" s="31"/>
      <c r="D32" s="31"/>
    </row>
    <row r="33" spans="1:4" ht="14.25" customHeight="1" x14ac:dyDescent="0.3">
      <c r="A33" s="111" t="s">
        <v>4115</v>
      </c>
      <c r="B33" s="37" t="s">
        <v>4117</v>
      </c>
      <c r="C33" s="9"/>
      <c r="D33" s="36"/>
    </row>
    <row r="34" spans="1:4" ht="14.25" customHeight="1" x14ac:dyDescent="0.3">
      <c r="A34" s="111" t="s">
        <v>4115</v>
      </c>
      <c r="B34" s="37" t="s">
        <v>4118</v>
      </c>
      <c r="C34" s="9"/>
      <c r="D34" s="50"/>
    </row>
    <row r="35" spans="1:4" ht="14.25" customHeight="1" x14ac:dyDescent="0.3">
      <c r="A35" s="111" t="s">
        <v>4115</v>
      </c>
      <c r="B35" s="37" t="s">
        <v>4120</v>
      </c>
      <c r="C35" s="9"/>
      <c r="D35" s="36"/>
    </row>
    <row r="36" spans="1:4" ht="14.25" customHeight="1" x14ac:dyDescent="0.3">
      <c r="A36" s="111" t="s">
        <v>4115</v>
      </c>
      <c r="B36" s="37" t="s">
        <v>4121</v>
      </c>
      <c r="C36" s="9"/>
      <c r="D36" s="36"/>
    </row>
    <row r="37" spans="1:4" ht="14.25" customHeight="1" x14ac:dyDescent="0.3">
      <c r="A37" s="111" t="s">
        <v>4115</v>
      </c>
      <c r="B37" s="37" t="s">
        <v>4123</v>
      </c>
      <c r="C37" s="9"/>
      <c r="D37" s="36"/>
    </row>
    <row r="38" spans="1:4" ht="14.25" customHeight="1" x14ac:dyDescent="0.3">
      <c r="A38" s="111" t="s">
        <v>4115</v>
      </c>
      <c r="B38" s="37" t="s">
        <v>4124</v>
      </c>
      <c r="C38" s="9"/>
      <c r="D38" s="36"/>
    </row>
    <row r="39" spans="1:4" ht="14.25" customHeight="1" x14ac:dyDescent="0.3">
      <c r="A39" s="111" t="s">
        <v>4115</v>
      </c>
      <c r="B39" s="37" t="s">
        <v>4126</v>
      </c>
      <c r="C39" s="9"/>
      <c r="D39" s="36"/>
    </row>
    <row r="40" spans="1:4" ht="14.25" customHeight="1" x14ac:dyDescent="0.3">
      <c r="A40" s="111" t="s">
        <v>4115</v>
      </c>
      <c r="B40" s="37" t="s">
        <v>4127</v>
      </c>
      <c r="C40" s="9"/>
      <c r="D40" s="36"/>
    </row>
    <row r="41" spans="1:4" ht="14.25" customHeight="1" x14ac:dyDescent="0.3">
      <c r="A41" s="111" t="s">
        <v>4115</v>
      </c>
      <c r="B41" s="37" t="s">
        <v>4128</v>
      </c>
      <c r="C41" s="9"/>
      <c r="D41" s="36"/>
    </row>
    <row r="42" spans="1:4" ht="14.25" customHeight="1" x14ac:dyDescent="0.3">
      <c r="A42" s="111" t="s">
        <v>4115</v>
      </c>
      <c r="B42" s="37" t="s">
        <v>4130</v>
      </c>
      <c r="C42" s="9"/>
      <c r="D42" s="36"/>
    </row>
    <row r="43" spans="1:4" ht="14.25" customHeight="1" x14ac:dyDescent="0.3">
      <c r="A43" s="111" t="s">
        <v>4115</v>
      </c>
      <c r="B43" s="37" t="s">
        <v>4132</v>
      </c>
      <c r="C43" s="9"/>
      <c r="D43" s="36"/>
    </row>
    <row r="44" spans="1:4" ht="14.25" customHeight="1" x14ac:dyDescent="0.3">
      <c r="A44" s="111" t="s">
        <v>4115</v>
      </c>
      <c r="B44" s="37" t="s">
        <v>4133</v>
      </c>
      <c r="C44" s="9"/>
      <c r="D44" s="54"/>
    </row>
    <row r="45" spans="1:4" ht="14.25" customHeight="1" x14ac:dyDescent="0.3">
      <c r="A45" s="111" t="s">
        <v>4115</v>
      </c>
      <c r="B45" s="37" t="s">
        <v>4135</v>
      </c>
      <c r="C45" s="9"/>
      <c r="D45" s="36"/>
    </row>
    <row r="46" spans="1:4" ht="14.25" customHeight="1" x14ac:dyDescent="0.3">
      <c r="A46" s="111" t="s">
        <v>4115</v>
      </c>
      <c r="B46" s="37" t="s">
        <v>4137</v>
      </c>
      <c r="C46" s="9"/>
      <c r="D46" s="54"/>
    </row>
    <row r="47" spans="1:4" ht="14.25" customHeight="1" x14ac:dyDescent="0.3">
      <c r="A47" s="111" t="s">
        <v>4115</v>
      </c>
      <c r="B47" s="37" t="s">
        <v>4139</v>
      </c>
      <c r="C47" s="9"/>
      <c r="D47" s="36"/>
    </row>
    <row r="48" spans="1:4" ht="14.25" customHeight="1" x14ac:dyDescent="0.3">
      <c r="A48" s="111" t="s">
        <v>4115</v>
      </c>
      <c r="B48" s="37" t="s">
        <v>4141</v>
      </c>
      <c r="C48" s="9"/>
      <c r="D48" s="36"/>
    </row>
    <row r="49" spans="1:4" ht="14.25" customHeight="1" x14ac:dyDescent="0.3">
      <c r="A49" s="111" t="s">
        <v>4115</v>
      </c>
      <c r="B49" s="37" t="s">
        <v>4142</v>
      </c>
      <c r="C49" s="9"/>
      <c r="D49" s="36"/>
    </row>
    <row r="50" spans="1:4" ht="14.25" customHeight="1" x14ac:dyDescent="0.3">
      <c r="A50" s="111" t="s">
        <v>4115</v>
      </c>
      <c r="B50" s="37" t="s">
        <v>4144</v>
      </c>
      <c r="C50" s="9"/>
      <c r="D50" s="36"/>
    </row>
    <row r="51" spans="1:4" ht="14.25" customHeight="1" x14ac:dyDescent="0.3">
      <c r="A51" s="111" t="s">
        <v>4115</v>
      </c>
      <c r="B51" s="37" t="s">
        <v>4146</v>
      </c>
      <c r="C51" s="9"/>
      <c r="D51" s="36"/>
    </row>
    <row r="52" spans="1:4" ht="14.25" customHeight="1" x14ac:dyDescent="0.3">
      <c r="A52" s="111" t="s">
        <v>4115</v>
      </c>
      <c r="B52" s="37" t="s">
        <v>4148</v>
      </c>
      <c r="C52" s="9"/>
      <c r="D52" s="36"/>
    </row>
    <row r="53" spans="1:4" ht="14.25" customHeight="1" x14ac:dyDescent="0.3">
      <c r="A53" s="111" t="s">
        <v>4115</v>
      </c>
      <c r="B53" s="37" t="s">
        <v>4150</v>
      </c>
      <c r="C53" s="9"/>
      <c r="D53" s="36"/>
    </row>
    <row r="54" spans="1:4" ht="14.25" customHeight="1" x14ac:dyDescent="0.3">
      <c r="A54" s="111" t="s">
        <v>4115</v>
      </c>
      <c r="B54" s="37" t="s">
        <v>4152</v>
      </c>
      <c r="C54" s="9"/>
      <c r="D54" s="36"/>
    </row>
    <row r="55" spans="1:4" ht="14.25" customHeight="1" x14ac:dyDescent="0.3">
      <c r="A55" s="111" t="s">
        <v>4115</v>
      </c>
      <c r="B55" s="37" t="s">
        <v>4154</v>
      </c>
      <c r="C55" s="9"/>
      <c r="D55" s="36"/>
    </row>
    <row r="56" spans="1:4" ht="14.25" customHeight="1" x14ac:dyDescent="0.3">
      <c r="A56" s="111" t="s">
        <v>4115</v>
      </c>
      <c r="B56" s="37" t="s">
        <v>4156</v>
      </c>
      <c r="C56" s="9"/>
      <c r="D56" s="36"/>
    </row>
    <row r="57" spans="1:4" ht="14.25" customHeight="1" x14ac:dyDescent="0.3">
      <c r="A57" s="111" t="s">
        <v>4115</v>
      </c>
      <c r="B57" s="37" t="s">
        <v>4158</v>
      </c>
      <c r="C57" s="9"/>
      <c r="D57" s="50"/>
    </row>
    <row r="58" spans="1:4" ht="14.25" customHeight="1" x14ac:dyDescent="0.3">
      <c r="A58" s="111" t="s">
        <v>4115</v>
      </c>
      <c r="B58" s="37" t="s">
        <v>4160</v>
      </c>
      <c r="C58" s="9"/>
      <c r="D58" s="36"/>
    </row>
    <row r="59" spans="1:4" ht="14.25" customHeight="1" x14ac:dyDescent="0.3">
      <c r="A59" s="111" t="s">
        <v>4115</v>
      </c>
      <c r="B59" s="37" t="s">
        <v>4163</v>
      </c>
      <c r="C59" s="9"/>
      <c r="D59" s="36"/>
    </row>
    <row r="60" spans="1:4" ht="14.25" customHeight="1" x14ac:dyDescent="0.3">
      <c r="A60" s="111" t="s">
        <v>4115</v>
      </c>
      <c r="B60" s="37" t="s">
        <v>4165</v>
      </c>
      <c r="C60" s="9"/>
      <c r="D60" s="36"/>
    </row>
    <row r="61" spans="1:4" ht="14.25" customHeight="1" x14ac:dyDescent="0.3">
      <c r="A61" s="111" t="s">
        <v>4115</v>
      </c>
      <c r="B61" s="37" t="s">
        <v>4167</v>
      </c>
      <c r="C61" s="9"/>
      <c r="D61" s="50"/>
    </row>
    <row r="62" spans="1:4" ht="14.25" customHeight="1" x14ac:dyDescent="0.3">
      <c r="A62" s="111" t="s">
        <v>4115</v>
      </c>
      <c r="B62" s="37" t="s">
        <v>4169</v>
      </c>
      <c r="C62" s="9"/>
      <c r="D62" s="36"/>
    </row>
    <row r="63" spans="1:4" ht="14.25" customHeight="1" x14ac:dyDescent="0.3">
      <c r="A63" s="111" t="s">
        <v>4115</v>
      </c>
      <c r="B63" s="37" t="s">
        <v>4170</v>
      </c>
      <c r="C63" s="9"/>
      <c r="D63" s="36"/>
    </row>
    <row r="64" spans="1:4" ht="14.25" customHeight="1" x14ac:dyDescent="0.3">
      <c r="A64" s="111" t="s">
        <v>4115</v>
      </c>
      <c r="B64" s="37" t="s">
        <v>4171</v>
      </c>
      <c r="C64" s="9"/>
      <c r="D64" s="36"/>
    </row>
    <row r="65" spans="1:4" ht="14.25" customHeight="1" x14ac:dyDescent="0.3">
      <c r="A65" s="111" t="s">
        <v>4115</v>
      </c>
      <c r="B65" s="37" t="s">
        <v>4172</v>
      </c>
      <c r="C65" s="9"/>
      <c r="D65" s="36"/>
    </row>
    <row r="66" spans="1:4" ht="14.25" customHeight="1" x14ac:dyDescent="0.3">
      <c r="A66" s="263" t="s">
        <v>4115</v>
      </c>
      <c r="B66" s="264" t="s">
        <v>1939</v>
      </c>
      <c r="C66" s="31"/>
      <c r="D66" s="31"/>
    </row>
    <row r="67" spans="1:4" ht="14.25" customHeight="1" x14ac:dyDescent="0.3">
      <c r="A67" s="111" t="s">
        <v>4115</v>
      </c>
      <c r="B67" s="37" t="s">
        <v>1034</v>
      </c>
      <c r="C67" s="9"/>
      <c r="D67" s="36"/>
    </row>
    <row r="68" spans="1:4" ht="14.25" customHeight="1" x14ac:dyDescent="0.3">
      <c r="A68" s="263" t="s">
        <v>4175</v>
      </c>
      <c r="B68" s="264" t="s">
        <v>4092</v>
      </c>
      <c r="C68" s="31"/>
      <c r="D68" s="31"/>
    </row>
    <row r="69" spans="1:4" ht="14.25" customHeight="1" x14ac:dyDescent="0.3">
      <c r="A69" s="263" t="s">
        <v>4175</v>
      </c>
      <c r="B69" s="264" t="s">
        <v>4025</v>
      </c>
      <c r="C69" s="31"/>
      <c r="D69" s="31"/>
    </row>
    <row r="70" spans="1:4" ht="14.25" customHeight="1" x14ac:dyDescent="0.3">
      <c r="A70" s="111" t="s">
        <v>4175</v>
      </c>
      <c r="B70" s="37" t="s">
        <v>1539</v>
      </c>
      <c r="C70" s="9"/>
      <c r="D70" s="36"/>
    </row>
    <row r="71" spans="1:4" ht="14.25" customHeight="1" x14ac:dyDescent="0.3">
      <c r="A71" s="111" t="s">
        <v>4175</v>
      </c>
      <c r="B71" s="37" t="s">
        <v>4178</v>
      </c>
      <c r="C71" s="9"/>
      <c r="D71" s="36"/>
    </row>
    <row r="72" spans="1:4" ht="14.25" customHeight="1" x14ac:dyDescent="0.3">
      <c r="A72" s="263" t="s">
        <v>4175</v>
      </c>
      <c r="B72" s="264" t="s">
        <v>1939</v>
      </c>
      <c r="C72" s="31"/>
      <c r="D72" s="31"/>
    </row>
    <row r="73" spans="1:4" ht="14.25" customHeight="1" x14ac:dyDescent="0.3">
      <c r="A73" s="111" t="s">
        <v>4175</v>
      </c>
      <c r="B73" s="37" t="s">
        <v>1041</v>
      </c>
      <c r="C73" s="9"/>
      <c r="D73" s="36"/>
    </row>
    <row r="74" spans="1:4" ht="14.25" customHeight="1" x14ac:dyDescent="0.3">
      <c r="A74" s="263" t="s">
        <v>4181</v>
      </c>
      <c r="B74" s="264" t="s">
        <v>4092</v>
      </c>
      <c r="C74" s="31"/>
      <c r="D74" s="31"/>
    </row>
    <row r="75" spans="1:4" ht="14.25" customHeight="1" x14ac:dyDescent="0.3">
      <c r="A75" s="263" t="s">
        <v>4181</v>
      </c>
      <c r="B75" s="264" t="s">
        <v>4025</v>
      </c>
      <c r="C75" s="31"/>
      <c r="D75" s="31"/>
    </row>
    <row r="76" spans="1:4" ht="14.25" customHeight="1" x14ac:dyDescent="0.3">
      <c r="A76" s="111" t="s">
        <v>4181</v>
      </c>
      <c r="B76" s="37" t="s">
        <v>4184</v>
      </c>
      <c r="C76" s="9"/>
      <c r="D76" s="36"/>
    </row>
    <row r="77" spans="1:4" ht="14.25" customHeight="1" x14ac:dyDescent="0.3">
      <c r="A77" s="111" t="s">
        <v>4181</v>
      </c>
      <c r="B77" s="37" t="s">
        <v>4186</v>
      </c>
      <c r="C77" s="9"/>
      <c r="D77" s="36"/>
    </row>
    <row r="78" spans="1:4" ht="14.25" customHeight="1" x14ac:dyDescent="0.3">
      <c r="A78" s="111" t="s">
        <v>4181</v>
      </c>
      <c r="B78" s="37" t="s">
        <v>4188</v>
      </c>
      <c r="C78" s="9"/>
      <c r="D78" s="36"/>
    </row>
    <row r="79" spans="1:4" ht="14.25" customHeight="1" x14ac:dyDescent="0.3">
      <c r="A79" s="111" t="s">
        <v>4181</v>
      </c>
      <c r="B79" s="37" t="s">
        <v>4189</v>
      </c>
      <c r="C79" s="9"/>
      <c r="D79" s="36"/>
    </row>
    <row r="80" spans="1:4" ht="14.25" customHeight="1" x14ac:dyDescent="0.3">
      <c r="A80" s="263" t="s">
        <v>4181</v>
      </c>
      <c r="B80" s="264" t="s">
        <v>4190</v>
      </c>
      <c r="C80" s="31"/>
      <c r="D80" s="31"/>
    </row>
    <row r="81" spans="1:4" ht="14.25" customHeight="1" x14ac:dyDescent="0.3">
      <c r="A81" s="111" t="s">
        <v>4181</v>
      </c>
      <c r="B81" s="37" t="s">
        <v>1501</v>
      </c>
      <c r="C81" s="9"/>
      <c r="D81" s="36"/>
    </row>
    <row r="82" spans="1:4" ht="14.25" customHeight="1" x14ac:dyDescent="0.3">
      <c r="A82" s="263" t="s">
        <v>4193</v>
      </c>
      <c r="B82" s="264" t="s">
        <v>4092</v>
      </c>
      <c r="C82" s="31"/>
      <c r="D82" s="31"/>
    </row>
    <row r="83" spans="1:4" ht="14.25" customHeight="1" x14ac:dyDescent="0.3">
      <c r="A83" s="263" t="s">
        <v>4193</v>
      </c>
      <c r="B83" s="264" t="s">
        <v>4195</v>
      </c>
      <c r="C83" s="31"/>
      <c r="D83" s="31"/>
    </row>
    <row r="84" spans="1:4" ht="14.25" customHeight="1" x14ac:dyDescent="0.3">
      <c r="A84" s="111" t="s">
        <v>4193</v>
      </c>
      <c r="B84" s="37" t="s">
        <v>4198</v>
      </c>
      <c r="C84" s="9"/>
      <c r="D84" s="36"/>
    </row>
    <row r="85" spans="1:4" ht="14.25" customHeight="1" x14ac:dyDescent="0.3">
      <c r="A85" s="111" t="s">
        <v>4193</v>
      </c>
      <c r="B85" s="37" t="s">
        <v>4199</v>
      </c>
      <c r="C85" s="9"/>
      <c r="D85" s="36"/>
    </row>
    <row r="86" spans="1:4" ht="14.25" customHeight="1" x14ac:dyDescent="0.3">
      <c r="A86" s="111" t="s">
        <v>4193</v>
      </c>
      <c r="B86" s="37" t="s">
        <v>4201</v>
      </c>
      <c r="C86" s="9"/>
      <c r="D86" s="36"/>
    </row>
    <row r="87" spans="1:4" ht="14.25" customHeight="1" x14ac:dyDescent="0.3">
      <c r="A87" s="111" t="s">
        <v>4193</v>
      </c>
      <c r="B87" s="37" t="s">
        <v>4203</v>
      </c>
      <c r="C87" s="9"/>
      <c r="D87" s="36"/>
    </row>
    <row r="88" spans="1:4" ht="14.25" customHeight="1" x14ac:dyDescent="0.3">
      <c r="A88" s="111" t="s">
        <v>4193</v>
      </c>
      <c r="B88" s="37" t="s">
        <v>4205</v>
      </c>
      <c r="C88" s="9"/>
      <c r="D88" s="36"/>
    </row>
    <row r="89" spans="1:4" ht="14.25" customHeight="1" x14ac:dyDescent="0.3">
      <c r="A89" s="111" t="s">
        <v>4193</v>
      </c>
      <c r="B89" s="37" t="s">
        <v>4206</v>
      </c>
      <c r="C89" s="9"/>
      <c r="D89" s="36"/>
    </row>
    <row r="90" spans="1:4" ht="14.25" customHeight="1" x14ac:dyDescent="0.3">
      <c r="A90" s="111" t="s">
        <v>4193</v>
      </c>
      <c r="B90" s="37" t="s">
        <v>4207</v>
      </c>
      <c r="C90" s="9"/>
      <c r="D90" s="36"/>
    </row>
    <row r="91" spans="1:4" ht="14.25" customHeight="1" x14ac:dyDescent="0.3">
      <c r="A91" s="111" t="s">
        <v>4193</v>
      </c>
      <c r="B91" s="37" t="s">
        <v>4208</v>
      </c>
      <c r="C91" s="9"/>
      <c r="D91" s="36"/>
    </row>
    <row r="92" spans="1:4" ht="14.25" customHeight="1" x14ac:dyDescent="0.3">
      <c r="A92" s="111" t="s">
        <v>4193</v>
      </c>
      <c r="B92" s="37" t="s">
        <v>4210</v>
      </c>
      <c r="C92" s="9"/>
      <c r="D92" s="36"/>
    </row>
    <row r="93" spans="1:4" ht="14.25" customHeight="1" x14ac:dyDescent="0.3">
      <c r="A93" s="111" t="s">
        <v>4193</v>
      </c>
      <c r="B93" s="37" t="s">
        <v>4211</v>
      </c>
      <c r="C93" s="9"/>
      <c r="D93" s="36"/>
    </row>
    <row r="94" spans="1:4" ht="14.25" customHeight="1" x14ac:dyDescent="0.3">
      <c r="A94" s="263" t="s">
        <v>4193</v>
      </c>
      <c r="B94" s="264" t="s">
        <v>1939</v>
      </c>
      <c r="C94" s="31"/>
      <c r="D94" s="31"/>
    </row>
    <row r="95" spans="1:4" ht="14.25" customHeight="1" x14ac:dyDescent="0.3">
      <c r="A95" s="111" t="s">
        <v>4193</v>
      </c>
      <c r="B95" s="37" t="s">
        <v>1193</v>
      </c>
      <c r="C95" s="9"/>
      <c r="D95" s="36"/>
    </row>
    <row r="96" spans="1:4" ht="14.25" customHeight="1" x14ac:dyDescent="0.3">
      <c r="A96" s="263" t="s">
        <v>4217</v>
      </c>
      <c r="B96" s="264" t="s">
        <v>4218</v>
      </c>
      <c r="C96" s="31"/>
      <c r="D96" s="31"/>
    </row>
    <row r="97" spans="1:4" ht="14.25" customHeight="1" x14ac:dyDescent="0.3">
      <c r="A97" s="36" t="s">
        <v>4217</v>
      </c>
      <c r="B97" s="37" t="s">
        <v>4220</v>
      </c>
      <c r="C97" s="9"/>
      <c r="D97" s="36"/>
    </row>
    <row r="98" spans="1:4" ht="14.4" x14ac:dyDescent="0.3">
      <c r="A98" s="17"/>
      <c r="B98" s="14"/>
      <c r="C98" s="17"/>
      <c r="D98" s="17"/>
    </row>
    <row r="99" spans="1:4" ht="14.4" x14ac:dyDescent="0.3">
      <c r="A99" s="17"/>
      <c r="B99" s="14"/>
      <c r="C99" s="17"/>
      <c r="D99" s="17"/>
    </row>
    <row r="100" spans="1:4" ht="14.4" x14ac:dyDescent="0.3">
      <c r="A100" s="17"/>
      <c r="B100" s="15" t="s">
        <v>75</v>
      </c>
      <c r="C100" s="2">
        <f>COUNTIF($C$4:$C$97,"C")</f>
        <v>1</v>
      </c>
      <c r="D100" s="17"/>
    </row>
    <row r="101" spans="1:4" ht="14.4" x14ac:dyDescent="0.3">
      <c r="A101" s="17"/>
      <c r="B101" s="15" t="s">
        <v>81</v>
      </c>
      <c r="C101" s="2">
        <f>COUNTIF($C$4:$C$97,"NC")</f>
        <v>1</v>
      </c>
      <c r="D101" s="17"/>
    </row>
    <row r="102" spans="1:4" ht="14.4" x14ac:dyDescent="0.3">
      <c r="A102" s="17"/>
      <c r="B102" s="15" t="s">
        <v>84</v>
      </c>
      <c r="C102" s="2">
        <f>COUNTIF($C$4:$C$97,"NA")</f>
        <v>1</v>
      </c>
      <c r="D102" s="17"/>
    </row>
  </sheetData>
  <conditionalFormatting sqref="C7:C9 C11:C13 C16:C28 C30 C33:C65 C67 C70:C71 C73 C76:C79 C81 C84:C93 C95 C97">
    <cfRule type="beginsWith" dxfId="5" priority="1" operator="beginsWith" text="C">
      <formula>LEFT((C7),LEN("C"))=("C")</formula>
    </cfRule>
    <cfRule type="beginsWith" dxfId="4" priority="2" operator="beginsWith" text="NC">
      <formula>LEFT((C7),LEN("NC"))=("NC")</formula>
    </cfRule>
    <cfRule type="beginsWith" dxfId="3" priority="3" operator="beginsWith" text="NA">
      <formula>LEFT((C7),LEN("NA"))=("NA")</formula>
    </cfRule>
  </conditionalFormatting>
  <dataValidations count="1">
    <dataValidation type="list" allowBlank="1" sqref="C7:C9 C11:C13 C16:C28 C30 C33:C65 C67 C70:C71 C73 C76:C79 C81 C84:C93 C95 C97" xr:uid="{00000000-0002-0000-2D00-000000000000}">
      <formula1>"C,NC,NA"</formula1>
    </dataValidation>
  </dataValidations>
  <hyperlinks>
    <hyperlink ref="B1" location="'Tabla de contenido'!A1" display="VOLVER A TABLA DE CONTENIDO" xr:uid="{00000000-0004-0000-2D00-000000000000}"/>
  </hyperlinks>
  <pageMargins left="0.7" right="0.7" top="0.75" bottom="0.75" header="0" footer="0"/>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660000"/>
  </sheetPr>
  <dimension ref="A1:D221"/>
  <sheetViews>
    <sheetView showGridLines="0" workbookViewId="0">
      <selection sqref="A1:D1"/>
    </sheetView>
  </sheetViews>
  <sheetFormatPr baseColWidth="10" defaultColWidth="14.44140625" defaultRowHeight="15" customHeight="1" outlineLevelCol="1" x14ac:dyDescent="0.3"/>
  <cols>
    <col min="1" max="1" width="17.88671875" customWidth="1"/>
    <col min="2" max="2" width="66.88671875" customWidth="1"/>
    <col min="3" max="3" width="11.5546875" customWidth="1"/>
    <col min="4" max="4" width="25.77734375" customWidth="1" outlineLevel="1"/>
    <col min="5" max="5" width="5.21875" customWidth="1"/>
    <col min="6" max="12" width="10.77734375" customWidth="1"/>
  </cols>
  <sheetData>
    <row r="1" spans="1:4" ht="14.4" x14ac:dyDescent="0.3">
      <c r="A1" s="269"/>
      <c r="B1" s="270" t="s">
        <v>0</v>
      </c>
      <c r="C1" s="269"/>
      <c r="D1" s="269"/>
    </row>
    <row r="2" spans="1:4" ht="14.4" x14ac:dyDescent="0.3">
      <c r="A2" s="74"/>
      <c r="B2" s="75" t="s">
        <v>3684</v>
      </c>
      <c r="C2" s="76"/>
      <c r="D2" s="77"/>
    </row>
    <row r="3" spans="1:4" ht="14.4" x14ac:dyDescent="0.3">
      <c r="A3" s="6"/>
      <c r="B3" s="18" t="s">
        <v>325</v>
      </c>
      <c r="C3" s="117"/>
      <c r="D3" s="19"/>
    </row>
    <row r="4" spans="1:4" ht="14.4" x14ac:dyDescent="0.3">
      <c r="A4" s="6" t="s">
        <v>7</v>
      </c>
      <c r="B4" s="18" t="s">
        <v>9</v>
      </c>
      <c r="C4" s="6" t="s">
        <v>10</v>
      </c>
      <c r="D4" s="6" t="s">
        <v>11</v>
      </c>
    </row>
    <row r="5" spans="1:4" ht="14.4" x14ac:dyDescent="0.3">
      <c r="A5" s="263" t="s">
        <v>4263</v>
      </c>
      <c r="B5" s="264" t="s">
        <v>1081</v>
      </c>
      <c r="C5" s="31"/>
      <c r="D5" s="31"/>
    </row>
    <row r="6" spans="1:4" ht="14.4" x14ac:dyDescent="0.3">
      <c r="A6" s="263" t="s">
        <v>4263</v>
      </c>
      <c r="B6" s="32" t="s">
        <v>4265</v>
      </c>
      <c r="C6" s="31"/>
      <c r="D6" s="31"/>
    </row>
    <row r="7" spans="1:4" ht="27.6" x14ac:dyDescent="0.3">
      <c r="A7" s="111" t="s">
        <v>4263</v>
      </c>
      <c r="B7" s="37" t="s">
        <v>1126</v>
      </c>
      <c r="C7" s="9" t="s">
        <v>16</v>
      </c>
      <c r="D7" s="36"/>
    </row>
    <row r="8" spans="1:4" ht="14.4" x14ac:dyDescent="0.3">
      <c r="A8" s="111" t="s">
        <v>4263</v>
      </c>
      <c r="B8" s="37" t="s">
        <v>3601</v>
      </c>
      <c r="C8" s="9" t="s">
        <v>20</v>
      </c>
      <c r="D8" s="36"/>
    </row>
    <row r="9" spans="1:4" ht="14.4" x14ac:dyDescent="0.3">
      <c r="A9" s="263" t="s">
        <v>4263</v>
      </c>
      <c r="B9" s="32" t="s">
        <v>1335</v>
      </c>
      <c r="C9" s="31"/>
      <c r="D9" s="31"/>
    </row>
    <row r="10" spans="1:4" ht="14.4" x14ac:dyDescent="0.3">
      <c r="A10" s="111" t="s">
        <v>4263</v>
      </c>
      <c r="B10" s="37" t="s">
        <v>4269</v>
      </c>
      <c r="C10" s="9" t="s">
        <v>24</v>
      </c>
      <c r="D10" s="36"/>
    </row>
    <row r="11" spans="1:4" ht="14.4" x14ac:dyDescent="0.3">
      <c r="A11" s="111" t="s">
        <v>4263</v>
      </c>
      <c r="B11" s="37" t="s">
        <v>4271</v>
      </c>
      <c r="C11" s="9"/>
      <c r="D11" s="49"/>
    </row>
    <row r="12" spans="1:4" ht="14.4" x14ac:dyDescent="0.3">
      <c r="A12" s="263" t="s">
        <v>4263</v>
      </c>
      <c r="B12" s="32" t="s">
        <v>4272</v>
      </c>
      <c r="C12" s="31"/>
      <c r="D12" s="31"/>
    </row>
    <row r="13" spans="1:4" ht="14.4" x14ac:dyDescent="0.3">
      <c r="A13" s="263" t="s">
        <v>4263</v>
      </c>
      <c r="B13" s="32" t="s">
        <v>2045</v>
      </c>
      <c r="C13" s="31"/>
      <c r="D13" s="31"/>
    </row>
    <row r="14" spans="1:4" ht="27.6" x14ac:dyDescent="0.3">
      <c r="A14" s="111" t="s">
        <v>4263</v>
      </c>
      <c r="B14" s="37" t="s">
        <v>4274</v>
      </c>
      <c r="C14" s="9"/>
      <c r="D14" s="36"/>
    </row>
    <row r="15" spans="1:4" ht="14.4" x14ac:dyDescent="0.3">
      <c r="A15" s="111" t="s">
        <v>4263</v>
      </c>
      <c r="B15" s="37" t="s">
        <v>4276</v>
      </c>
      <c r="C15" s="9"/>
      <c r="D15" s="36"/>
    </row>
    <row r="16" spans="1:4" ht="14.4" x14ac:dyDescent="0.3">
      <c r="A16" s="111" t="s">
        <v>4263</v>
      </c>
      <c r="B16" s="37" t="s">
        <v>4277</v>
      </c>
      <c r="C16" s="9"/>
      <c r="D16" s="36"/>
    </row>
    <row r="17" spans="1:4" ht="14.4" x14ac:dyDescent="0.3">
      <c r="A17" s="111" t="s">
        <v>4263</v>
      </c>
      <c r="B17" s="37" t="s">
        <v>4278</v>
      </c>
      <c r="C17" s="9"/>
      <c r="D17" s="50"/>
    </row>
    <row r="18" spans="1:4" ht="14.4" x14ac:dyDescent="0.3">
      <c r="A18" s="263" t="s">
        <v>4263</v>
      </c>
      <c r="B18" s="32" t="s">
        <v>1926</v>
      </c>
      <c r="C18" s="31"/>
      <c r="D18" s="31"/>
    </row>
    <row r="19" spans="1:4" ht="14.4" x14ac:dyDescent="0.3">
      <c r="A19" s="111" t="s">
        <v>4263</v>
      </c>
      <c r="B19" s="37" t="s">
        <v>4280</v>
      </c>
      <c r="C19" s="9"/>
      <c r="D19" s="36"/>
    </row>
    <row r="20" spans="1:4" ht="14.4" x14ac:dyDescent="0.3">
      <c r="A20" s="111" t="s">
        <v>4263</v>
      </c>
      <c r="B20" s="37" t="s">
        <v>4282</v>
      </c>
      <c r="C20" s="9"/>
      <c r="D20" s="36"/>
    </row>
    <row r="21" spans="1:4" ht="14.4" x14ac:dyDescent="0.3">
      <c r="A21" s="111" t="s">
        <v>4263</v>
      </c>
      <c r="B21" s="37" t="s">
        <v>4283</v>
      </c>
      <c r="C21" s="9"/>
      <c r="D21" s="50"/>
    </row>
    <row r="22" spans="1:4" ht="14.4" x14ac:dyDescent="0.3">
      <c r="A22" s="263" t="s">
        <v>4263</v>
      </c>
      <c r="B22" s="32" t="s">
        <v>1298</v>
      </c>
      <c r="C22" s="31"/>
      <c r="D22" s="31"/>
    </row>
    <row r="23" spans="1:4" ht="14.4" x14ac:dyDescent="0.3">
      <c r="A23" s="111" t="s">
        <v>4263</v>
      </c>
      <c r="B23" s="37" t="s">
        <v>4285</v>
      </c>
      <c r="C23" s="9"/>
      <c r="D23" s="36"/>
    </row>
    <row r="24" spans="1:4" ht="14.4" x14ac:dyDescent="0.3">
      <c r="A24" s="111" t="s">
        <v>4263</v>
      </c>
      <c r="B24" s="37" t="s">
        <v>4286</v>
      </c>
      <c r="C24" s="9"/>
      <c r="D24" s="36"/>
    </row>
    <row r="25" spans="1:4" ht="14.4" x14ac:dyDescent="0.3">
      <c r="A25" s="111" t="s">
        <v>4263</v>
      </c>
      <c r="B25" s="37" t="s">
        <v>4288</v>
      </c>
      <c r="C25" s="9"/>
      <c r="D25" s="36"/>
    </row>
    <row r="26" spans="1:4" ht="14.4" x14ac:dyDescent="0.3">
      <c r="A26" s="263" t="s">
        <v>4263</v>
      </c>
      <c r="B26" s="32" t="s">
        <v>4289</v>
      </c>
      <c r="C26" s="31"/>
      <c r="D26" s="31"/>
    </row>
    <row r="27" spans="1:4" ht="14.4" x14ac:dyDescent="0.3">
      <c r="A27" s="263" t="s">
        <v>4263</v>
      </c>
      <c r="B27" s="32" t="s">
        <v>4290</v>
      </c>
      <c r="C27" s="31"/>
      <c r="D27" s="31"/>
    </row>
    <row r="28" spans="1:4" ht="14.4" x14ac:dyDescent="0.3">
      <c r="A28" s="111" t="s">
        <v>4263</v>
      </c>
      <c r="B28" s="37" t="s">
        <v>1094</v>
      </c>
      <c r="C28" s="9"/>
      <c r="D28" s="36"/>
    </row>
    <row r="29" spans="1:4" ht="55.2" x14ac:dyDescent="0.3">
      <c r="A29" s="111" t="s">
        <v>4263</v>
      </c>
      <c r="B29" s="37" t="s">
        <v>4292</v>
      </c>
      <c r="C29" s="9"/>
      <c r="D29" s="36"/>
    </row>
    <row r="30" spans="1:4" ht="55.2" x14ac:dyDescent="0.3">
      <c r="A30" s="111" t="s">
        <v>4263</v>
      </c>
      <c r="B30" s="37" t="s">
        <v>4294</v>
      </c>
      <c r="C30" s="9"/>
      <c r="D30" s="36"/>
    </row>
    <row r="31" spans="1:4" ht="14.4" x14ac:dyDescent="0.3">
      <c r="A31" s="263" t="s">
        <v>4295</v>
      </c>
      <c r="B31" s="32" t="s">
        <v>1081</v>
      </c>
      <c r="C31" s="31"/>
      <c r="D31" s="31"/>
    </row>
    <row r="32" spans="1:4" ht="14.4" x14ac:dyDescent="0.3">
      <c r="A32" s="263" t="s">
        <v>4295</v>
      </c>
      <c r="B32" s="32" t="s">
        <v>1136</v>
      </c>
      <c r="C32" s="31"/>
      <c r="D32" s="31"/>
    </row>
    <row r="33" spans="1:4" ht="27.6" x14ac:dyDescent="0.3">
      <c r="A33" s="111" t="s">
        <v>4295</v>
      </c>
      <c r="B33" s="37" t="s">
        <v>1100</v>
      </c>
      <c r="C33" s="9"/>
      <c r="D33" s="36"/>
    </row>
    <row r="34" spans="1:4" ht="14.4" x14ac:dyDescent="0.3">
      <c r="A34" s="111" t="s">
        <v>4295</v>
      </c>
      <c r="B34" s="37" t="s">
        <v>4298</v>
      </c>
      <c r="C34" s="9"/>
      <c r="D34" s="50"/>
    </row>
    <row r="35" spans="1:4" ht="14.4" x14ac:dyDescent="0.3">
      <c r="A35" s="111" t="s">
        <v>4295</v>
      </c>
      <c r="B35" s="37" t="s">
        <v>4299</v>
      </c>
      <c r="C35" s="9"/>
      <c r="D35" s="36"/>
    </row>
    <row r="36" spans="1:4" ht="14.4" x14ac:dyDescent="0.3">
      <c r="A36" s="111" t="s">
        <v>4295</v>
      </c>
      <c r="B36" s="37" t="s">
        <v>4301</v>
      </c>
      <c r="C36" s="9"/>
      <c r="D36" s="36"/>
    </row>
    <row r="37" spans="1:4" ht="27.6" x14ac:dyDescent="0.3">
      <c r="A37" s="111" t="s">
        <v>4295</v>
      </c>
      <c r="B37" s="37" t="s">
        <v>4302</v>
      </c>
      <c r="C37" s="9"/>
      <c r="D37" s="36"/>
    </row>
    <row r="38" spans="1:4" ht="14.4" x14ac:dyDescent="0.3">
      <c r="A38" s="111" t="s">
        <v>4295</v>
      </c>
      <c r="B38" s="37" t="s">
        <v>4304</v>
      </c>
      <c r="C38" s="9"/>
      <c r="D38" s="36"/>
    </row>
    <row r="39" spans="1:4" ht="14.4" x14ac:dyDescent="0.3">
      <c r="A39" s="111" t="s">
        <v>4295</v>
      </c>
      <c r="B39" s="37" t="s">
        <v>4305</v>
      </c>
      <c r="C39" s="9"/>
      <c r="D39" s="36"/>
    </row>
    <row r="40" spans="1:4" ht="14.4" x14ac:dyDescent="0.3">
      <c r="A40" s="111" t="s">
        <v>4295</v>
      </c>
      <c r="B40" s="37" t="s">
        <v>4306</v>
      </c>
      <c r="C40" s="9"/>
      <c r="D40" s="36"/>
    </row>
    <row r="41" spans="1:4" ht="14.4" x14ac:dyDescent="0.3">
      <c r="A41" s="111" t="s">
        <v>4295</v>
      </c>
      <c r="B41" s="37" t="s">
        <v>4307</v>
      </c>
      <c r="C41" s="9"/>
      <c r="D41" s="36"/>
    </row>
    <row r="42" spans="1:4" ht="14.4" x14ac:dyDescent="0.3">
      <c r="A42" s="111" t="s">
        <v>4295</v>
      </c>
      <c r="B42" s="37" t="s">
        <v>4308</v>
      </c>
      <c r="C42" s="9"/>
      <c r="D42" s="36"/>
    </row>
    <row r="43" spans="1:4" ht="41.4" x14ac:dyDescent="0.3">
      <c r="A43" s="111" t="s">
        <v>4295</v>
      </c>
      <c r="B43" s="37" t="s">
        <v>4309</v>
      </c>
      <c r="C43" s="9"/>
      <c r="D43" s="36"/>
    </row>
    <row r="44" spans="1:4" ht="14.4" x14ac:dyDescent="0.3">
      <c r="A44" s="111" t="s">
        <v>4295</v>
      </c>
      <c r="B44" s="37" t="s">
        <v>4310</v>
      </c>
      <c r="C44" s="9"/>
      <c r="D44" s="54"/>
    </row>
    <row r="45" spans="1:4" ht="14.4" x14ac:dyDescent="0.3">
      <c r="A45" s="111" t="s">
        <v>4295</v>
      </c>
      <c r="B45" s="37" t="s">
        <v>4312</v>
      </c>
      <c r="C45" s="9"/>
      <c r="D45" s="36"/>
    </row>
    <row r="46" spans="1:4" ht="14.4" x14ac:dyDescent="0.3">
      <c r="A46" s="111" t="s">
        <v>4295</v>
      </c>
      <c r="B46" s="37" t="s">
        <v>4313</v>
      </c>
      <c r="C46" s="9"/>
      <c r="D46" s="54"/>
    </row>
    <row r="47" spans="1:4" ht="27.6" x14ac:dyDescent="0.3">
      <c r="A47" s="111" t="s">
        <v>4295</v>
      </c>
      <c r="B47" s="37" t="s">
        <v>4315</v>
      </c>
      <c r="C47" s="9"/>
      <c r="D47" s="36"/>
    </row>
    <row r="48" spans="1:4" ht="27.6" x14ac:dyDescent="0.3">
      <c r="A48" s="111" t="s">
        <v>4295</v>
      </c>
      <c r="B48" s="37" t="s">
        <v>4316</v>
      </c>
      <c r="C48" s="9"/>
      <c r="D48" s="36"/>
    </row>
    <row r="49" spans="1:4" ht="41.4" x14ac:dyDescent="0.3">
      <c r="A49" s="111" t="s">
        <v>4295</v>
      </c>
      <c r="B49" s="37" t="s">
        <v>4317</v>
      </c>
      <c r="C49" s="9"/>
      <c r="D49" s="36"/>
    </row>
    <row r="50" spans="1:4" ht="27.6" x14ac:dyDescent="0.3">
      <c r="A50" s="111" t="s">
        <v>4295</v>
      </c>
      <c r="B50" s="37" t="s">
        <v>4319</v>
      </c>
      <c r="C50" s="9"/>
      <c r="D50" s="36"/>
    </row>
    <row r="51" spans="1:4" ht="14.4" x14ac:dyDescent="0.3">
      <c r="A51" s="111" t="s">
        <v>4295</v>
      </c>
      <c r="B51" s="37" t="s">
        <v>4320</v>
      </c>
      <c r="C51" s="9"/>
      <c r="D51" s="36"/>
    </row>
    <row r="52" spans="1:4" ht="14.4" x14ac:dyDescent="0.3">
      <c r="A52" s="111" t="s">
        <v>4295</v>
      </c>
      <c r="B52" s="37" t="s">
        <v>4322</v>
      </c>
      <c r="C52" s="9"/>
      <c r="D52" s="36"/>
    </row>
    <row r="53" spans="1:4" ht="14.4" x14ac:dyDescent="0.3">
      <c r="A53" s="111" t="s">
        <v>4295</v>
      </c>
      <c r="B53" s="37" t="s">
        <v>4323</v>
      </c>
      <c r="C53" s="9"/>
      <c r="D53" s="36"/>
    </row>
    <row r="54" spans="1:4" ht="41.4" x14ac:dyDescent="0.3">
      <c r="A54" s="111" t="s">
        <v>4295</v>
      </c>
      <c r="B54" s="37" t="s">
        <v>4325</v>
      </c>
      <c r="C54" s="9"/>
      <c r="D54" s="36"/>
    </row>
    <row r="55" spans="1:4" ht="27.6" x14ac:dyDescent="0.3">
      <c r="A55" s="111" t="s">
        <v>4295</v>
      </c>
      <c r="B55" s="37" t="s">
        <v>4326</v>
      </c>
      <c r="C55" s="9"/>
      <c r="D55" s="36"/>
    </row>
    <row r="56" spans="1:4" ht="14.4" x14ac:dyDescent="0.3">
      <c r="A56" s="111" t="s">
        <v>4295</v>
      </c>
      <c r="B56" s="37" t="s">
        <v>4327</v>
      </c>
      <c r="C56" s="9"/>
      <c r="D56" s="36"/>
    </row>
    <row r="57" spans="1:4" ht="14.4" x14ac:dyDescent="0.3">
      <c r="A57" s="111" t="s">
        <v>4295</v>
      </c>
      <c r="B57" s="37" t="s">
        <v>4329</v>
      </c>
      <c r="C57" s="9"/>
      <c r="D57" s="50"/>
    </row>
    <row r="58" spans="1:4" ht="27.6" x14ac:dyDescent="0.3">
      <c r="A58" s="111" t="s">
        <v>4295</v>
      </c>
      <c r="B58" s="37" t="s">
        <v>4330</v>
      </c>
      <c r="C58" s="9"/>
      <c r="D58" s="36"/>
    </row>
    <row r="59" spans="1:4" ht="14.4" x14ac:dyDescent="0.3">
      <c r="A59" s="111" t="s">
        <v>4295</v>
      </c>
      <c r="B59" s="37" t="s">
        <v>4332</v>
      </c>
      <c r="C59" s="9"/>
      <c r="D59" s="36"/>
    </row>
    <row r="60" spans="1:4" ht="27.6" x14ac:dyDescent="0.3">
      <c r="A60" s="111" t="s">
        <v>4295</v>
      </c>
      <c r="B60" s="37" t="s">
        <v>4333</v>
      </c>
      <c r="C60" s="9"/>
      <c r="D60" s="36"/>
    </row>
    <row r="61" spans="1:4" ht="14.4" x14ac:dyDescent="0.3">
      <c r="A61" s="111" t="s">
        <v>4295</v>
      </c>
      <c r="B61" s="37" t="s">
        <v>4335</v>
      </c>
      <c r="C61" s="9"/>
      <c r="D61" s="50"/>
    </row>
    <row r="62" spans="1:4" ht="14.4" x14ac:dyDescent="0.3">
      <c r="A62" s="111" t="s">
        <v>4295</v>
      </c>
      <c r="B62" s="37" t="s">
        <v>4337</v>
      </c>
      <c r="C62" s="9"/>
      <c r="D62" s="36"/>
    </row>
    <row r="63" spans="1:4" ht="14.4" x14ac:dyDescent="0.3">
      <c r="A63" s="111" t="s">
        <v>4295</v>
      </c>
      <c r="B63" s="37" t="s">
        <v>4338</v>
      </c>
      <c r="C63" s="9"/>
      <c r="D63" s="36"/>
    </row>
    <row r="64" spans="1:4" ht="14.4" x14ac:dyDescent="0.3">
      <c r="A64" s="111" t="s">
        <v>4295</v>
      </c>
      <c r="B64" s="37" t="s">
        <v>4339</v>
      </c>
      <c r="C64" s="9"/>
      <c r="D64" s="36"/>
    </row>
    <row r="65" spans="1:4" ht="14.4" x14ac:dyDescent="0.3">
      <c r="A65" s="263" t="s">
        <v>4295</v>
      </c>
      <c r="B65" s="32" t="s">
        <v>4340</v>
      </c>
      <c r="C65" s="31"/>
      <c r="D65" s="31"/>
    </row>
    <row r="66" spans="1:4" ht="14.4" x14ac:dyDescent="0.3">
      <c r="A66" s="263" t="s">
        <v>4295</v>
      </c>
      <c r="B66" s="32" t="s">
        <v>2929</v>
      </c>
      <c r="C66" s="31"/>
      <c r="D66" s="31"/>
    </row>
    <row r="67" spans="1:4" ht="41.4" x14ac:dyDescent="0.3">
      <c r="A67" s="111" t="s">
        <v>4295</v>
      </c>
      <c r="B67" s="37" t="s">
        <v>4342</v>
      </c>
      <c r="C67" s="9"/>
      <c r="D67" s="36"/>
    </row>
    <row r="68" spans="1:4" ht="14.4" x14ac:dyDescent="0.3">
      <c r="A68" s="263" t="s">
        <v>4295</v>
      </c>
      <c r="B68" s="32" t="s">
        <v>1099</v>
      </c>
      <c r="C68" s="31"/>
      <c r="D68" s="31"/>
    </row>
    <row r="69" spans="1:4" ht="14.4" x14ac:dyDescent="0.3">
      <c r="A69" s="263" t="s">
        <v>4295</v>
      </c>
      <c r="B69" s="32" t="s">
        <v>4344</v>
      </c>
      <c r="C69" s="31"/>
      <c r="D69" s="31"/>
    </row>
    <row r="70" spans="1:4" ht="27.6" x14ac:dyDescent="0.3">
      <c r="A70" s="111" t="s">
        <v>4295</v>
      </c>
      <c r="B70" s="37" t="s">
        <v>4345</v>
      </c>
      <c r="C70" s="9"/>
      <c r="D70" s="36"/>
    </row>
    <row r="71" spans="1:4" ht="14.4" x14ac:dyDescent="0.3">
      <c r="A71" s="263" t="s">
        <v>4347</v>
      </c>
      <c r="B71" s="32" t="s">
        <v>1081</v>
      </c>
      <c r="C71" s="31"/>
      <c r="D71" s="31"/>
    </row>
    <row r="72" spans="1:4" ht="14.4" x14ac:dyDescent="0.3">
      <c r="A72" s="263" t="s">
        <v>4347</v>
      </c>
      <c r="B72" s="32" t="s">
        <v>4348</v>
      </c>
      <c r="C72" s="31"/>
      <c r="D72" s="31"/>
    </row>
    <row r="73" spans="1:4" ht="27.6" x14ac:dyDescent="0.3">
      <c r="A73" s="111" t="s">
        <v>4347</v>
      </c>
      <c r="B73" s="37" t="s">
        <v>4350</v>
      </c>
      <c r="C73" s="9"/>
      <c r="D73" s="36"/>
    </row>
    <row r="74" spans="1:4" ht="14.4" x14ac:dyDescent="0.3">
      <c r="A74" s="111" t="s">
        <v>4347</v>
      </c>
      <c r="B74" s="37" t="s">
        <v>4351</v>
      </c>
      <c r="C74" s="9"/>
      <c r="D74" s="36"/>
    </row>
    <row r="75" spans="1:4" ht="14.4" x14ac:dyDescent="0.3">
      <c r="A75" s="111" t="s">
        <v>4347</v>
      </c>
      <c r="B75" s="37" t="s">
        <v>4352</v>
      </c>
      <c r="C75" s="9"/>
      <c r="D75" s="36"/>
    </row>
    <row r="76" spans="1:4" ht="14.4" x14ac:dyDescent="0.3">
      <c r="A76" s="111" t="s">
        <v>4347</v>
      </c>
      <c r="B76" s="37" t="s">
        <v>4354</v>
      </c>
      <c r="C76" s="9"/>
      <c r="D76" s="36"/>
    </row>
    <row r="77" spans="1:4" ht="27.6" x14ac:dyDescent="0.3">
      <c r="A77" s="111" t="s">
        <v>4347</v>
      </c>
      <c r="B77" s="37" t="s">
        <v>4355</v>
      </c>
      <c r="C77" s="9"/>
      <c r="D77" s="36"/>
    </row>
    <row r="78" spans="1:4" ht="14.4" x14ac:dyDescent="0.3">
      <c r="A78" s="111" t="s">
        <v>4347</v>
      </c>
      <c r="B78" s="37" t="s">
        <v>4357</v>
      </c>
      <c r="C78" s="9"/>
      <c r="D78" s="36"/>
    </row>
    <row r="79" spans="1:4" ht="14.4" x14ac:dyDescent="0.3">
      <c r="A79" s="111" t="s">
        <v>4347</v>
      </c>
      <c r="B79" s="37" t="s">
        <v>4358</v>
      </c>
      <c r="C79" s="9"/>
      <c r="D79" s="36"/>
    </row>
    <row r="80" spans="1:4" ht="14.4" x14ac:dyDescent="0.3">
      <c r="A80" s="111" t="s">
        <v>4347</v>
      </c>
      <c r="B80" s="37" t="s">
        <v>4359</v>
      </c>
      <c r="C80" s="9"/>
      <c r="D80" s="36"/>
    </row>
    <row r="81" spans="1:4" ht="14.4" x14ac:dyDescent="0.3">
      <c r="A81" s="111" t="s">
        <v>4347</v>
      </c>
      <c r="B81" s="37" t="s">
        <v>4361</v>
      </c>
      <c r="C81" s="9"/>
      <c r="D81" s="36"/>
    </row>
    <row r="82" spans="1:4" ht="14.4" x14ac:dyDescent="0.3">
      <c r="A82" s="111" t="s">
        <v>4347</v>
      </c>
      <c r="B82" s="37" t="s">
        <v>4362</v>
      </c>
      <c r="C82" s="9"/>
      <c r="D82" s="36"/>
    </row>
    <row r="83" spans="1:4" ht="14.4" x14ac:dyDescent="0.3">
      <c r="A83" s="111" t="s">
        <v>4347</v>
      </c>
      <c r="B83" s="37" t="s">
        <v>4364</v>
      </c>
      <c r="C83" s="9"/>
      <c r="D83" s="36"/>
    </row>
    <row r="84" spans="1:4" ht="27.6" x14ac:dyDescent="0.3">
      <c r="A84" s="111" t="s">
        <v>4347</v>
      </c>
      <c r="B84" s="37" t="s">
        <v>4365</v>
      </c>
      <c r="C84" s="9"/>
      <c r="D84" s="36"/>
    </row>
    <row r="85" spans="1:4" ht="14.4" x14ac:dyDescent="0.3">
      <c r="A85" s="111" t="s">
        <v>4347</v>
      </c>
      <c r="B85" s="37" t="s">
        <v>4366</v>
      </c>
      <c r="C85" s="9"/>
      <c r="D85" s="36"/>
    </row>
    <row r="86" spans="1:4" ht="14.4" x14ac:dyDescent="0.3">
      <c r="A86" s="111" t="s">
        <v>4347</v>
      </c>
      <c r="B86" s="37" t="s">
        <v>4368</v>
      </c>
      <c r="C86" s="9"/>
      <c r="D86" s="36"/>
    </row>
    <row r="87" spans="1:4" ht="14.4" x14ac:dyDescent="0.3">
      <c r="A87" s="111" t="s">
        <v>4347</v>
      </c>
      <c r="B87" s="37" t="s">
        <v>4369</v>
      </c>
      <c r="C87" s="9"/>
      <c r="D87" s="36"/>
    </row>
    <row r="88" spans="1:4" ht="14.4" x14ac:dyDescent="0.3">
      <c r="A88" s="111" t="s">
        <v>4347</v>
      </c>
      <c r="B88" s="37" t="s">
        <v>4371</v>
      </c>
      <c r="C88" s="9"/>
      <c r="D88" s="36"/>
    </row>
    <row r="89" spans="1:4" ht="14.4" x14ac:dyDescent="0.3">
      <c r="A89" s="111" t="s">
        <v>4347</v>
      </c>
      <c r="B89" s="37" t="s">
        <v>4372</v>
      </c>
      <c r="C89" s="9"/>
      <c r="D89" s="36"/>
    </row>
    <row r="90" spans="1:4" ht="14.4" x14ac:dyDescent="0.3">
      <c r="A90" s="111" t="s">
        <v>4347</v>
      </c>
      <c r="B90" s="37" t="s">
        <v>4373</v>
      </c>
      <c r="C90" s="9"/>
      <c r="D90" s="36"/>
    </row>
    <row r="91" spans="1:4" ht="14.4" x14ac:dyDescent="0.3">
      <c r="A91" s="111" t="s">
        <v>4347</v>
      </c>
      <c r="B91" s="37" t="s">
        <v>4375</v>
      </c>
      <c r="C91" s="9"/>
      <c r="D91" s="36"/>
    </row>
    <row r="92" spans="1:4" ht="14.4" x14ac:dyDescent="0.3">
      <c r="A92" s="111" t="s">
        <v>4347</v>
      </c>
      <c r="B92" s="37" t="s">
        <v>4376</v>
      </c>
      <c r="C92" s="9"/>
      <c r="D92" s="36"/>
    </row>
    <row r="93" spans="1:4" ht="14.4" x14ac:dyDescent="0.3">
      <c r="A93" s="111" t="s">
        <v>4347</v>
      </c>
      <c r="B93" s="37" t="s">
        <v>4377</v>
      </c>
      <c r="C93" s="9"/>
      <c r="D93" s="36"/>
    </row>
    <row r="94" spans="1:4" ht="14.4" x14ac:dyDescent="0.3">
      <c r="A94" s="111" t="s">
        <v>4347</v>
      </c>
      <c r="B94" s="37" t="s">
        <v>4378</v>
      </c>
      <c r="C94" s="9"/>
      <c r="D94" s="36"/>
    </row>
    <row r="95" spans="1:4" ht="14.4" x14ac:dyDescent="0.3">
      <c r="A95" s="111" t="s">
        <v>4347</v>
      </c>
      <c r="B95" s="37" t="s">
        <v>4380</v>
      </c>
      <c r="C95" s="9"/>
      <c r="D95" s="36"/>
    </row>
    <row r="96" spans="1:4" ht="27.6" x14ac:dyDescent="0.3">
      <c r="A96" s="111" t="s">
        <v>4347</v>
      </c>
      <c r="B96" s="37" t="s">
        <v>4381</v>
      </c>
      <c r="C96" s="9"/>
      <c r="D96" s="36"/>
    </row>
    <row r="97" spans="1:4" ht="27.6" x14ac:dyDescent="0.3">
      <c r="A97" s="111" t="s">
        <v>4347</v>
      </c>
      <c r="B97" s="37" t="s">
        <v>4382</v>
      </c>
      <c r="C97" s="9"/>
      <c r="D97" s="36"/>
    </row>
    <row r="98" spans="1:4" ht="14.4" x14ac:dyDescent="0.3">
      <c r="A98" s="111" t="s">
        <v>4347</v>
      </c>
      <c r="B98" s="37" t="s">
        <v>4384</v>
      </c>
      <c r="C98" s="9"/>
      <c r="D98" s="36"/>
    </row>
    <row r="99" spans="1:4" ht="14.4" x14ac:dyDescent="0.3">
      <c r="A99" s="111" t="s">
        <v>4347</v>
      </c>
      <c r="B99" s="37" t="s">
        <v>4386</v>
      </c>
      <c r="C99" s="9"/>
      <c r="D99" s="36"/>
    </row>
    <row r="100" spans="1:4" ht="14.4" x14ac:dyDescent="0.3">
      <c r="A100" s="111" t="s">
        <v>4347</v>
      </c>
      <c r="B100" s="37" t="s">
        <v>4387</v>
      </c>
      <c r="C100" s="9"/>
      <c r="D100" s="36"/>
    </row>
    <row r="101" spans="1:4" ht="14.4" x14ac:dyDescent="0.3">
      <c r="A101" s="111" t="s">
        <v>4347</v>
      </c>
      <c r="B101" s="37" t="s">
        <v>4389</v>
      </c>
      <c r="C101" s="9"/>
      <c r="D101" s="36"/>
    </row>
    <row r="102" spans="1:4" ht="14.4" x14ac:dyDescent="0.3">
      <c r="A102" s="111" t="s">
        <v>4347</v>
      </c>
      <c r="B102" s="37" t="s">
        <v>4390</v>
      </c>
      <c r="C102" s="9"/>
      <c r="D102" s="36"/>
    </row>
    <row r="103" spans="1:4" ht="14.4" x14ac:dyDescent="0.3">
      <c r="A103" s="111" t="s">
        <v>4347</v>
      </c>
      <c r="B103" s="37" t="s">
        <v>4392</v>
      </c>
      <c r="C103" s="9"/>
      <c r="D103" s="36"/>
    </row>
    <row r="104" spans="1:4" ht="27.6" x14ac:dyDescent="0.3">
      <c r="A104" s="111" t="s">
        <v>4347</v>
      </c>
      <c r="B104" s="37" t="s">
        <v>4394</v>
      </c>
      <c r="C104" s="9"/>
      <c r="D104" s="36"/>
    </row>
    <row r="105" spans="1:4" ht="27.6" x14ac:dyDescent="0.3">
      <c r="A105" s="111" t="s">
        <v>4347</v>
      </c>
      <c r="B105" s="37" t="s">
        <v>4395</v>
      </c>
      <c r="C105" s="9"/>
      <c r="D105" s="36"/>
    </row>
    <row r="106" spans="1:4" ht="14.4" x14ac:dyDescent="0.3">
      <c r="A106" s="111" t="s">
        <v>4347</v>
      </c>
      <c r="B106" s="37" t="s">
        <v>4396</v>
      </c>
      <c r="C106" s="9"/>
      <c r="D106" s="36"/>
    </row>
    <row r="107" spans="1:4" ht="14.4" x14ac:dyDescent="0.3">
      <c r="A107" s="111" t="s">
        <v>4347</v>
      </c>
      <c r="B107" s="37" t="s">
        <v>4398</v>
      </c>
      <c r="C107" s="9"/>
      <c r="D107" s="36"/>
    </row>
    <row r="108" spans="1:4" ht="14.4" x14ac:dyDescent="0.3">
      <c r="A108" s="111" t="s">
        <v>4347</v>
      </c>
      <c r="B108" s="37" t="s">
        <v>4399</v>
      </c>
      <c r="C108" s="9"/>
      <c r="D108" s="36"/>
    </row>
    <row r="109" spans="1:4" ht="14.4" x14ac:dyDescent="0.3">
      <c r="A109" s="111" t="s">
        <v>4347</v>
      </c>
      <c r="B109" s="37" t="s">
        <v>4400</v>
      </c>
      <c r="C109" s="9"/>
      <c r="D109" s="36"/>
    </row>
    <row r="110" spans="1:4" ht="14.4" x14ac:dyDescent="0.3">
      <c r="A110" s="111" t="s">
        <v>4347</v>
      </c>
      <c r="B110" s="37" t="s">
        <v>4401</v>
      </c>
      <c r="C110" s="9"/>
      <c r="D110" s="36"/>
    </row>
    <row r="111" spans="1:4" ht="27.6" x14ac:dyDescent="0.3">
      <c r="A111" s="111" t="s">
        <v>4347</v>
      </c>
      <c r="B111" s="37" t="s">
        <v>4402</v>
      </c>
      <c r="C111" s="9"/>
      <c r="D111" s="36"/>
    </row>
    <row r="112" spans="1:4" ht="27.6" x14ac:dyDescent="0.3">
      <c r="A112" s="111" t="s">
        <v>4347</v>
      </c>
      <c r="B112" s="37" t="s">
        <v>4403</v>
      </c>
      <c r="C112" s="9"/>
      <c r="D112" s="36"/>
    </row>
    <row r="113" spans="1:4" ht="14.4" x14ac:dyDescent="0.3">
      <c r="A113" s="111" t="s">
        <v>4347</v>
      </c>
      <c r="B113" s="37" t="s">
        <v>4404</v>
      </c>
      <c r="C113" s="9"/>
      <c r="D113" s="36"/>
    </row>
    <row r="114" spans="1:4" ht="14.4" x14ac:dyDescent="0.3">
      <c r="A114" s="111" t="s">
        <v>4347</v>
      </c>
      <c r="B114" s="37" t="s">
        <v>4405</v>
      </c>
      <c r="C114" s="9"/>
      <c r="D114" s="36"/>
    </row>
    <row r="115" spans="1:4" ht="14.4" x14ac:dyDescent="0.3">
      <c r="A115" s="111" t="s">
        <v>4347</v>
      </c>
      <c r="B115" s="37" t="s">
        <v>4406</v>
      </c>
      <c r="C115" s="9"/>
      <c r="D115" s="36"/>
    </row>
    <row r="116" spans="1:4" ht="14.4" x14ac:dyDescent="0.3">
      <c r="A116" s="111" t="s">
        <v>4347</v>
      </c>
      <c r="B116" s="37" t="s">
        <v>4407</v>
      </c>
      <c r="C116" s="9"/>
      <c r="D116" s="36"/>
    </row>
    <row r="117" spans="1:4" ht="14.4" x14ac:dyDescent="0.3">
      <c r="A117" s="111" t="s">
        <v>4347</v>
      </c>
      <c r="B117" s="37" t="s">
        <v>4409</v>
      </c>
      <c r="C117" s="9"/>
      <c r="D117" s="36"/>
    </row>
    <row r="118" spans="1:4" ht="14.4" x14ac:dyDescent="0.3">
      <c r="A118" s="111" t="s">
        <v>4347</v>
      </c>
      <c r="B118" s="37" t="s">
        <v>4410</v>
      </c>
      <c r="C118" s="9"/>
      <c r="D118" s="36"/>
    </row>
    <row r="119" spans="1:4" ht="14.4" x14ac:dyDescent="0.3">
      <c r="A119" s="111" t="s">
        <v>4347</v>
      </c>
      <c r="B119" s="37" t="s">
        <v>4411</v>
      </c>
      <c r="C119" s="9"/>
      <c r="D119" s="36"/>
    </row>
    <row r="120" spans="1:4" ht="14.4" x14ac:dyDescent="0.3">
      <c r="A120" s="111" t="s">
        <v>4347</v>
      </c>
      <c r="B120" s="37" t="s">
        <v>4412</v>
      </c>
      <c r="C120" s="9"/>
      <c r="D120" s="36"/>
    </row>
    <row r="121" spans="1:4" ht="14.4" x14ac:dyDescent="0.3">
      <c r="A121" s="111" t="s">
        <v>4347</v>
      </c>
      <c r="B121" s="37" t="s">
        <v>4413</v>
      </c>
      <c r="C121" s="9"/>
      <c r="D121" s="36"/>
    </row>
    <row r="122" spans="1:4" ht="14.4" x14ac:dyDescent="0.3">
      <c r="A122" s="263" t="s">
        <v>4347</v>
      </c>
      <c r="B122" s="32" t="s">
        <v>2853</v>
      </c>
      <c r="C122" s="31"/>
      <c r="D122" s="31"/>
    </row>
    <row r="123" spans="1:4" ht="14.4" x14ac:dyDescent="0.3">
      <c r="A123" s="263" t="s">
        <v>4347</v>
      </c>
      <c r="B123" s="32" t="s">
        <v>4414</v>
      </c>
      <c r="C123" s="31"/>
      <c r="D123" s="31"/>
    </row>
    <row r="124" spans="1:4" ht="27.6" x14ac:dyDescent="0.3">
      <c r="A124" s="111" t="s">
        <v>4347</v>
      </c>
      <c r="B124" s="37" t="s">
        <v>4415</v>
      </c>
      <c r="C124" s="9"/>
      <c r="D124" s="36"/>
    </row>
    <row r="125" spans="1:4" ht="14.4" x14ac:dyDescent="0.3">
      <c r="A125" s="111" t="s">
        <v>4347</v>
      </c>
      <c r="B125" s="37" t="s">
        <v>4416</v>
      </c>
      <c r="C125" s="9"/>
      <c r="D125" s="36"/>
    </row>
    <row r="126" spans="1:4" ht="14.4" x14ac:dyDescent="0.3">
      <c r="A126" s="111" t="s">
        <v>4347</v>
      </c>
      <c r="B126" s="37" t="s">
        <v>4418</v>
      </c>
      <c r="C126" s="9"/>
      <c r="D126" s="36"/>
    </row>
    <row r="127" spans="1:4" ht="14.4" x14ac:dyDescent="0.3">
      <c r="A127" s="111" t="s">
        <v>4347</v>
      </c>
      <c r="B127" s="37" t="s">
        <v>4419</v>
      </c>
      <c r="C127" s="9"/>
      <c r="D127" s="36"/>
    </row>
    <row r="128" spans="1:4" ht="14.4" x14ac:dyDescent="0.3">
      <c r="A128" s="111" t="s">
        <v>4347</v>
      </c>
      <c r="B128" s="37" t="s">
        <v>4420</v>
      </c>
      <c r="C128" s="9"/>
      <c r="D128" s="36"/>
    </row>
    <row r="129" spans="1:4" ht="14.4" x14ac:dyDescent="0.3">
      <c r="A129" s="111" t="s">
        <v>4347</v>
      </c>
      <c r="B129" s="37" t="s">
        <v>4422</v>
      </c>
      <c r="C129" s="9"/>
      <c r="D129" s="36"/>
    </row>
    <row r="130" spans="1:4" ht="14.4" x14ac:dyDescent="0.3">
      <c r="A130" s="111" t="s">
        <v>4347</v>
      </c>
      <c r="B130" s="37" t="s">
        <v>4423</v>
      </c>
      <c r="C130" s="9"/>
      <c r="D130" s="36"/>
    </row>
    <row r="131" spans="1:4" ht="14.4" x14ac:dyDescent="0.3">
      <c r="A131" s="111" t="s">
        <v>4347</v>
      </c>
      <c r="B131" s="37" t="s">
        <v>4425</v>
      </c>
      <c r="C131" s="9"/>
      <c r="D131" s="36"/>
    </row>
    <row r="132" spans="1:4" ht="14.4" x14ac:dyDescent="0.3">
      <c r="A132" s="111" t="s">
        <v>4347</v>
      </c>
      <c r="B132" s="37" t="s">
        <v>4426</v>
      </c>
      <c r="C132" s="9"/>
      <c r="D132" s="36"/>
    </row>
    <row r="133" spans="1:4" ht="14.4" x14ac:dyDescent="0.3">
      <c r="A133" s="111" t="s">
        <v>4347</v>
      </c>
      <c r="B133" s="37" t="s">
        <v>4427</v>
      </c>
      <c r="C133" s="9"/>
      <c r="D133" s="36"/>
    </row>
    <row r="134" spans="1:4" ht="14.4" x14ac:dyDescent="0.3">
      <c r="A134" s="111" t="s">
        <v>4347</v>
      </c>
      <c r="B134" s="37" t="s">
        <v>4429</v>
      </c>
      <c r="C134" s="9"/>
      <c r="D134" s="36"/>
    </row>
    <row r="135" spans="1:4" ht="27.6" x14ac:dyDescent="0.3">
      <c r="A135" s="111" t="s">
        <v>4347</v>
      </c>
      <c r="B135" s="37" t="s">
        <v>4430</v>
      </c>
      <c r="C135" s="9"/>
      <c r="D135" s="36"/>
    </row>
    <row r="136" spans="1:4" ht="27.6" x14ac:dyDescent="0.3">
      <c r="A136" s="111" t="s">
        <v>4347</v>
      </c>
      <c r="B136" s="37" t="s">
        <v>4431</v>
      </c>
      <c r="C136" s="9"/>
      <c r="D136" s="36"/>
    </row>
    <row r="137" spans="1:4" ht="14.4" x14ac:dyDescent="0.3">
      <c r="A137" s="263" t="s">
        <v>4347</v>
      </c>
      <c r="B137" s="32" t="s">
        <v>4432</v>
      </c>
      <c r="C137" s="31"/>
      <c r="D137" s="31"/>
    </row>
    <row r="138" spans="1:4" ht="14.4" x14ac:dyDescent="0.3">
      <c r="A138" s="263" t="s">
        <v>4347</v>
      </c>
      <c r="B138" s="32" t="s">
        <v>4348</v>
      </c>
      <c r="C138" s="31"/>
      <c r="D138" s="31"/>
    </row>
    <row r="139" spans="1:4" ht="41.4" x14ac:dyDescent="0.3">
      <c r="A139" s="111" t="s">
        <v>4347</v>
      </c>
      <c r="B139" s="37" t="s">
        <v>4434</v>
      </c>
      <c r="C139" s="9"/>
      <c r="D139" s="36"/>
    </row>
    <row r="140" spans="1:4" ht="14.4" x14ac:dyDescent="0.3">
      <c r="A140" s="111" t="s">
        <v>4347</v>
      </c>
      <c r="B140" s="37" t="s">
        <v>4435</v>
      </c>
      <c r="C140" s="9"/>
      <c r="D140" s="36"/>
    </row>
    <row r="141" spans="1:4" ht="14.4" x14ac:dyDescent="0.3">
      <c r="A141" s="111" t="s">
        <v>4347</v>
      </c>
      <c r="B141" s="37" t="s">
        <v>4436</v>
      </c>
      <c r="C141" s="9"/>
      <c r="D141" s="36"/>
    </row>
    <row r="142" spans="1:4" ht="14.4" x14ac:dyDescent="0.3">
      <c r="A142" s="111" t="s">
        <v>4347</v>
      </c>
      <c r="B142" s="37" t="s">
        <v>4438</v>
      </c>
      <c r="C142" s="9"/>
      <c r="D142" s="36"/>
    </row>
    <row r="143" spans="1:4" ht="27.6" x14ac:dyDescent="0.3">
      <c r="A143" s="111" t="s">
        <v>4347</v>
      </c>
      <c r="B143" s="37" t="s">
        <v>4439</v>
      </c>
      <c r="C143" s="9"/>
      <c r="D143" s="36"/>
    </row>
    <row r="144" spans="1:4" ht="14.4" x14ac:dyDescent="0.3">
      <c r="A144" s="263" t="s">
        <v>4347</v>
      </c>
      <c r="B144" s="32" t="s">
        <v>1099</v>
      </c>
      <c r="C144" s="31"/>
      <c r="D144" s="31"/>
    </row>
    <row r="145" spans="1:4" ht="14.4" x14ac:dyDescent="0.3">
      <c r="A145" s="263" t="s">
        <v>4347</v>
      </c>
      <c r="B145" s="32" t="s">
        <v>4441</v>
      </c>
      <c r="C145" s="31"/>
      <c r="D145" s="31"/>
    </row>
    <row r="146" spans="1:4" ht="27.6" x14ac:dyDescent="0.3">
      <c r="A146" s="111" t="s">
        <v>4347</v>
      </c>
      <c r="B146" s="37" t="s">
        <v>1059</v>
      </c>
      <c r="C146" s="9"/>
      <c r="D146" s="36"/>
    </row>
    <row r="147" spans="1:4" ht="14.4" x14ac:dyDescent="0.3">
      <c r="A147" s="263" t="s">
        <v>4442</v>
      </c>
      <c r="B147" s="32" t="s">
        <v>1099</v>
      </c>
      <c r="C147" s="31"/>
      <c r="D147" s="31"/>
    </row>
    <row r="148" spans="1:4" ht="14.4" x14ac:dyDescent="0.3">
      <c r="A148" s="263" t="s">
        <v>4442</v>
      </c>
      <c r="B148" s="32" t="s">
        <v>4443</v>
      </c>
      <c r="C148" s="31"/>
      <c r="D148" s="31"/>
    </row>
    <row r="149" spans="1:4" ht="27.6" x14ac:dyDescent="0.3">
      <c r="A149" s="111" t="s">
        <v>4442</v>
      </c>
      <c r="B149" s="37" t="s">
        <v>4445</v>
      </c>
      <c r="C149" s="9"/>
      <c r="D149" s="36"/>
    </row>
    <row r="150" spans="1:4" ht="14.4" x14ac:dyDescent="0.3">
      <c r="A150" s="111" t="s">
        <v>4442</v>
      </c>
      <c r="B150" s="37" t="s">
        <v>4447</v>
      </c>
      <c r="C150" s="9"/>
      <c r="D150" s="36"/>
    </row>
    <row r="151" spans="1:4" ht="14.4" x14ac:dyDescent="0.3">
      <c r="A151" s="111" t="s">
        <v>4442</v>
      </c>
      <c r="B151" s="37" t="s">
        <v>4448</v>
      </c>
      <c r="C151" s="9"/>
      <c r="D151" s="36"/>
    </row>
    <row r="152" spans="1:4" ht="14.4" x14ac:dyDescent="0.3">
      <c r="A152" s="111" t="s">
        <v>4442</v>
      </c>
      <c r="B152" s="37" t="s">
        <v>4450</v>
      </c>
      <c r="C152" s="9"/>
      <c r="D152" s="36"/>
    </row>
    <row r="153" spans="1:4" ht="27.6" x14ac:dyDescent="0.3">
      <c r="A153" s="111" t="s">
        <v>4442</v>
      </c>
      <c r="B153" s="37" t="s">
        <v>4451</v>
      </c>
      <c r="C153" s="9"/>
      <c r="D153" s="36"/>
    </row>
    <row r="154" spans="1:4" ht="14.4" x14ac:dyDescent="0.3">
      <c r="A154" s="111" t="s">
        <v>4442</v>
      </c>
      <c r="B154" s="37" t="s">
        <v>4453</v>
      </c>
      <c r="C154" s="9"/>
      <c r="D154" s="36"/>
    </row>
    <row r="155" spans="1:4" ht="14.4" x14ac:dyDescent="0.3">
      <c r="A155" s="111" t="s">
        <v>4442</v>
      </c>
      <c r="B155" s="37" t="s">
        <v>4454</v>
      </c>
      <c r="C155" s="9"/>
      <c r="D155" s="36"/>
    </row>
    <row r="156" spans="1:4" ht="14.4" x14ac:dyDescent="0.3">
      <c r="A156" s="263" t="s">
        <v>4442</v>
      </c>
      <c r="B156" s="32" t="s">
        <v>4455</v>
      </c>
      <c r="C156" s="31"/>
      <c r="D156" s="31"/>
    </row>
    <row r="157" spans="1:4" ht="27.6" x14ac:dyDescent="0.3">
      <c r="A157" s="111" t="s">
        <v>4442</v>
      </c>
      <c r="B157" s="37" t="s">
        <v>1252</v>
      </c>
      <c r="C157" s="9"/>
      <c r="D157" s="36"/>
    </row>
    <row r="158" spans="1:4" ht="14.4" x14ac:dyDescent="0.3">
      <c r="A158" s="263" t="s">
        <v>4457</v>
      </c>
      <c r="B158" s="32" t="s">
        <v>4092</v>
      </c>
      <c r="C158" s="31"/>
      <c r="D158" s="31"/>
    </row>
    <row r="159" spans="1:4" ht="14.4" x14ac:dyDescent="0.3">
      <c r="A159" s="263" t="s">
        <v>4457</v>
      </c>
      <c r="B159" s="32" t="s">
        <v>1136</v>
      </c>
      <c r="C159" s="31"/>
      <c r="D159" s="31"/>
    </row>
    <row r="160" spans="1:4" ht="27.6" x14ac:dyDescent="0.3">
      <c r="A160" s="111" t="s">
        <v>4457</v>
      </c>
      <c r="B160" s="37" t="s">
        <v>4459</v>
      </c>
      <c r="C160" s="9"/>
      <c r="D160" s="36"/>
    </row>
    <row r="161" spans="1:4" ht="14.4" x14ac:dyDescent="0.3">
      <c r="A161" s="111" t="s">
        <v>4457</v>
      </c>
      <c r="B161" s="37" t="s">
        <v>4460</v>
      </c>
      <c r="C161" s="9"/>
      <c r="D161" s="36"/>
    </row>
    <row r="162" spans="1:4" ht="14.4" x14ac:dyDescent="0.3">
      <c r="A162" s="111" t="s">
        <v>4457</v>
      </c>
      <c r="B162" s="37" t="s">
        <v>4462</v>
      </c>
      <c r="C162" s="9"/>
      <c r="D162" s="36"/>
    </row>
    <row r="163" spans="1:4" ht="14.4" x14ac:dyDescent="0.3">
      <c r="A163" s="111" t="s">
        <v>4457</v>
      </c>
      <c r="B163" s="37" t="s">
        <v>4463</v>
      </c>
      <c r="C163" s="9"/>
      <c r="D163" s="36"/>
    </row>
    <row r="164" spans="1:4" ht="14.4" x14ac:dyDescent="0.3">
      <c r="A164" s="111" t="s">
        <v>4457</v>
      </c>
      <c r="B164" s="37" t="s">
        <v>4464</v>
      </c>
      <c r="C164" s="9"/>
      <c r="D164" s="36"/>
    </row>
    <row r="165" spans="1:4" ht="14.4" x14ac:dyDescent="0.3">
      <c r="A165" s="111" t="s">
        <v>4457</v>
      </c>
      <c r="B165" s="37" t="s">
        <v>4466</v>
      </c>
      <c r="C165" s="9"/>
      <c r="D165" s="36"/>
    </row>
    <row r="166" spans="1:4" ht="14.4" x14ac:dyDescent="0.3">
      <c r="A166" s="111" t="s">
        <v>4457</v>
      </c>
      <c r="B166" s="37" t="s">
        <v>4467</v>
      </c>
      <c r="C166" s="9"/>
      <c r="D166" s="36"/>
    </row>
    <row r="167" spans="1:4" ht="14.4" x14ac:dyDescent="0.3">
      <c r="A167" s="111" t="s">
        <v>4457</v>
      </c>
      <c r="B167" s="37" t="s">
        <v>4468</v>
      </c>
      <c r="C167" s="9"/>
      <c r="D167" s="36"/>
    </row>
    <row r="168" spans="1:4" ht="14.4" x14ac:dyDescent="0.3">
      <c r="A168" s="111" t="s">
        <v>4457</v>
      </c>
      <c r="B168" s="37" t="s">
        <v>4470</v>
      </c>
      <c r="C168" s="9"/>
      <c r="D168" s="36"/>
    </row>
    <row r="169" spans="1:4" ht="14.4" x14ac:dyDescent="0.3">
      <c r="A169" s="111" t="s">
        <v>4457</v>
      </c>
      <c r="B169" s="37" t="s">
        <v>4471</v>
      </c>
      <c r="C169" s="9"/>
      <c r="D169" s="36"/>
    </row>
    <row r="170" spans="1:4" ht="14.4" x14ac:dyDescent="0.3">
      <c r="A170" s="111" t="s">
        <v>4457</v>
      </c>
      <c r="B170" s="37" t="s">
        <v>4473</v>
      </c>
      <c r="C170" s="9"/>
      <c r="D170" s="36"/>
    </row>
    <row r="171" spans="1:4" ht="14.4" x14ac:dyDescent="0.3">
      <c r="A171" s="111" t="s">
        <v>4457</v>
      </c>
      <c r="B171" s="37" t="s">
        <v>4474</v>
      </c>
      <c r="C171" s="9"/>
      <c r="D171" s="36"/>
    </row>
    <row r="172" spans="1:4" ht="27.6" x14ac:dyDescent="0.3">
      <c r="A172" s="111" t="s">
        <v>4457</v>
      </c>
      <c r="B172" s="37" t="s">
        <v>4476</v>
      </c>
      <c r="C172" s="9"/>
      <c r="D172" s="36"/>
    </row>
    <row r="173" spans="1:4" ht="27.6" x14ac:dyDescent="0.3">
      <c r="A173" s="111" t="s">
        <v>4457</v>
      </c>
      <c r="B173" s="37" t="s">
        <v>4478</v>
      </c>
      <c r="C173" s="9"/>
      <c r="D173" s="36"/>
    </row>
    <row r="174" spans="1:4" ht="14.4" x14ac:dyDescent="0.3">
      <c r="A174" s="111" t="s">
        <v>4457</v>
      </c>
      <c r="B174" s="37" t="s">
        <v>4479</v>
      </c>
      <c r="C174" s="9"/>
      <c r="D174" s="36"/>
    </row>
    <row r="175" spans="1:4" ht="14.4" x14ac:dyDescent="0.3">
      <c r="A175" s="263" t="s">
        <v>4457</v>
      </c>
      <c r="B175" s="32" t="s">
        <v>1106</v>
      </c>
      <c r="C175" s="31"/>
      <c r="D175" s="31"/>
    </row>
    <row r="176" spans="1:4" ht="14.4" x14ac:dyDescent="0.3">
      <c r="A176" s="263" t="s">
        <v>4457</v>
      </c>
      <c r="B176" s="32" t="s">
        <v>1136</v>
      </c>
      <c r="C176" s="31"/>
      <c r="D176" s="31"/>
    </row>
    <row r="177" spans="1:4" ht="27.6" x14ac:dyDescent="0.3">
      <c r="A177" s="111" t="s">
        <v>4457</v>
      </c>
      <c r="B177" s="37" t="s">
        <v>4481</v>
      </c>
      <c r="C177" s="9"/>
      <c r="D177" s="36"/>
    </row>
    <row r="178" spans="1:4" ht="27.6" x14ac:dyDescent="0.3">
      <c r="A178" s="111" t="s">
        <v>4457</v>
      </c>
      <c r="B178" s="37" t="s">
        <v>4482</v>
      </c>
      <c r="C178" s="9"/>
      <c r="D178" s="36"/>
    </row>
    <row r="179" spans="1:4" ht="27.6" x14ac:dyDescent="0.3">
      <c r="A179" s="111" t="s">
        <v>4457</v>
      </c>
      <c r="B179" s="37" t="s">
        <v>4484</v>
      </c>
      <c r="C179" s="9"/>
      <c r="D179" s="36"/>
    </row>
    <row r="180" spans="1:4" ht="14.4" x14ac:dyDescent="0.3">
      <c r="A180" s="263" t="s">
        <v>4457</v>
      </c>
      <c r="B180" s="32" t="s">
        <v>1099</v>
      </c>
      <c r="C180" s="31"/>
      <c r="D180" s="31"/>
    </row>
    <row r="181" spans="1:4" ht="14.4" x14ac:dyDescent="0.3">
      <c r="A181" s="263" t="s">
        <v>4457</v>
      </c>
      <c r="B181" s="32" t="s">
        <v>4485</v>
      </c>
      <c r="C181" s="31"/>
      <c r="D181" s="31"/>
    </row>
    <row r="182" spans="1:4" ht="27.6" x14ac:dyDescent="0.3">
      <c r="A182" s="111" t="s">
        <v>4457</v>
      </c>
      <c r="B182" s="37" t="s">
        <v>2432</v>
      </c>
      <c r="C182" s="9"/>
      <c r="D182" s="36"/>
    </row>
    <row r="183" spans="1:4" ht="14.4" x14ac:dyDescent="0.3">
      <c r="A183" s="263" t="s">
        <v>4487</v>
      </c>
      <c r="B183" s="32" t="s">
        <v>1099</v>
      </c>
      <c r="C183" s="31"/>
      <c r="D183" s="31"/>
    </row>
    <row r="184" spans="1:4" ht="14.4" x14ac:dyDescent="0.3">
      <c r="A184" s="263" t="s">
        <v>4487</v>
      </c>
      <c r="B184" s="32" t="s">
        <v>1136</v>
      </c>
      <c r="C184" s="31"/>
      <c r="D184" s="31"/>
    </row>
    <row r="185" spans="1:4" ht="41.4" x14ac:dyDescent="0.3">
      <c r="A185" s="111" t="s">
        <v>4487</v>
      </c>
      <c r="B185" s="37" t="s">
        <v>4489</v>
      </c>
      <c r="C185" s="9"/>
      <c r="D185" s="36"/>
    </row>
    <row r="186" spans="1:4" ht="14.4" x14ac:dyDescent="0.3">
      <c r="A186" s="263" t="s">
        <v>4487</v>
      </c>
      <c r="B186" s="32" t="s">
        <v>4491</v>
      </c>
      <c r="C186" s="31"/>
      <c r="D186" s="31"/>
    </row>
    <row r="187" spans="1:4" ht="27.6" x14ac:dyDescent="0.3">
      <c r="A187" s="111" t="s">
        <v>4487</v>
      </c>
      <c r="B187" s="37" t="s">
        <v>3942</v>
      </c>
      <c r="C187" s="9"/>
      <c r="D187" s="36"/>
    </row>
    <row r="188" spans="1:4" ht="14.4" x14ac:dyDescent="0.3">
      <c r="A188" s="263" t="s">
        <v>4493</v>
      </c>
      <c r="B188" s="32" t="s">
        <v>1081</v>
      </c>
      <c r="C188" s="31"/>
      <c r="D188" s="31"/>
    </row>
    <row r="189" spans="1:4" ht="14.4" x14ac:dyDescent="0.3">
      <c r="A189" s="263" t="s">
        <v>4493</v>
      </c>
      <c r="B189" s="32" t="s">
        <v>1725</v>
      </c>
      <c r="C189" s="31"/>
      <c r="D189" s="31"/>
    </row>
    <row r="190" spans="1:4" ht="27.6" x14ac:dyDescent="0.3">
      <c r="A190" s="111" t="s">
        <v>4493</v>
      </c>
      <c r="B190" s="37" t="s">
        <v>4495</v>
      </c>
      <c r="C190" s="9"/>
      <c r="D190" s="36"/>
    </row>
    <row r="191" spans="1:4" ht="14.4" x14ac:dyDescent="0.3">
      <c r="A191" s="111" t="s">
        <v>4493</v>
      </c>
      <c r="B191" s="37" t="s">
        <v>4496</v>
      </c>
      <c r="C191" s="9"/>
      <c r="D191" s="36"/>
    </row>
    <row r="192" spans="1:4" ht="14.4" x14ac:dyDescent="0.3">
      <c r="A192" s="111" t="s">
        <v>4493</v>
      </c>
      <c r="B192" s="37" t="s">
        <v>4498</v>
      </c>
      <c r="C192" s="9"/>
      <c r="D192" s="36"/>
    </row>
    <row r="193" spans="1:4" ht="14.4" x14ac:dyDescent="0.3">
      <c r="A193" s="111" t="s">
        <v>4493</v>
      </c>
      <c r="B193" s="37" t="s">
        <v>4499</v>
      </c>
      <c r="C193" s="9"/>
      <c r="D193" s="36"/>
    </row>
    <row r="194" spans="1:4" ht="14.4" x14ac:dyDescent="0.3">
      <c r="A194" s="111" t="s">
        <v>4493</v>
      </c>
      <c r="B194" s="37" t="s">
        <v>4501</v>
      </c>
      <c r="C194" s="9"/>
      <c r="D194" s="36"/>
    </row>
    <row r="195" spans="1:4" ht="14.4" x14ac:dyDescent="0.3">
      <c r="A195" s="111" t="s">
        <v>4493</v>
      </c>
      <c r="B195" s="37" t="s">
        <v>4503</v>
      </c>
      <c r="C195" s="9"/>
      <c r="D195" s="36"/>
    </row>
    <row r="196" spans="1:4" ht="14.4" x14ac:dyDescent="0.3">
      <c r="A196" s="111" t="s">
        <v>4493</v>
      </c>
      <c r="B196" s="37" t="s">
        <v>4504</v>
      </c>
      <c r="C196" s="9"/>
      <c r="D196" s="36"/>
    </row>
    <row r="197" spans="1:4" ht="14.4" x14ac:dyDescent="0.3">
      <c r="A197" s="263" t="s">
        <v>4493</v>
      </c>
      <c r="B197" s="32" t="s">
        <v>922</v>
      </c>
      <c r="C197" s="31"/>
      <c r="D197" s="31"/>
    </row>
    <row r="198" spans="1:4" ht="14.4" x14ac:dyDescent="0.3">
      <c r="A198" s="263" t="s">
        <v>4493</v>
      </c>
      <c r="B198" s="32" t="s">
        <v>1725</v>
      </c>
      <c r="C198" s="31"/>
      <c r="D198" s="31"/>
    </row>
    <row r="199" spans="1:4" ht="27.6" x14ac:dyDescent="0.3">
      <c r="A199" s="111" t="s">
        <v>4493</v>
      </c>
      <c r="B199" s="37" t="s">
        <v>4507</v>
      </c>
      <c r="C199" s="9"/>
      <c r="D199" s="36"/>
    </row>
    <row r="200" spans="1:4" ht="14.4" x14ac:dyDescent="0.3">
      <c r="A200" s="111" t="s">
        <v>4493</v>
      </c>
      <c r="B200" s="37" t="s">
        <v>4509</v>
      </c>
      <c r="C200" s="9"/>
      <c r="D200" s="36"/>
    </row>
    <row r="201" spans="1:4" ht="14.4" x14ac:dyDescent="0.3">
      <c r="A201" s="111" t="s">
        <v>4493</v>
      </c>
      <c r="B201" s="37" t="s">
        <v>4510</v>
      </c>
      <c r="C201" s="9"/>
      <c r="D201" s="36"/>
    </row>
    <row r="202" spans="1:4" ht="14.4" x14ac:dyDescent="0.3">
      <c r="A202" s="111" t="s">
        <v>4493</v>
      </c>
      <c r="B202" s="37" t="s">
        <v>4511</v>
      </c>
      <c r="C202" s="9"/>
      <c r="D202" s="36"/>
    </row>
    <row r="203" spans="1:4" ht="14.4" x14ac:dyDescent="0.3">
      <c r="A203" s="111" t="s">
        <v>4493</v>
      </c>
      <c r="B203" s="37" t="s">
        <v>4513</v>
      </c>
      <c r="C203" s="9"/>
      <c r="D203" s="36"/>
    </row>
    <row r="204" spans="1:4" ht="14.4" x14ac:dyDescent="0.3">
      <c r="A204" s="111" t="s">
        <v>4493</v>
      </c>
      <c r="B204" s="37" t="s">
        <v>4515</v>
      </c>
      <c r="C204" s="9"/>
      <c r="D204" s="36"/>
    </row>
    <row r="205" spans="1:4" ht="14.4" x14ac:dyDescent="0.3">
      <c r="A205" s="111" t="s">
        <v>4493</v>
      </c>
      <c r="B205" s="37" t="s">
        <v>4516</v>
      </c>
      <c r="C205" s="9"/>
      <c r="D205" s="36"/>
    </row>
    <row r="206" spans="1:4" ht="14.4" x14ac:dyDescent="0.3">
      <c r="A206" s="111" t="s">
        <v>4493</v>
      </c>
      <c r="B206" s="37" t="s">
        <v>4517</v>
      </c>
      <c r="C206" s="9"/>
      <c r="D206" s="36"/>
    </row>
    <row r="207" spans="1:4" ht="14.4" x14ac:dyDescent="0.3">
      <c r="A207" s="111" t="s">
        <v>4493</v>
      </c>
      <c r="B207" s="37" t="s">
        <v>4518</v>
      </c>
      <c r="C207" s="9"/>
      <c r="D207" s="36"/>
    </row>
    <row r="208" spans="1:4" ht="14.4" x14ac:dyDescent="0.3">
      <c r="A208" s="111" t="s">
        <v>4493</v>
      </c>
      <c r="B208" s="37" t="s">
        <v>4520</v>
      </c>
      <c r="C208" s="9"/>
      <c r="D208" s="36"/>
    </row>
    <row r="209" spans="1:4" ht="14.4" x14ac:dyDescent="0.3">
      <c r="A209" s="263" t="s">
        <v>4493</v>
      </c>
      <c r="B209" s="32" t="s">
        <v>4521</v>
      </c>
      <c r="C209" s="31"/>
      <c r="D209" s="31"/>
    </row>
    <row r="210" spans="1:4" ht="14.4" x14ac:dyDescent="0.3">
      <c r="A210" s="263" t="s">
        <v>4493</v>
      </c>
      <c r="B210" s="32" t="s">
        <v>837</v>
      </c>
      <c r="C210" s="31"/>
      <c r="D210" s="31"/>
    </row>
    <row r="211" spans="1:4" ht="27.6" x14ac:dyDescent="0.3">
      <c r="A211" s="111" t="s">
        <v>4493</v>
      </c>
      <c r="B211" s="37" t="s">
        <v>4522</v>
      </c>
      <c r="C211" s="9"/>
      <c r="D211" s="36"/>
    </row>
    <row r="212" spans="1:4" ht="14.4" x14ac:dyDescent="0.3">
      <c r="A212" s="111" t="s">
        <v>4493</v>
      </c>
      <c r="B212" s="37" t="s">
        <v>4523</v>
      </c>
      <c r="C212" s="9"/>
      <c r="D212" s="36"/>
    </row>
    <row r="213" spans="1:4" ht="14.4" x14ac:dyDescent="0.3">
      <c r="A213" s="111" t="s">
        <v>4493</v>
      </c>
      <c r="B213" s="37" t="s">
        <v>4524</v>
      </c>
      <c r="C213" s="9"/>
      <c r="D213" s="36"/>
    </row>
    <row r="214" spans="1:4" ht="14.4" x14ac:dyDescent="0.3">
      <c r="A214" s="263" t="s">
        <v>4493</v>
      </c>
      <c r="B214" s="32" t="s">
        <v>1099</v>
      </c>
      <c r="C214" s="31"/>
      <c r="D214" s="31"/>
    </row>
    <row r="215" spans="1:4" ht="27.6" x14ac:dyDescent="0.3">
      <c r="A215" s="263" t="s">
        <v>4493</v>
      </c>
      <c r="B215" s="32" t="s">
        <v>1734</v>
      </c>
      <c r="C215" s="31"/>
      <c r="D215" s="31"/>
    </row>
    <row r="216" spans="1:4" ht="14.4" x14ac:dyDescent="0.3">
      <c r="A216" s="36" t="s">
        <v>4493</v>
      </c>
      <c r="B216" s="37" t="s">
        <v>4525</v>
      </c>
      <c r="C216" s="9"/>
      <c r="D216" s="36"/>
    </row>
    <row r="217" spans="1:4" ht="14.4" x14ac:dyDescent="0.3">
      <c r="A217" s="17"/>
      <c r="B217" s="14"/>
      <c r="C217" s="17"/>
      <c r="D217" s="17"/>
    </row>
    <row r="218" spans="1:4" ht="14.4" x14ac:dyDescent="0.3">
      <c r="A218" s="17"/>
      <c r="B218" s="14"/>
      <c r="C218" s="17"/>
      <c r="D218" s="17"/>
    </row>
    <row r="219" spans="1:4" ht="14.4" x14ac:dyDescent="0.3">
      <c r="A219" s="17"/>
      <c r="B219" s="15" t="s">
        <v>75</v>
      </c>
      <c r="C219" s="2">
        <f>COUNTIF($C$4:$C$216,"C")</f>
        <v>1</v>
      </c>
      <c r="D219" s="17"/>
    </row>
    <row r="220" spans="1:4" ht="14.4" x14ac:dyDescent="0.3">
      <c r="A220" s="17"/>
      <c r="B220" s="15" t="s">
        <v>81</v>
      </c>
      <c r="C220" s="2">
        <f>COUNTIF($C$4:$C$216,"NC")</f>
        <v>1</v>
      </c>
      <c r="D220" s="17"/>
    </row>
    <row r="221" spans="1:4" ht="14.4" x14ac:dyDescent="0.3">
      <c r="A221" s="17"/>
      <c r="B221" s="15" t="s">
        <v>84</v>
      </c>
      <c r="C221" s="2">
        <f>COUNTIF($C$4:$C$216,"NA")</f>
        <v>1</v>
      </c>
      <c r="D221" s="17"/>
    </row>
  </sheetData>
  <conditionalFormatting sqref="C7:C8 C10:C11 C14:C17 C19:C21 C23:C25 C28:C30 C33:C64 C67 C70 C73:C121 C124:C136 C139:C143 C146 C149:C155 C157 C160:C174 C177:C179 C182 C185 C187 C190:C196 C199:C208 C211:C213 C216">
    <cfRule type="beginsWith" dxfId="2" priority="1" operator="beginsWith" text="C">
      <formula>LEFT((C7),LEN("C"))=("C")</formula>
    </cfRule>
    <cfRule type="beginsWith" dxfId="1" priority="2" operator="beginsWith" text="NC">
      <formula>LEFT((C7),LEN("NC"))=("NC")</formula>
    </cfRule>
    <cfRule type="beginsWith" dxfId="0" priority="3" operator="beginsWith" text="NA">
      <formula>LEFT((C7),LEN("NA"))=("NA")</formula>
    </cfRule>
  </conditionalFormatting>
  <dataValidations count="1">
    <dataValidation type="list" allowBlank="1" sqref="C7:C8 C10:C11 C14:C17 C19:C21 C23:C25 C28:C30 C33:C64 C67 C70 C73:C121 C124:C136 C139:C143 C146 C149:C155 C157 C160:C174 C177:C179 C182 C185 C187 C190:C196 C199:C208 C211:C213 C216" xr:uid="{00000000-0002-0000-2E00-000000000000}">
      <formula1>"C,NC,NA"</formula1>
    </dataValidation>
  </dataValidations>
  <hyperlinks>
    <hyperlink ref="B1" location="'Tabla de contenido'!A1" display="VOLVER A TABLA DE CONTENIDO" xr:uid="{00000000-0004-0000-2E00-000000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Tabla de contenido</vt:lpstr>
      <vt:lpstr>Consolidado</vt:lpstr>
      <vt:lpstr>11.1.1TH</vt:lpstr>
      <vt:lpstr>11.1.2.INF</vt:lpstr>
      <vt:lpstr>11.1.3.DOT</vt:lpstr>
      <vt:lpstr>11.1.4MD</vt:lpstr>
      <vt:lpstr>11.1.5.PP</vt:lpstr>
      <vt:lpstr>11.1.6.HCR</vt:lpstr>
      <vt:lpstr>11.1.7INT</vt:lpstr>
      <vt:lpstr>11.2.1.S_CE_G</vt:lpstr>
      <vt:lpstr>11.2.2.S_CE_E</vt:lpstr>
      <vt:lpstr>11.2.3.S_CE_V</vt:lpstr>
      <vt:lpstr>11.2.4.S_CE_SST</vt:lpstr>
      <vt:lpstr>11.3.1.S_TR</vt:lpstr>
      <vt:lpstr> 11.3.2.SF</vt:lpstr>
      <vt:lpstr>11.3.3.S_Rx_OD</vt:lpstr>
      <vt:lpstr>11.3.4.S_IDx</vt:lpstr>
      <vt:lpstr> 11.3.5.S_MNuc</vt:lpstr>
      <vt:lpstr>11.3.6.S_Radio</vt:lpstr>
      <vt:lpstr>11.3.7.S_Quimio</vt:lpstr>
      <vt:lpstr>11.3.8 S_Dx VASC</vt:lpstr>
      <vt:lpstr>11.3.9S_HI</vt:lpstr>
      <vt:lpstr>11.3.10 S_GPT</vt:lpstr>
      <vt:lpstr>11.3.11.S_TMLC</vt:lpstr>
      <vt:lpstr>11.3.12.S_LC</vt:lpstr>
      <vt:lpstr> 11.3.13 S_TM_CU</vt:lpstr>
      <vt:lpstr>11.3.14.S_LCU</vt:lpstr>
      <vt:lpstr>11.3.15.S_LHT</vt:lpstr>
      <vt:lpstr>11.3.16.S_LPT</vt:lpstr>
      <vt:lpstr>11.3.17.S_Dial</vt:lpstr>
      <vt:lpstr>11.4.1.S_HP</vt:lpstr>
      <vt:lpstr>11.4.2.S_HP_PC</vt:lpstr>
      <vt:lpstr>11.4.3.S_CBN</vt:lpstr>
      <vt:lpstr>11.4.4.S_CIN </vt:lpstr>
      <vt:lpstr>11.4.5.S_CINN</vt:lpstr>
      <vt:lpstr>11.4.6. S_CINP</vt:lpstr>
      <vt:lpstr>11.4.7.S_CIP</vt:lpstr>
      <vt:lpstr>11.4.8.S_CIMA</vt:lpstr>
      <vt:lpstr>11.4.9.S_CIA</vt:lpstr>
      <vt:lpstr>11.4.10.S_HSM CSP</vt:lpstr>
      <vt:lpstr>11.4.11.S_HSP</vt:lpstr>
      <vt:lpstr>11.4.12.S_CB_CSP</vt:lpstr>
      <vt:lpstr>11.5.1.S_CX</vt:lpstr>
      <vt:lpstr>11.6.1.S_UR</vt:lpstr>
      <vt:lpstr>11.6.2.S_TR_AS</vt:lpstr>
      <vt:lpstr>11.6.3.S_AT_PH</vt:lpstr>
      <vt:lpstr>11.6.4.S_A.parto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Ruiz Castano</dc:creator>
  <cp:lastModifiedBy>Adriana perdomo</cp:lastModifiedBy>
  <dcterms:created xsi:type="dcterms:W3CDTF">2020-01-07T12:58:17Z</dcterms:created>
  <dcterms:modified xsi:type="dcterms:W3CDTF">2026-07-04T21:32:25Z</dcterms:modified>
</cp:coreProperties>
</file>